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585" yWindow="-15" windowWidth="4800" windowHeight="15180" activeTab="1"/>
  </bookViews>
  <sheets>
    <sheet name="ValueLists" sheetId="250" r:id="rId1"/>
    <sheet name="Armor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alcChain.xml><?xml version="1.0" encoding="utf-8"?>
<calcChain xmlns="http://schemas.openxmlformats.org/spreadsheetml/2006/main">
  <c r="G271" i="1"/>
  <c r="G272"/>
  <c r="G273"/>
  <c r="G274"/>
  <c r="G275"/>
  <c r="G276"/>
  <c r="G277"/>
  <c r="G278"/>
  <c r="G279"/>
  <c r="G280"/>
  <c r="G281"/>
  <c r="G282"/>
  <c r="G283"/>
  <c r="G284"/>
  <c r="G270"/>
  <c r="G265"/>
  <c r="G266"/>
  <c r="G267"/>
  <c r="G268"/>
  <c r="G264"/>
  <c r="G231"/>
  <c r="G232"/>
  <c r="G233"/>
  <c r="G234"/>
  <c r="G235"/>
  <c r="G236"/>
  <c r="G237"/>
  <c r="G238"/>
  <c r="G239"/>
  <c r="G240"/>
  <c r="G241"/>
  <c r="G242"/>
  <c r="G230"/>
  <c r="G181"/>
  <c r="G182"/>
  <c r="G183"/>
  <c r="G184"/>
  <c r="G185"/>
  <c r="G186"/>
  <c r="G187"/>
  <c r="G188"/>
  <c r="G189"/>
  <c r="G190"/>
  <c r="G180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14"/>
  <c r="G98"/>
  <c r="G99"/>
  <c r="G101"/>
  <c r="G102"/>
  <c r="G100"/>
  <c r="G97"/>
  <c r="G95"/>
  <c r="G96"/>
  <c r="G94"/>
  <c r="G93"/>
  <c r="G85"/>
  <c r="G86"/>
  <c r="G87"/>
  <c r="G88"/>
  <c r="G89"/>
  <c r="G90"/>
  <c r="G91"/>
  <c r="G92"/>
  <c r="G84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59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38"/>
</calcChain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comments2.xml><?xml version="1.0" encoding="utf-8"?>
<comments xmlns="http://schemas.openxmlformats.org/spreadsheetml/2006/main">
  <authors>
    <author>David Walgrave</author>
  </authors>
  <commentList>
    <comment ref="CZ1" authorId="0">
      <text>
        <r>
          <rPr>
            <b/>
            <sz val="9"/>
            <color indexed="81"/>
            <rFont val="Tahoma"/>
            <family val="2"/>
          </rPr>
          <t>David Walgrave:</t>
        </r>
        <r>
          <rPr>
            <sz val="9"/>
            <color indexed="81"/>
            <rFont val="Tahoma"/>
            <family val="2"/>
          </rPr>
          <t xml:space="preserve">
Used in treasure generation (see TreasureTable). Free to group items under any name.</t>
        </r>
      </text>
    </comment>
  </commentList>
</comments>
</file>

<file path=xl/sharedStrings.xml><?xml version="1.0" encoding="utf-8"?>
<sst xmlns="http://schemas.openxmlformats.org/spreadsheetml/2006/main" count="3267" uniqueCount="1301">
  <si>
    <t>Name</t>
  </si>
  <si>
    <t>Using</t>
  </si>
  <si>
    <t>ModifierType</t>
  </si>
  <si>
    <t>Act</t>
  </si>
  <si>
    <t>Act part</t>
  </si>
  <si>
    <t>Slot</t>
  </si>
  <si>
    <t>Requirements</t>
  </si>
  <si>
    <t>Armor Defense Value</t>
  </si>
  <si>
    <t>Durability</t>
  </si>
  <si>
    <t>DurabilityDegradeSpeed</t>
  </si>
  <si>
    <t>Value</t>
  </si>
  <si>
    <t>Weight</t>
  </si>
  <si>
    <t>Movement</t>
  </si>
  <si>
    <t>Initiative</t>
  </si>
  <si>
    <t>Fire</t>
  </si>
  <si>
    <t>Air</t>
  </si>
  <si>
    <t>Water</t>
  </si>
  <si>
    <t>Earth</t>
  </si>
  <si>
    <t>Poison</t>
  </si>
  <si>
    <t>Shadow</t>
  </si>
  <si>
    <t>Piercing</t>
  </si>
  <si>
    <t>Crushing</t>
  </si>
  <si>
    <t>Slashing</t>
  </si>
  <si>
    <t>StrengthBoost</t>
  </si>
  <si>
    <t>DexterityBoost</t>
  </si>
  <si>
    <t>IntelligenceBoost</t>
  </si>
  <si>
    <t>ConstitutionBoost</t>
  </si>
  <si>
    <t>SpeedBoost</t>
  </si>
  <si>
    <t>PerceptionBoost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</si>
  <si>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</si>
  <si>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</si>
  <si>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</si>
  <si>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</si>
  <si>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</si>
  <si>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</si>
  <si>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</si>
  <si>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</si>
  <si>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</si>
  <si>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</si>
  <si>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</si>
  <si>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</si>
  <si>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</si>
  <si>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</si>
  <si>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</si>
  <si>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Healing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</si>
  <si>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</si>
  <si>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</si>
  <si>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</si>
  <si>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</si>
  <si>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</si>
  <si>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</si>
  <si>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</si>
  <si>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</si>
  <si>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</si>
  <si>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</si>
  <si>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</si>
  <si>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SightBoost</t>
  </si>
  <si>
    <t>HearingBoost</t>
  </si>
  <si>
    <t>VitalityBoost</t>
  </si>
  <si>
    <t>MagicPointsBoost</t>
  </si>
  <si>
    <t>OffenseRatingBoost</t>
  </si>
  <si>
    <t>DefenseRatingBoost</t>
  </si>
  <si>
    <t>CriticalChance</t>
  </si>
  <si>
    <t>ExtraProperties</t>
  </si>
  <si>
    <t>RootTemplate</t>
  </si>
  <si>
    <t>ObjectCategory</t>
  </si>
  <si>
    <t>MinAmount</t>
  </si>
  <si>
    <t>MaxAmount</t>
  </si>
  <si>
    <t>Priority</t>
  </si>
  <si>
    <t>Unique</t>
  </si>
  <si>
    <t>_Armors</t>
  </si>
  <si>
    <t>Item</t>
  </si>
  <si>
    <t>Breast</t>
  </si>
  <si>
    <t>No</t>
  </si>
  <si>
    <t>_ClothArmor</t>
  </si>
  <si>
    <t>ARM_Rags</t>
  </si>
  <si>
    <t>ARM_Shirt</t>
  </si>
  <si>
    <t>ARM_ThickCanvasGambeson</t>
  </si>
  <si>
    <t>ARM_ThickLeatherGambeson</t>
  </si>
  <si>
    <t>ARM_RivetedCanvasBrigandine</t>
  </si>
  <si>
    <t>_LeatherArmor</t>
  </si>
  <si>
    <t>ARM_Leather_Body_A</t>
  </si>
  <si>
    <t>ARM_BoiledLeatherRingArmor</t>
  </si>
  <si>
    <t>ARM_RivetedLeatherBrigandine</t>
  </si>
  <si>
    <t>ARM_RivetedScaleArmor</t>
  </si>
  <si>
    <t>ARM_LacedScaleArmor</t>
  </si>
  <si>
    <t>ARM_RoundedScaleArmor</t>
  </si>
  <si>
    <t>ARM_DragonScaleArmor</t>
  </si>
  <si>
    <t>ARM_SourceHunter_Breast</t>
  </si>
  <si>
    <t>ARM_Plate_Body_A</t>
  </si>
  <si>
    <t>Leggings</t>
  </si>
  <si>
    <t>_RobeArmor</t>
  </si>
  <si>
    <t>ARM_Coat</t>
  </si>
  <si>
    <t>Robe</t>
  </si>
  <si>
    <t>_ShoesBase</t>
  </si>
  <si>
    <t>Boots</t>
  </si>
  <si>
    <t>ARM_SourceHunter_Boots</t>
  </si>
  <si>
    <t>fb53e613-18b1-4543-adf9-0b73fa89c85f</t>
  </si>
  <si>
    <t>Shoe</t>
  </si>
  <si>
    <t>ARM_Leather_Boots_A</t>
  </si>
  <si>
    <t>ARM_Chain_Boots_A</t>
  </si>
  <si>
    <t>ARM_Plate_Boots_A</t>
  </si>
  <si>
    <t>_Belts</t>
  </si>
  <si>
    <t>Belt</t>
  </si>
  <si>
    <t>05691bac-6fb3-4cb7-902e-c5231337db14</t>
  </si>
  <si>
    <t>ARM_Leather_Belt_A</t>
  </si>
  <si>
    <t>ARM_Spikedbelt</t>
  </si>
  <si>
    <t>ARM_Chain_Belt_A</t>
  </si>
  <si>
    <t>4b1bf04a-0b41-4fc2-9776-159fc18f3388</t>
  </si>
  <si>
    <t>ARM_Heavychainbelt</t>
  </si>
  <si>
    <t>092b9b0d-9b22-4176-a890-07c6f6b9e3f8</t>
  </si>
  <si>
    <t>ARM_Plate_Belt_A</t>
  </si>
  <si>
    <t>_Gloves</t>
  </si>
  <si>
    <t>Gloves</t>
  </si>
  <si>
    <t>ARM_SourceHunter_Bracers</t>
  </si>
  <si>
    <t>21669364-b9f0-4d62-b79b-c532fbf2401c</t>
  </si>
  <si>
    <t>Glove</t>
  </si>
  <si>
    <t>ARM_Leather_Gloves_A</t>
  </si>
  <si>
    <t>ARM_Chain_Gloves_A</t>
  </si>
  <si>
    <t>ARM_Plate_Gloves_A</t>
  </si>
  <si>
    <t>Helmet</t>
  </si>
  <si>
    <t>FUR_Bucket_A</t>
  </si>
  <si>
    <t>0f653d13-3152-46d6-86a1-4b64b37e0668</t>
  </si>
  <si>
    <t>UNI_Halloween_Pumpkin_A</t>
  </si>
  <si>
    <t>e27d8032-02b9-4b4d-bb7e-b7a7ff73cb8a</t>
  </si>
  <si>
    <t>ARM_Leather_Helmet_A</t>
  </si>
  <si>
    <t>ARM_Chain_Helmet_A</t>
  </si>
  <si>
    <t>ARM_Plate_Helmet_A</t>
  </si>
  <si>
    <t>_Rings</t>
  </si>
  <si>
    <t>Ring</t>
  </si>
  <si>
    <t>ARM_Copper_Ring</t>
  </si>
  <si>
    <t>2df11137-ad29-414a-85b9-1a6eb952b488</t>
  </si>
  <si>
    <t>ARM_Silver_Ring</t>
  </si>
  <si>
    <t>98c30a7f-473c-49bb-a2eb-328a25f32ee4</t>
  </si>
  <si>
    <t>ARM_Gold_Ring</t>
  </si>
  <si>
    <t>fa4c97b6-4543-4346-a132-ccb8d82f23cc</t>
  </si>
  <si>
    <t>_Amulets</t>
  </si>
  <si>
    <t>Amulet</t>
  </si>
  <si>
    <t>ARM_Copper_Amulet</t>
  </si>
  <si>
    <t>7cf92c3b-2a7c-4a0b-86b2-f0c5c4beaea9</t>
  </si>
  <si>
    <t>ARM_Silver_Amulet</t>
  </si>
  <si>
    <t>37f38ca0-5322-4492-963c-8ce0a44716ea</t>
  </si>
  <si>
    <t>ARM_Gold_Amulet</t>
  </si>
  <si>
    <t>3db7da7f-e4e9-4943-ac84-51f3b4e34ac2</t>
  </si>
  <si>
    <t>_BOOSTS_Armor</t>
  </si>
  <si>
    <t>Boost</t>
  </si>
  <si>
    <t>_ArmorDefenseValue_ArmorBoost</t>
  </si>
  <si>
    <t>_Initiative_ArmorBoost</t>
  </si>
  <si>
    <t>_Perception_ArmorBoost</t>
  </si>
  <si>
    <t>_Durability_ArmorBoost</t>
  </si>
  <si>
    <t>_Value_ArmorBoost</t>
  </si>
  <si>
    <t>_FireSmall_ArmorBoost</t>
  </si>
  <si>
    <t>_Air_ArmorBoost</t>
  </si>
  <si>
    <t>_Water_ArmorBoost</t>
  </si>
  <si>
    <t>_Earth_ArmorBoost</t>
  </si>
  <si>
    <t>_Poison_ArmorBoost</t>
  </si>
  <si>
    <t>_Shadow_ArmorBoost</t>
  </si>
  <si>
    <t>_Piercing_ArmorBoost</t>
  </si>
  <si>
    <t>_Crushing_ArmorBoost</t>
  </si>
  <si>
    <t>_Slashing_ArmorBoost</t>
  </si>
  <si>
    <t>_Strength_ArmorBoost</t>
  </si>
  <si>
    <t>_Speed_ArmorBoost</t>
  </si>
  <si>
    <t>_Intelligence_ArmorBoost</t>
  </si>
  <si>
    <t>_Constitution_ArmorBoost</t>
  </si>
  <si>
    <t>_Luck_ArmorBoost</t>
  </si>
  <si>
    <t>_Sight_ArmorBoost</t>
  </si>
  <si>
    <t>_Hearing_ArmorBoost</t>
  </si>
  <si>
    <t>_Vitality_ArmorBoost</t>
  </si>
  <si>
    <t>Conditions</t>
  </si>
  <si>
    <t>AttributeFlags</t>
  </si>
  <si>
    <t>SurfaceCollisionFlags</t>
  </si>
  <si>
    <t>Properties</t>
  </si>
  <si>
    <t>FixedString</t>
  </si>
  <si>
    <t>ConstantInt</t>
  </si>
  <si>
    <t>None</t>
  </si>
  <si>
    <t>PreciseQualifier</t>
  </si>
  <si>
    <t>BigQualifier</t>
  </si>
  <si>
    <t>Penalty Qualifier</t>
  </si>
  <si>
    <t>Penalty PreciseQualifier</t>
  </si>
  <si>
    <t>ActPart</t>
  </si>
  <si>
    <t>Character</t>
  </si>
  <si>
    <t>Enemy</t>
  </si>
  <si>
    <t>Ally</t>
  </si>
  <si>
    <t>Locked</t>
  </si>
  <si>
    <t>SkillTargetCondition</t>
  </si>
  <si>
    <t>RangedWeapon</t>
  </si>
  <si>
    <t>MeleeWeapon</t>
  </si>
  <si>
    <t>SkillRequirement</t>
  </si>
  <si>
    <t>SkillElement</t>
  </si>
  <si>
    <t>Ranger</t>
  </si>
  <si>
    <t>Warrior</t>
  </si>
  <si>
    <t>Summon</t>
  </si>
  <si>
    <t>Defensive</t>
  </si>
  <si>
    <t>Offensive</t>
  </si>
  <si>
    <t>SkillAbility</t>
  </si>
  <si>
    <t>Food</t>
  </si>
  <si>
    <t>Crystal</t>
  </si>
  <si>
    <t>Skill</t>
  </si>
  <si>
    <t>Arrow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</si>
  <si>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</si>
  <si>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</si>
  <si>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</si>
  <si>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</si>
  <si>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</si>
  <si>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</si>
  <si>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</si>
  <si>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</si>
  <si>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</si>
  <si>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</si>
  <si>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Yes</t>
  </si>
  <si>
    <t>YesNo</t>
  </si>
  <si>
    <t>Arrow3</t>
  </si>
  <si>
    <t>Arrow2</t>
  </si>
  <si>
    <t>Ring2</t>
  </si>
  <si>
    <t>Weapon</t>
  </si>
  <si>
    <t>Itemslot</t>
  </si>
  <si>
    <t>PoisonContact</t>
  </si>
  <si>
    <t>StunContact</t>
  </si>
  <si>
    <t>BurnContact</t>
  </si>
  <si>
    <t>FreezeContact</t>
  </si>
  <si>
    <t>PoisonImmunity</t>
  </si>
  <si>
    <t>StunImmunity</t>
  </si>
  <si>
    <t>BurnImmunity</t>
  </si>
  <si>
    <t>FreezeImmunity</t>
  </si>
  <si>
    <t>Douse</t>
  </si>
  <si>
    <t>Game Action</t>
  </si>
  <si>
    <t>Electrify</t>
  </si>
  <si>
    <t>Freeze</t>
  </si>
  <si>
    <t>Melt</t>
  </si>
  <si>
    <t>Ignite</t>
  </si>
  <si>
    <t>Surface Change</t>
  </si>
  <si>
    <t>Oil</t>
  </si>
  <si>
    <t>Electrified</t>
  </si>
  <si>
    <t>Ooze</t>
  </si>
  <si>
    <t>Ice</t>
  </si>
  <si>
    <t>Surface Type</t>
  </si>
  <si>
    <t>Consume</t>
  </si>
  <si>
    <t>Fear</t>
  </si>
  <si>
    <t>Knockdown</t>
  </si>
  <si>
    <t>Mute</t>
  </si>
  <si>
    <t>Wet</t>
  </si>
  <si>
    <t>Stun</t>
  </si>
  <si>
    <t>Frozen</t>
  </si>
  <si>
    <t>Burning</t>
  </si>
  <si>
    <t>Unlock</t>
  </si>
  <si>
    <t>Status Type</t>
  </si>
  <si>
    <t>Qualifier</t>
  </si>
  <si>
    <t>FrozenShatter</t>
  </si>
  <si>
    <t>Electrocution</t>
  </si>
  <si>
    <t>Acid</t>
  </si>
  <si>
    <t>Incinerate</t>
  </si>
  <si>
    <t>DoT</t>
  </si>
  <si>
    <t>Death Type</t>
  </si>
  <si>
    <t>Damage Type</t>
  </si>
  <si>
    <t>Handedness</t>
  </si>
  <si>
    <t>Value List</t>
  </si>
  <si>
    <t>Value Type</t>
  </si>
  <si>
    <t>ComboCategory</t>
  </si>
  <si>
    <t>ArmorLeather</t>
  </si>
  <si>
    <t>ArmorScale</t>
  </si>
  <si>
    <t>ArmorShoes</t>
  </si>
  <si>
    <t>ArmorGloves</t>
  </si>
  <si>
    <t>ArmorHelmet</t>
  </si>
  <si>
    <t>ArmorBelt</t>
  </si>
  <si>
    <t>Dead</t>
  </si>
  <si>
    <t>Resurrect</t>
  </si>
  <si>
    <t>Osiris Task</t>
  </si>
  <si>
    <t>CreateSurface</t>
  </si>
  <si>
    <t>CloudSmoke</t>
  </si>
  <si>
    <t>CloudSteam</t>
  </si>
  <si>
    <t>CloudStatic</t>
  </si>
  <si>
    <t>CloudPoison</t>
  </si>
  <si>
    <t>Lava</t>
  </si>
  <si>
    <t>ARM_Helmet_Antler_A</t>
  </si>
  <si>
    <t>f6bb50f4-769b-456a-983c-ce68c6fe0048</t>
  </si>
  <si>
    <t>ARM_Helmet_CrabPincer_A</t>
  </si>
  <si>
    <t>72077992-49c1-499c-ba6e-61f6b4dea5ff</t>
  </si>
  <si>
    <t>ARM_Helmet_Feather_A</t>
  </si>
  <si>
    <t>0d9e8eb7-dd89-4fad-87c1-cc8b3dc3db48</t>
  </si>
  <si>
    <t>ARM_Helmet_Starfish_A</t>
  </si>
  <si>
    <t>b75cc6ed-9417-4c70-93f0-036da02a4bbb</t>
  </si>
  <si>
    <t>ARM_Helmet_ThirdEye_A</t>
  </si>
  <si>
    <t>4a591f8f-ccb1-43c8-a9ed-0ed34f38eed1</t>
  </si>
  <si>
    <t>LOOT_EerieEye_Amulet_A</t>
  </si>
  <si>
    <t>33f061a5-8fec-4a27-a9a2-86651e6fcfa4</t>
  </si>
  <si>
    <t>LOOT_Chicken_Claw_MagicAmulet_A</t>
  </si>
  <si>
    <t>a5322336-c200-43cd-a956-93ca57d35011</t>
  </si>
  <si>
    <t>LOOT_Chicken_Claw_MagicBelt_A</t>
  </si>
  <si>
    <t>6a13e2c6-6019-48dd-95a9-1cadd5b0e587</t>
  </si>
  <si>
    <t>LOOT_Chicken_Claw_MagicRing_A</t>
  </si>
  <si>
    <t>aa4fcea6-383c-4d2b-83f8-fa20319c425d</t>
  </si>
  <si>
    <t>LOOT_Claw_MagicAmulet_A</t>
  </si>
  <si>
    <t>0b0c2003-c1a3-46df-8837-59d6bda78d8c</t>
  </si>
  <si>
    <t>LOOT_Claw_MagicBelt_A</t>
  </si>
  <si>
    <t>1928f53c-366e-4b88-b05d-6df69289f533</t>
  </si>
  <si>
    <t>LOOT_Claw_MagicRing_A</t>
  </si>
  <si>
    <t>24362f75-eab5-4c87-bd69-afcec69ce6cf</t>
  </si>
  <si>
    <t>LOOT_Feather_MagicAmulet_A</t>
  </si>
  <si>
    <t>7feacc52-766e-4550-b730-f3a1541a5d96</t>
  </si>
  <si>
    <t>LOOT_Feather_MagicBelt_A</t>
  </si>
  <si>
    <t>9ba64e9f-d916-4bb2-ada5-887e0698f684</t>
  </si>
  <si>
    <t>LOOT_Feather_MagicRing_A</t>
  </si>
  <si>
    <t>e08b2364-e754-4f78-ab89-7d0a901c17cd</t>
  </si>
  <si>
    <t>LOOT_Rabbit_Paw_MagicAmulet_A</t>
  </si>
  <si>
    <t>6e9073ee-2062-4b47-8518-2f5c3e7167e2</t>
  </si>
  <si>
    <t>LOOT_Rabbit_Paw_MagicBelt_A</t>
  </si>
  <si>
    <t>722c2237-946d-46f5-af15-8d23cef69076</t>
  </si>
  <si>
    <t>LOOT_Rabbit_Paw_MagicRing_A</t>
  </si>
  <si>
    <t>ba6d8030-234d-47e4-a18c-d5cda8fa0d1a</t>
  </si>
  <si>
    <t>LOOT_Rat_Tail_MagicAmulet_A</t>
  </si>
  <si>
    <t>3c644b5e-84de-4c9e-93a4-e43ce6d148e8</t>
  </si>
  <si>
    <t>LOOT_Rat_Tail_MagicBelt_A</t>
  </si>
  <si>
    <t>d1493ca1-8125-49c9-9946-eab13306bbd0</t>
  </si>
  <si>
    <t>LOOT_Rat_Tail_MagicRing_A</t>
  </si>
  <si>
    <t>1d268572-69ae-4947-9272-60ee93785554</t>
  </si>
  <si>
    <t>LOOT_Skull_MagicAmulet_A</t>
  </si>
  <si>
    <t>8f5ff4ce-c64c-4471-9b55-7dc448e27b48</t>
  </si>
  <si>
    <t>LOOT_Skull_MagicBelt_A</t>
  </si>
  <si>
    <t>acbbf2ff-3163-4f16-b0ee-10e7aa5caa9e</t>
  </si>
  <si>
    <t>LOOT_Skull_MagicRing_A</t>
  </si>
  <si>
    <t>c21de6ee-136b-45f7-b083-565d3f458726</t>
  </si>
  <si>
    <t>LOOT_Star_Fish_MagicAmulet_A</t>
  </si>
  <si>
    <t>1601dd72-741c-43e1-96c5-c72e10c3f7e4</t>
  </si>
  <si>
    <t>LOOT_Tooth_MagicAmulet_A</t>
  </si>
  <si>
    <t>8f726a44-ccfa-422d-9c40-eb118bf8fd6d</t>
  </si>
  <si>
    <t>LOOT_Tooth_MagicBelt_A</t>
  </si>
  <si>
    <t>816c81bc-eae5-47ff-8421-8e0793a75d30</t>
  </si>
  <si>
    <t>LOOT_Tooth_MagicRing_A</t>
  </si>
  <si>
    <t>6aabd700-d8e7-46c4-88ae-5c910dc08bf2</t>
  </si>
  <si>
    <t>LOOT_Tusk_MagicAmulet_A</t>
  </si>
  <si>
    <t>d92358d1-549b-4c44-bde7-9ac3a541d99c</t>
  </si>
  <si>
    <t>LOOT_Tusk_MagicBelt_A</t>
  </si>
  <si>
    <t>b0b1c23f-444e-4a3e-913b-8eb1f753ee3d</t>
  </si>
  <si>
    <t>LOOT_Tusk_MagicRing_A</t>
  </si>
  <si>
    <t>26bc3af3-4c76-4e75-89c9-ca18ad186d30</t>
  </si>
  <si>
    <t>LOOT_Star_Fish_Amulet_A</t>
  </si>
  <si>
    <t>8972b9b5-097d-482e-a547-ec7b981af692</t>
  </si>
  <si>
    <t>LOOT_Rabbit_Paw_SuperAmulet_A</t>
  </si>
  <si>
    <t>92119938-b761-4933-acf4-f37ad91da989</t>
  </si>
  <si>
    <t>LOOT_Rabbit_Paw_SuperBelt_A</t>
  </si>
  <si>
    <t>853bb144-ef79-495c-b639-5905e9eeed30</t>
  </si>
  <si>
    <t>LOOT_Rabbit_Paw_SuperRing_A</t>
  </si>
  <si>
    <t>4e308c47-9a32-4d89-baf8-00f6c7208b23</t>
  </si>
  <si>
    <t>BlackRocked</t>
  </si>
  <si>
    <t>LeatherHelmet</t>
  </si>
  <si>
    <t>_Crafted</t>
  </si>
  <si>
    <t>ARM_Cloth_A_Boots</t>
  </si>
  <si>
    <t>ARM_Cloth_A_Bracers</t>
  </si>
  <si>
    <t>ARM_Cloth_A_Helmet</t>
  </si>
  <si>
    <t>ARM_Cloth_A_Torso</t>
  </si>
  <si>
    <t>ARM_Cloth_B_Boots</t>
  </si>
  <si>
    <t>ARM_Cloth_B_Torso</t>
  </si>
  <si>
    <t>ARM_Leather_A_Boots</t>
  </si>
  <si>
    <t>ARM_Leather_A_Torso</t>
  </si>
  <si>
    <t>ARM_Leather_B_Torso</t>
  </si>
  <si>
    <t>ARM_Leather_B_Boots</t>
  </si>
  <si>
    <t>ARM_Metal_A_Boots</t>
  </si>
  <si>
    <t>ARM_Metal_A_Bracers</t>
  </si>
  <si>
    <t>ARM_Metal_A_Helmet</t>
  </si>
  <si>
    <t>ARM_Metal_A_Torso</t>
  </si>
  <si>
    <t>ARM_Metal_B_Boots</t>
  </si>
  <si>
    <t>ARM_Metal_B_Torso</t>
  </si>
  <si>
    <t>ARM_Robe_A_Torso</t>
  </si>
  <si>
    <t>ARM_Cloth_B_Bracers</t>
  </si>
  <si>
    <t>ARM_Cloth_B_Helmet</t>
  </si>
  <si>
    <t>ARM_Leather_A_Bracers</t>
  </si>
  <si>
    <t>ARM_Leather_A_Helmet</t>
  </si>
  <si>
    <t>ARM_Leather_B_Bracers</t>
  </si>
  <si>
    <t>ARM_Metal_B_Bracers</t>
  </si>
  <si>
    <t>ARM_Metal_B_Helmet</t>
  </si>
  <si>
    <t>ARM_Leather_B_Helmet</t>
  </si>
  <si>
    <t>ARM_Garment</t>
  </si>
  <si>
    <t>e639dfa3-8359-47e9-8a14-c18b2c600905</t>
  </si>
  <si>
    <t>TargetCreateSurface</t>
  </si>
  <si>
    <t>BloodElectrified</t>
  </si>
  <si>
    <t>BloodFrozen</t>
  </si>
  <si>
    <t>Blood</t>
  </si>
  <si>
    <t>e7dd9633-26d4-4782-9d76-d7c27054f445</t>
  </si>
  <si>
    <t>a1f8c38b-8304-40e5-ba42-b3be8a9d1dfd</t>
  </si>
  <si>
    <t>6753a7ee-f489-4cca-959f-d5a265d0023a</t>
  </si>
  <si>
    <t>de0e43d5-ada5-4b66-bcf3-0dc25957ec74</t>
  </si>
  <si>
    <t>9d421a7c-7c79-4420-8c30-76eb1d619e2b</t>
  </si>
  <si>
    <t>ddea0abe-2dd0-412d-85c9-8184143d6c6b</t>
  </si>
  <si>
    <t>1ebab2bc-226e-4e9a-8344-9b525f5e3c45</t>
  </si>
  <si>
    <t>7a7acaf8-08be-4691-8b97-614991d49682</t>
  </si>
  <si>
    <t>ca315f6e-39bf-4702-870c-745c8b849b75</t>
  </si>
  <si>
    <t>7e6db9df-3039-4eb8-b24b-d280adc0acc2</t>
  </si>
  <si>
    <t>c8b537c7-1fba-4e40-8a41-5e793e96301f</t>
  </si>
  <si>
    <t>c7a4b386-a504-41ba-becb-8dfc6791b959</t>
  </si>
  <si>
    <t>30a127b4-00f1-4aea-986f-2011d55d2218</t>
  </si>
  <si>
    <t>3e09cd3f-6897-4fa3-99fd-99191eef4922</t>
  </si>
  <si>
    <t>76a16e85-e2f2-4a2e-b365-9d3256d495c0</t>
  </si>
  <si>
    <t>ef078dcc-face-4c1f-8807-24aad4079529</t>
  </si>
  <si>
    <t>03816ffb-ea6b-485b-ac66-38f9ccf90c11</t>
  </si>
  <si>
    <t>f812ab67-011f-4bf6-baef-1a87f8f49672</t>
  </si>
  <si>
    <t>9234a7f6-da90-4a2a-b678-a0727ed9e00d</t>
  </si>
  <si>
    <t>d5266305-cce3-4764-a9ad-7869d24b73e8</t>
  </si>
  <si>
    <t>f71abdaf-acca-4e1b-877b-bcee28b7a931</t>
  </si>
  <si>
    <t>e5becbe7-1b0f-4319-864c-1e54e4a7fd44</t>
  </si>
  <si>
    <t>NonSummon</t>
  </si>
  <si>
    <t>ARM_Cloth_C_Helmet</t>
  </si>
  <si>
    <t>ARM_Cloth_D_Helmet</t>
  </si>
  <si>
    <t>ARM_Cloth_E_Helmet</t>
  </si>
  <si>
    <t>ARM_Cloth_F_Helmet</t>
  </si>
  <si>
    <t>ARM_Leather_C_Helmet</t>
  </si>
  <si>
    <t>ARM_Leather_D_Helmet</t>
  </si>
  <si>
    <t>ARM_Leather_E_Helmet</t>
  </si>
  <si>
    <t>ARM_Leather_F_Helmet</t>
  </si>
  <si>
    <t>ARM_Metal_C_Helmet</t>
  </si>
  <si>
    <t>ARM_Metal_D_Helmet</t>
  </si>
  <si>
    <t>ARM_Metal_E_Helmet</t>
  </si>
  <si>
    <t>ARM_Metal_F_Helmet</t>
  </si>
  <si>
    <t>ARM_Gold_Ring_B</t>
  </si>
  <si>
    <t>ARM_Gold_Ring_C</t>
  </si>
  <si>
    <t>ARM_Gold_Amulet_B</t>
  </si>
  <si>
    <t>ARM_Gold_Amulet_C</t>
  </si>
  <si>
    <t>ARM_Garment_B</t>
  </si>
  <si>
    <t>ARM_Garment_C</t>
  </si>
  <si>
    <t>ARM_Garment_D</t>
  </si>
  <si>
    <t>ARM_Garment_E</t>
  </si>
  <si>
    <t>ARM_Garment_F</t>
  </si>
  <si>
    <t>ARM_Leather_C_Torso</t>
  </si>
  <si>
    <t>ARM_Leather_D_Torso</t>
  </si>
  <si>
    <t>ARM_Cloth_C_Torso</t>
  </si>
  <si>
    <t>_MetalArmor</t>
  </si>
  <si>
    <t>ARM_Robe_B_Torso</t>
  </si>
  <si>
    <t>ARM_Robe_C_Torso</t>
  </si>
  <si>
    <t>ARM_Robe_D_Torso</t>
  </si>
  <si>
    <t>ARM_Robe_E_Torso</t>
  </si>
  <si>
    <t>ARM_Robe_F_Torso</t>
  </si>
  <si>
    <t>ARM_Robe_G_Torso</t>
  </si>
  <si>
    <t>Garment</t>
  </si>
  <si>
    <t>_Garments</t>
  </si>
  <si>
    <t>ARM_Leather_E_Torso</t>
  </si>
  <si>
    <t>FUR_CookingPot_A_Open</t>
  </si>
  <si>
    <t>8cff18e0-f5f9-4cb3-8e59-06636168bf86</t>
  </si>
  <si>
    <t>ClothArmor</t>
  </si>
  <si>
    <t>RobeArmor</t>
  </si>
  <si>
    <t>_Sneaking_ArmorBoost</t>
  </si>
  <si>
    <t>_AllResist_ArmorBoost</t>
  </si>
  <si>
    <t>NonSelf</t>
  </si>
  <si>
    <t>Self</t>
  </si>
  <si>
    <t>InstantKnockdown</t>
  </si>
  <si>
    <t>Fear,5,1</t>
  </si>
  <si>
    <t>LOOT_Chicken_Claw_MagicAmulet_A_Big</t>
  </si>
  <si>
    <t>LOOT_Chicken_Claw_MagicBelt_A_Big</t>
  </si>
  <si>
    <t>LOOT_Chicken_Claw_MagicRing_A_Big</t>
  </si>
  <si>
    <t>LOOT_Claw_MagicAmulet_A_Sharp</t>
  </si>
  <si>
    <t>LOOT_Claw_MagicBelt_A_Sharp</t>
  </si>
  <si>
    <t>LOOT_Claw_MagicRing_A_Sharp</t>
  </si>
  <si>
    <t>LOOT_EerieEye_Amulet_A_Creepy</t>
  </si>
  <si>
    <t>ARM_Helmet_ThirdEye_A_Creepy</t>
  </si>
  <si>
    <t>LOOT_Feather_MagicAmulet_A_Fancy</t>
  </si>
  <si>
    <t>LOOT_Feather_MagicBelt_A_Fancy</t>
  </si>
  <si>
    <t>LOOT_Feather_MagicRing_A_Fancy</t>
  </si>
  <si>
    <t>LOOT_Rabbit_Paw_MagicAmulet_A_Lucky</t>
  </si>
  <si>
    <t>LOOT_Rabbit_Paw_MagicBelt_A_Lucky</t>
  </si>
  <si>
    <t>LOOT_Rabbit_Paw_MagicRing_A_Lucky</t>
  </si>
  <si>
    <t>LOOT_Rat_Tail_MagicAmulet_A_Long</t>
  </si>
  <si>
    <t>LOOT_Rat_Tail_MagicBelt_A_Long</t>
  </si>
  <si>
    <t>LOOT_Rat_Tail_MagicRing_A_Long</t>
  </si>
  <si>
    <t>LOOT_Skull_MagicAmulet_A_Ancient</t>
  </si>
  <si>
    <t>LOOT_Skull_MagicBelt_A_Ancient</t>
  </si>
  <si>
    <t>LOOT_Skull_MagicRing_A_Ancient</t>
  </si>
  <si>
    <t>LOOT_Skull_MagicAmulet_A_Tattooed</t>
  </si>
  <si>
    <t>LOOT_Skull_MagicBelt_A_Tattooed</t>
  </si>
  <si>
    <t>LOOT_Skull_MagicRing_A_Tattooed</t>
  </si>
  <si>
    <t>LOOT_Star_Fish_MagicAmulet_A_Glowing</t>
  </si>
  <si>
    <t>LOOT_Tooth_MagicAmulet_A_Sharp</t>
  </si>
  <si>
    <t>LOOT_Tooth_MagicBelt_A_Sharp</t>
  </si>
  <si>
    <t>LOOT_Tooth_MagicRing_A_Sharp</t>
  </si>
  <si>
    <t>LOOT_Tusk_MagicAmulet_A_Large</t>
  </si>
  <si>
    <t>LOOT_Tusk_MagicBelt_A_Large</t>
  </si>
  <si>
    <t>LOOT_Tusk_MagicRing_A_Large</t>
  </si>
  <si>
    <t>LOOT_Rabbit_Paw_SuperAmulet_A_Lucky</t>
  </si>
  <si>
    <t>LOOT_Rabbit_Paw_SuperBelt_A_Lucky</t>
  </si>
  <si>
    <t>LOOT_Rabbit_Paw_SuperRing_A_Lucky</t>
  </si>
  <si>
    <t>ARM_Helmet_Antler_A_Adult</t>
  </si>
  <si>
    <t>ARM_Helmet_Feather_A_Fancy</t>
  </si>
  <si>
    <t>ARM_Helmet_Starfish_A_Glowing</t>
  </si>
  <si>
    <t>_Dexterity_ArmorBoost</t>
  </si>
  <si>
    <t>_ArmorDefenseValue_Medium_ArmorBoost</t>
  </si>
  <si>
    <t>_ArmorDefenseValue_Large_ArmorBoost</t>
  </si>
  <si>
    <t>_Movement_ArmorBoost</t>
  </si>
  <si>
    <t>_Sneaking_LargeArmorBoost</t>
  </si>
  <si>
    <t>_Luck_Large_ArmorBoost</t>
  </si>
  <si>
    <t>_SingleHanded_ArmorBoost</t>
  </si>
  <si>
    <t>_SingleHanded_Lage_ArmorBoost</t>
  </si>
  <si>
    <t>_TwoHanded_ArmorBoost</t>
  </si>
  <si>
    <t>_TwoHanded_Large_ArmorBoost</t>
  </si>
  <si>
    <t>_Ranged_ArmorBoost</t>
  </si>
  <si>
    <t>_Ranged_Large_ArmorBoost</t>
  </si>
  <si>
    <t>_ArmorMastery_ArmorBoost</t>
  </si>
  <si>
    <t>_ArmorMastery_Large_ArmorBoost</t>
  </si>
  <si>
    <t>_Willpower_ArmorBoost</t>
  </si>
  <si>
    <t>_LoreMaster_ArmorBoost</t>
  </si>
  <si>
    <t>_Crafting_ArmorBoost</t>
  </si>
  <si>
    <t>_Leadership_ArmorBoost</t>
  </si>
  <si>
    <t>_ActionPoints_ArmorBoost</t>
  </si>
  <si>
    <t>_Willpower_Large_ArmorBoost</t>
  </si>
  <si>
    <t>_LoreMaster_Large_ArmorBoost</t>
  </si>
  <si>
    <t>_Crafting_Large_ArmorBoost</t>
  </si>
  <si>
    <t>_Leadership_Large_ArmorBoost</t>
  </si>
  <si>
    <t>_ActionPoints_Large_ArmorBoost</t>
  </si>
  <si>
    <t>ARM_SourceHunterClothAmor</t>
  </si>
  <si>
    <t>ARM_Cloth_D_Torso</t>
  </si>
  <si>
    <t>ARM_ThinCanvasGambeson</t>
  </si>
  <si>
    <t>ARM_PaddedLeatherGambeson</t>
  </si>
  <si>
    <t>ARM_ThinLeatherGambeson</t>
  </si>
  <si>
    <t>ARM_Cloth_E_Torso</t>
  </si>
  <si>
    <t>ARM_Cloth_F_Torso</t>
  </si>
  <si>
    <t>ARM_Cloth_G_Torso</t>
  </si>
  <si>
    <t>ARM_Leather_F_Torso</t>
  </si>
  <si>
    <t>ARM_Leather_G_Torso</t>
  </si>
  <si>
    <t>ARM_Leather_H_Torso</t>
  </si>
  <si>
    <t>ARM_Leather_I_Torso</t>
  </si>
  <si>
    <t>ARM_Leather_J_Torso</t>
  </si>
  <si>
    <t>ARM_Leather_K_Torso</t>
  </si>
  <si>
    <t>ARM_Leather_L_Torso</t>
  </si>
  <si>
    <t>ARM_Metal_E_Torso</t>
  </si>
  <si>
    <t>ARM_Metal_F_Torso</t>
  </si>
  <si>
    <t>ARM_Metal_G_Torso</t>
  </si>
  <si>
    <t>ARM_Robe_H_Torso</t>
  </si>
  <si>
    <t>ARM_Robe_I_Torso</t>
  </si>
  <si>
    <t>ARM_Robe_J_Torso</t>
  </si>
  <si>
    <t>ARM_Robe_K_Torso</t>
  </si>
  <si>
    <t>ARM_Robe_L_Torso</t>
  </si>
  <si>
    <t>ARM_Robe_M_Torso</t>
  </si>
  <si>
    <t>ARM_Garment_G</t>
  </si>
  <si>
    <t>ARM_Garment_H</t>
  </si>
  <si>
    <t>ARM_Garment_A</t>
  </si>
  <si>
    <t>ARM_Leather_Boots_B</t>
  </si>
  <si>
    <t>ARM_Metal_C_Boots</t>
  </si>
  <si>
    <t>ARM_Chain_Boots_B</t>
  </si>
  <si>
    <t>ARM_Metal_D_Boots</t>
  </si>
  <si>
    <t>ARM_Plate_Boots_B</t>
  </si>
  <si>
    <t>ARM_Heavychainbelt_B</t>
  </si>
  <si>
    <t>ARM_Chain_Gloves_B</t>
  </si>
  <si>
    <t>ARM_Leather_C_Bracers</t>
  </si>
  <si>
    <t>ARM_Robe_N_Torso</t>
  </si>
  <si>
    <t>ARM_Metal_C_Bracers</t>
  </si>
  <si>
    <t>ARM_Copper_Ring_B</t>
  </si>
  <si>
    <t>ARM_Silver_Ring_B</t>
  </si>
  <si>
    <t>ARM_Gold_Ring_D</t>
  </si>
  <si>
    <t>ARM_Gold_Ring_E</t>
  </si>
  <si>
    <t>ARM_Gold_Ring_F</t>
  </si>
  <si>
    <t>ARM_Gold_Ring_G</t>
  </si>
  <si>
    <t>ARM_Plate_Gloves_B</t>
  </si>
  <si>
    <t>ARM_Metal_D_Bracers</t>
  </si>
  <si>
    <t>_Body_Boost_Value</t>
  </si>
  <si>
    <t>_Body_Boost_Movement</t>
  </si>
  <si>
    <t>_Body_Boost_FireRes</t>
  </si>
  <si>
    <t>_Body_Boost_AirRes</t>
  </si>
  <si>
    <t>_Body_Boost_WaterRes</t>
  </si>
  <si>
    <t>_Body_Boost_EarthRes</t>
  </si>
  <si>
    <t>_Body_Boost_STR</t>
  </si>
  <si>
    <t>_Body_Boost_DEX</t>
  </si>
  <si>
    <t>_Body_Boost_INT</t>
  </si>
  <si>
    <t>_Body_Boost_CON</t>
  </si>
  <si>
    <t>_Body_Boost_SPD</t>
  </si>
  <si>
    <t>_Body_Boost_PER</t>
  </si>
  <si>
    <t>_Body_Boost_ArmorMastery</t>
  </si>
  <si>
    <t>_Body_Boost_VitalityBoost</t>
  </si>
  <si>
    <t>_Shoes_Boost_Value</t>
  </si>
  <si>
    <t>_Shoes_Boost_Movement</t>
  </si>
  <si>
    <t>_Shoes_Boost_SPD</t>
  </si>
  <si>
    <t>_Shoes_Boost_Sneaking</t>
  </si>
  <si>
    <t>_Shoes_Boost_Pickpocket</t>
  </si>
  <si>
    <t>_Shoes_Boost_Barter</t>
  </si>
  <si>
    <t>_Shoes_Boost_Luck</t>
  </si>
  <si>
    <t>_Shoes_Boost_VitalityBoost</t>
  </si>
  <si>
    <t>_Shoes_Boost_ActionPoints</t>
  </si>
  <si>
    <t>_Garment_Boost_Value</t>
  </si>
  <si>
    <t>_Garment_Boost_Initiative</t>
  </si>
  <si>
    <t>_Garment_Boost_FireRes</t>
  </si>
  <si>
    <t>_Garment_Boost_AirRes</t>
  </si>
  <si>
    <t>_Garment_Boost_WaterRes</t>
  </si>
  <si>
    <t>_Garment_Boost_EarthRes</t>
  </si>
  <si>
    <t>_Garment_Boost_PoisonRes</t>
  </si>
  <si>
    <t>_Garment_Boost_ShadowRes</t>
  </si>
  <si>
    <t>_Garment_Boost_INT</t>
  </si>
  <si>
    <t>_Garment_Boost_Willpower</t>
  </si>
  <si>
    <t>_Garment_Boost_BodyBuilding</t>
  </si>
  <si>
    <t>_Garment_Boost_VitalityBoost</t>
  </si>
  <si>
    <t>_Gloves_Boost_Value</t>
  </si>
  <si>
    <t>_Gloves_Boost_DEX</t>
  </si>
  <si>
    <t>_Gloves_Boost_SingleHanded</t>
  </si>
  <si>
    <t>_Gloves_Boost_Ranged</t>
  </si>
  <si>
    <t>_Gloves_Boost_Telekinesis</t>
  </si>
  <si>
    <t>_Gloves_Boost_Healing</t>
  </si>
  <si>
    <t>_Gloves_Boost_Repair</t>
  </si>
  <si>
    <t>_Gloves_Boost_Pickpocket</t>
  </si>
  <si>
    <t>_Gloves_Boost_Lockpicking</t>
  </si>
  <si>
    <t>_Gloves_Boost_Crafting</t>
  </si>
  <si>
    <t>_Belt_Boost_Value</t>
  </si>
  <si>
    <t>_Helmet_Boost_Value</t>
  </si>
  <si>
    <t>_Ring_Boost_Value</t>
  </si>
  <si>
    <t>_Amulet_Boost_Value</t>
  </si>
  <si>
    <t>_Belt_Boost_Initiative</t>
  </si>
  <si>
    <t>_Amulet_Boost_Initiative</t>
  </si>
  <si>
    <t>_Belt_Boost_PoisonRes</t>
  </si>
  <si>
    <t>_Ring_Boost_PoisonRes</t>
  </si>
  <si>
    <t>_Belt_Boost_ShadowRes</t>
  </si>
  <si>
    <t>_Ring_Boost_ShadowRes</t>
  </si>
  <si>
    <t>_Belt_Boost_STR</t>
  </si>
  <si>
    <t>_Helmet_Boost_PER</t>
  </si>
  <si>
    <t>_Belt_Boost_TwoHanded</t>
  </si>
  <si>
    <t>_Ring_Boost_Blackrock</t>
  </si>
  <si>
    <t>_Amulet_Boost_Blackrock</t>
  </si>
  <si>
    <t>_Belt_Boost_Shield</t>
  </si>
  <si>
    <t>_Helmet_Boost_ArmorMastery</t>
  </si>
  <si>
    <t>_Ring_Boost_Telekinesis</t>
  </si>
  <si>
    <t>_Belt_Boost_Healing</t>
  </si>
  <si>
    <t>_Belt_Boost_BodyBuilding</t>
  </si>
  <si>
    <t>_Belt_Boost_Repair</t>
  </si>
  <si>
    <t>_Helmet_Boost_Sneaking</t>
  </si>
  <si>
    <t>_Belt_Boost_Lockpicking</t>
  </si>
  <si>
    <t>_Ring_Boost_Loremaster</t>
  </si>
  <si>
    <t>_Amulet_Boost_Loremaster</t>
  </si>
  <si>
    <t>_Belt_Boost_Crafting</t>
  </si>
  <si>
    <t>_Amulet_Boost_Barter</t>
  </si>
  <si>
    <t>_Helmet_Boost_Leadership</t>
  </si>
  <si>
    <t>_Helmet_Boost_SightBoost</t>
  </si>
  <si>
    <t>_Ring_Boost_SightBoost</t>
  </si>
  <si>
    <t>_Amulet_Boost_SightBoost</t>
  </si>
  <si>
    <t>_Helmet_Boost_HearingBoost</t>
  </si>
  <si>
    <t>_Ring_Boost_HearingBoost</t>
  </si>
  <si>
    <t>_Amulet_Boost_HearingBoost</t>
  </si>
  <si>
    <t>_Helmet_Boost_VitalityBoost</t>
  </si>
  <si>
    <t>_Amulet_Boost_VitalityBoost</t>
  </si>
  <si>
    <t>daa502f1-675e-4d2d-ae18-4a74d1b3e6cf</t>
  </si>
  <si>
    <t>Torch</t>
  </si>
  <si>
    <t>MuteImmunity</t>
  </si>
  <si>
    <t>KnockdownImmunity</t>
  </si>
  <si>
    <t>FearImmunity</t>
  </si>
  <si>
    <t>CharmImmunity</t>
  </si>
  <si>
    <t>APMaximum</t>
  </si>
  <si>
    <t>APStart</t>
  </si>
  <si>
    <t>APRecovery</t>
  </si>
  <si>
    <t>Stance</t>
  </si>
  <si>
    <t>ChanceToHitBoost</t>
  </si>
  <si>
    <t>Junk</t>
  </si>
  <si>
    <t>ARM_Plate_Body_B</t>
  </si>
  <si>
    <t>ARM_Metal_H_Torso</t>
  </si>
  <si>
    <t>ARM_RivetedScaleArmor_B</t>
  </si>
  <si>
    <t>ARM_LacedScaleArmor_B</t>
  </si>
  <si>
    <t>ARM_Chain_Body_B</t>
  </si>
  <si>
    <t>OnRangedAttack</t>
  </si>
  <si>
    <t>OnMeleeAttack</t>
  </si>
  <si>
    <t>SkillBoostConditions</t>
  </si>
  <si>
    <t>Stunned</t>
  </si>
  <si>
    <t>KnockDown</t>
  </si>
  <si>
    <t>SavingThrow</t>
  </si>
  <si>
    <t>3fac20bf-b4d6-4530-917e-1e28b9f06c75</t>
  </si>
  <si>
    <t>e3e47138-996d-4ba5-9d8e-0f551f688a6a</t>
  </si>
  <si>
    <t>6e6ceaf9-11e0-4715-a1e6-cb8b99f1aaaf</t>
  </si>
  <si>
    <t>d747a224-1912-4243-ac56-fdff7ebeab57</t>
  </si>
  <si>
    <t>4a9ff219-19bb-41dc-a0c2-c01f300227f2</t>
  </si>
  <si>
    <t>0bc81eba-32bd-49ad-96b8-c0891fb6555e</t>
  </si>
  <si>
    <t>cbf80247-ae37-4000-a152-55c3c8675cba</t>
  </si>
  <si>
    <t>84220e2c-999e-4d88-a1df-35c68dc20f04</t>
  </si>
  <si>
    <t>5654391d-64a7-484c-b68f-e2d7b7846efc</t>
  </si>
  <si>
    <t>b25af78a-a573-4ab8-bf4d-cab758d9f4f6</t>
  </si>
  <si>
    <t>_ChainArmor</t>
  </si>
  <si>
    <t>ARM_RoundedScaleArmor_B</t>
  </si>
  <si>
    <t>ARM_Chain_Body_C</t>
  </si>
  <si>
    <t>ARM_Chain_Body_D</t>
  </si>
  <si>
    <t>ARM_Chain_Body_E</t>
  </si>
  <si>
    <t>ARM_Chain_Body_F</t>
  </si>
  <si>
    <t>ARM_Chain_Body_G</t>
  </si>
  <si>
    <t>ARM_Metal_C_Torso</t>
  </si>
  <si>
    <t>ARM_Metal_D_Torso</t>
  </si>
  <si>
    <t>ARM_Plate_Body_C</t>
  </si>
  <si>
    <t>ARM_Plate_Body_D</t>
  </si>
  <si>
    <t>ARM_Plate_Body_E</t>
  </si>
  <si>
    <t>ARM_Plate_Body_F</t>
  </si>
  <si>
    <t>ARM_Leather_G_Helmet</t>
  </si>
  <si>
    <t>ARM_Leather_H_Helmet</t>
  </si>
  <si>
    <t>ARM_Leather_I_Helmet</t>
  </si>
  <si>
    <t>ARM_Leather_J_Helmet</t>
  </si>
  <si>
    <t>ARM_Leather_K_Helmet</t>
  </si>
  <si>
    <t>ARM_Metal_G_Helmet</t>
  </si>
  <si>
    <t>ARM_Metal_H_Helmet</t>
  </si>
  <si>
    <t>ARM_Metal_I_Helmet</t>
  </si>
  <si>
    <t>ARM_Chain_Body_C_B</t>
  </si>
  <si>
    <t>Strength 9</t>
  </si>
  <si>
    <t>ARM_Leather_Body_SourceHunter</t>
  </si>
  <si>
    <t>InventoryTab</t>
  </si>
  <si>
    <t>Hidden</t>
  </si>
  <si>
    <t>Misc</t>
  </si>
  <si>
    <t>Ingredient</t>
  </si>
  <si>
    <t>Magical</t>
  </si>
  <si>
    <t>Consumable</t>
  </si>
  <si>
    <t>Auto</t>
  </si>
  <si>
    <t>InventoryTabs</t>
  </si>
  <si>
    <t>Equipment</t>
  </si>
  <si>
    <t>_Gloves_Boost_Ranged_Xbow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</si>
  <si>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</si>
  <si>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</si>
  <si>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</si>
  <si>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</si>
  <si>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</si>
  <si>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</si>
  <si>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</si>
  <si>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</si>
  <si>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</si>
  <si>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</si>
  <si>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</si>
  <si>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</si>
  <si>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</si>
  <si>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</si>
  <si>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</si>
  <si>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</si>
  <si>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</si>
  <si>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</si>
  <si>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</si>
  <si>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</si>
  <si>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</si>
  <si>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</si>
  <si>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</si>
  <si>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BodyBuilding</t>
  </si>
  <si>
    <t>Blessed</t>
  </si>
  <si>
    <t>Fortified</t>
  </si>
  <si>
    <t>Clean</t>
  </si>
  <si>
    <t>Smelly</t>
  </si>
  <si>
    <t>Lucky</t>
  </si>
  <si>
    <t>Raged</t>
  </si>
  <si>
    <t>Hasted</t>
  </si>
  <si>
    <t>Invisible</t>
  </si>
  <si>
    <t>Warm</t>
  </si>
  <si>
    <t>Chilled</t>
  </si>
  <si>
    <t>Source</t>
  </si>
  <si>
    <t>VoidAura</t>
  </si>
  <si>
    <t>Invulnerable</t>
  </si>
  <si>
    <t>PetrifiedShatter</t>
  </si>
  <si>
    <t>_Body_Boost_BodyBuilding</t>
  </si>
  <si>
    <t>Storm</t>
  </si>
  <si>
    <t>Rain</t>
  </si>
  <si>
    <t>AtmosphereType</t>
  </si>
  <si>
    <t>ARM_CraftedClothBoots_01</t>
  </si>
  <si>
    <t>ARM_CraftedClothBoots_02</t>
  </si>
  <si>
    <t>ARM_CraftedLeatherBoots_01</t>
  </si>
  <si>
    <t>ARM_CraftedLeatherBoots_02</t>
  </si>
  <si>
    <t>ARM_CraftedLeatherBoots_03</t>
  </si>
  <si>
    <t>ARM_CraftedMetalBoots_01</t>
  </si>
  <si>
    <t>ARM_CraftedMetalBoots_02</t>
  </si>
  <si>
    <t>ARM_CraftedMetalBoots_03</t>
  </si>
  <si>
    <t>ARM_CraftedClothTorso_01</t>
  </si>
  <si>
    <t>ARM_CraftedClothTorso_02</t>
  </si>
  <si>
    <t>ARM_CraftedClothTorso_03</t>
  </si>
  <si>
    <t>ARM_CraftedClothTorso_04</t>
  </si>
  <si>
    <t>ARM_CraftedClothTorso_05</t>
  </si>
  <si>
    <t>ARM_CraftedLeatherTorso_01</t>
  </si>
  <si>
    <t>ARM_CraftedLeatherTorso_02</t>
  </si>
  <si>
    <t>ARM_CraftedLeatherTorso_03</t>
  </si>
  <si>
    <t>ARM_CraftedLeatherTorso_04</t>
  </si>
  <si>
    <t>ARM_CraftedMetalTorso_01</t>
  </si>
  <si>
    <t>ARM_CraftedMetalTorso_02</t>
  </si>
  <si>
    <t>ARM_CraftedMetalTorso_03</t>
  </si>
  <si>
    <t>Dexterity 6</t>
  </si>
  <si>
    <t>ARM_CraftedRobe_01</t>
  </si>
  <si>
    <t>Intelligence 6</t>
  </si>
  <si>
    <t>Dexterity 5</t>
  </si>
  <si>
    <t>Strength 5</t>
  </si>
  <si>
    <t>Intelligence 5</t>
  </si>
  <si>
    <t>StaffWeapon</t>
  </si>
  <si>
    <t>9ecd664e-c82a-4ffd-87da-17cf61c74a38</t>
  </si>
  <si>
    <t>6c2fcb85-018d-4289-8cbc-3894fa1387b0</t>
  </si>
  <si>
    <t>75cf1a78-231f-4d6d-b1c0-40346dbf2f33</t>
  </si>
  <si>
    <t>ARM_Chain_Body_Sourcehunter</t>
  </si>
  <si>
    <t>37cf16ea-1b5a-4b68-af51-286985d3b160</t>
  </si>
  <si>
    <t>ARM_Robe_SourceHunter_Water</t>
  </si>
  <si>
    <t>ARM_Robe_SourceHunter_Fire</t>
  </si>
  <si>
    <t>ARM_Robe_SourceHunter_Air</t>
  </si>
  <si>
    <t>ARM_Robe_SourceHunter_Earth</t>
  </si>
  <si>
    <t>ARM_Robe_SourceHunter_Control</t>
  </si>
  <si>
    <t>ARM_Robe_SourceHunter_Damage</t>
  </si>
  <si>
    <t>ARM_Robe_SourceHunter_Witch</t>
  </si>
  <si>
    <t>19eb2b7b-887b-4505-a04f-a965cf96da94</t>
  </si>
  <si>
    <t>9dbe5ccb-5bb6-4f38-a8a5-0a0e2e0893d3</t>
  </si>
  <si>
    <t>d6d98fba-8458-4a7e-9dc6-3419bac4e8b9</t>
  </si>
  <si>
    <t>bc916233-8f7e-47e8-ba85-adceeaf82d47</t>
  </si>
  <si>
    <t>5b1a33b8-a4d6-40c3-b4b0-e17ad88bf04e</t>
  </si>
  <si>
    <t>10024977-0635-4af6-8d65-f176bd936790</t>
  </si>
  <si>
    <t>e72e5286-e453-4d17-bcc2-98021a05a24c</t>
  </si>
  <si>
    <t>ARM_Garment_Sourcehunter</t>
  </si>
  <si>
    <t>d53ace35-f545-4df9-b26e-a10bf338771b</t>
  </si>
  <si>
    <t>LockPicking</t>
  </si>
  <si>
    <t>PickPocket</t>
  </si>
  <si>
    <t>ARM_Copper_Ring_C</t>
  </si>
  <si>
    <t>ARM_Copper_Ring_D</t>
  </si>
  <si>
    <t>ARM_Copper_Amulet_B</t>
  </si>
  <si>
    <t>ARM_Copper_Amulet_C</t>
  </si>
  <si>
    <t>ARM_Copper_Amulet_D</t>
  </si>
  <si>
    <t>ARM_Copper_Amulet_E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</si>
  <si>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</si>
  <si>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</si>
  <si>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</si>
  <si>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</si>
  <si>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</si>
  <si>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</si>
  <si>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</si>
  <si>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</si>
  <si>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</si>
  <si>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</si>
  <si>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_Body_Boost_Large_FireRes</t>
  </si>
  <si>
    <t>_Body_Boost_Large_AirRes</t>
  </si>
  <si>
    <t>_Body_Boost_Large_WaterRes</t>
  </si>
  <si>
    <t>_Body_Boost_Large_EarthRes</t>
  </si>
  <si>
    <t>_Garment_Boost_Large_INT</t>
  </si>
  <si>
    <t>_Gloves_Boost_Large_DEX</t>
  </si>
  <si>
    <t>_Belt_Boost_Large_STR</t>
  </si>
  <si>
    <t>_Body_Boost_Large_CON</t>
  </si>
  <si>
    <t>_Body_Boost_Large_STR</t>
  </si>
  <si>
    <t>Flags</t>
  </si>
  <si>
    <t>Plate</t>
  </si>
  <si>
    <t>Cloth</t>
  </si>
  <si>
    <t>ArmorType</t>
  </si>
  <si>
    <t>Unbreakable</t>
  </si>
  <si>
    <t>ChillContact</t>
  </si>
  <si>
    <t>Mail</t>
  </si>
  <si>
    <t>Leather</t>
  </si>
  <si>
    <t>_Armor_Boost_FreezeImmunity</t>
  </si>
  <si>
    <t>_Armor_Boost_BurnImmunity</t>
  </si>
  <si>
    <t>_Armor_Boost_StunImmunity</t>
  </si>
  <si>
    <t>_Armor_Boost_PoisonImmunity</t>
  </si>
  <si>
    <t>_Armor_Boost_CharmImmunity</t>
  </si>
  <si>
    <t>_Armor_Boost_FearImmunity</t>
  </si>
  <si>
    <t>_Armor_Boost_KnockdownImmunity</t>
  </si>
  <si>
    <t>_Armor_Boost_MuteImmunity</t>
  </si>
  <si>
    <t>_Armor_Boost_ChilledImmunity</t>
  </si>
  <si>
    <t>_Armor_Boost_WarmImmunity</t>
  </si>
  <si>
    <t>_Armor_Boost_WetImmunity</t>
  </si>
  <si>
    <t>_Armor_Boost_BleedingImmunity</t>
  </si>
  <si>
    <t>_Armor_Boost_CrippledImmunity</t>
  </si>
  <si>
    <t>_Armor_Boost_BlindImmunity</t>
  </si>
  <si>
    <t>_Armor_Boost_CursedImmunity</t>
  </si>
  <si>
    <t>_Armor_Boost_WeakImmunity</t>
  </si>
  <si>
    <t>_Armor_Boost_SlowedImmunity</t>
  </si>
  <si>
    <t>_Armor_Boost_DiseasedImmunity</t>
  </si>
  <si>
    <t>_Armor_Boost_InfectiousDiseasedImmunity</t>
  </si>
  <si>
    <t>_Armor_Boost_PetrifiedImmunity</t>
  </si>
  <si>
    <t>_Armor_Boost_DrunkImmunity</t>
  </si>
  <si>
    <t>_Armor_Boost_FreezeContact</t>
  </si>
  <si>
    <t>_Armor_Boost_BurnContact</t>
  </si>
  <si>
    <t>_Armor_Boost_StunContact</t>
  </si>
  <si>
    <t>_Armor_Boost_PoisonContact</t>
  </si>
  <si>
    <t>_Armor_Boost_ChillContact</t>
  </si>
  <si>
    <t>OnAttackOfOpportunity</t>
  </si>
  <si>
    <t>Party</t>
  </si>
  <si>
    <t>DaggerWeapon</t>
  </si>
  <si>
    <t>Rogue</t>
  </si>
  <si>
    <t>ARM_ThinCanvasGambeson_B</t>
  </si>
  <si>
    <t>ARM_ThickCanvasGambeson_B</t>
  </si>
  <si>
    <t>ARM_ThickLeatherGambeson_B</t>
  </si>
  <si>
    <t>ARM_PaddedLeatherGambeson_B</t>
  </si>
  <si>
    <t>ARM_RivetedCanvasBrigandine_B</t>
  </si>
  <si>
    <t>bde1b840-df2a-4709-a854-809c9dd7cb74</t>
  </si>
  <si>
    <t>ARM_Leather_M_Torso</t>
  </si>
  <si>
    <t>ARM_Leather_N_Torso</t>
  </si>
  <si>
    <t>ARM_Leather_O_Torso</t>
  </si>
  <si>
    <t>ARM_Leather_P_Torso</t>
  </si>
  <si>
    <t>ARM_Leather_Q_Torso</t>
  </si>
  <si>
    <t>ARM_Chain_Body_H</t>
  </si>
  <si>
    <t>ARM_RivetedScaleArmor_C</t>
  </si>
  <si>
    <t>ARM_LacedScaleArmor_C</t>
  </si>
  <si>
    <t>ARM_RoundedScaleArmor_C</t>
  </si>
  <si>
    <t>ARM_DragonScaleArmor_B</t>
  </si>
  <si>
    <t>ARM_Plate_Body_G</t>
  </si>
  <si>
    <t>ARM_Plate_Body_H</t>
  </si>
  <si>
    <t>ARM_Plate_Body_I</t>
  </si>
  <si>
    <t>ARM_Plate_Body_J</t>
  </si>
  <si>
    <t>ARM_Plate_Body_K</t>
  </si>
  <si>
    <t>ARM_Robe_O_Torso</t>
  </si>
  <si>
    <t>ARM_Robe_P_Torso</t>
  </si>
  <si>
    <t>ARM_Robe_Q_Torso</t>
  </si>
  <si>
    <t>ARM_Robe_R_Torso</t>
  </si>
  <si>
    <t>ARM_Robe_S_Torso</t>
  </si>
  <si>
    <t>ARM_Plate_Boots_C</t>
  </si>
  <si>
    <t>ARM_Chain_Boots_C</t>
  </si>
  <si>
    <t>ARM_Chain_Boots_D</t>
  </si>
  <si>
    <t>ARM_Cloth_C_Boots</t>
  </si>
  <si>
    <t>ARM_Cloth_Boots</t>
  </si>
  <si>
    <t>ARM_Plate_Belt_B</t>
  </si>
  <si>
    <t>ARM_Plate_Belt_C</t>
  </si>
  <si>
    <t>ARM_Plate_Belt_D</t>
  </si>
  <si>
    <t>ARM_Plate_Belt_E</t>
  </si>
  <si>
    <t>ARM_Plate_Belt_F</t>
  </si>
  <si>
    <t>ARM_Leather_D_Bracers</t>
  </si>
  <si>
    <t>ARM_Chain_Gloves_C</t>
  </si>
  <si>
    <t>ARM_Metal_E_Bracers</t>
  </si>
  <si>
    <t>ARM_Metal_F_Bracers</t>
  </si>
  <si>
    <t>ARM_Plate_Gloves_C</t>
  </si>
  <si>
    <t>ARM_Leather_L_Helmet</t>
  </si>
  <si>
    <t>ARM_Leather_M_Helmet</t>
  </si>
  <si>
    <t>ARM_Leather_Mask_Helmet_A</t>
  </si>
  <si>
    <t>ARM_Leather_Mask_Helmet_B</t>
  </si>
  <si>
    <t>ARM_Leather_Mask_Helmet_C</t>
  </si>
  <si>
    <t>ARM_Leather_Mask_Helmet_D</t>
  </si>
  <si>
    <t>ARM_Leather_Mask_Helmet_E</t>
  </si>
  <si>
    <t>ARM_Metal_J_Helmet</t>
  </si>
  <si>
    <t>ARM_Metal_K_Helmet</t>
  </si>
  <si>
    <t>ARM_Metal_L_Helmet</t>
  </si>
  <si>
    <t>ARM_Metal_M_Helmet</t>
  </si>
  <si>
    <t>ARM_Gold_Ring_H</t>
  </si>
  <si>
    <t>ARM_Gold_Ring_I</t>
  </si>
  <si>
    <t>ARM_Gold_Ring_J</t>
  </si>
  <si>
    <t>ARM_Gold_Ring_K</t>
  </si>
  <si>
    <t>ARM_Gold_Ring_L</t>
  </si>
  <si>
    <t>ARM_Silver_Amulet_B</t>
  </si>
  <si>
    <t>ARM_Silver_Amulet_C</t>
  </si>
  <si>
    <t>ARM_Silver_Amulet_D</t>
  </si>
  <si>
    <t>ARM_Silver_Amulet_E</t>
  </si>
  <si>
    <t>ARM_Copper_Amulet_F</t>
  </si>
  <si>
    <t>ARM_Copper_Amulet_G</t>
  </si>
  <si>
    <t>ARM_Copper_Amulet_H</t>
  </si>
  <si>
    <t>SkillbookWitchcraft</t>
  </si>
  <si>
    <t>Book</t>
  </si>
  <si>
    <t>Scroll</t>
  </si>
  <si>
    <t>SkillbookEarth</t>
  </si>
  <si>
    <t>SkillbookAir</t>
  </si>
  <si>
    <t>SkillbookWater</t>
  </si>
  <si>
    <t>SkillbookFire</t>
  </si>
  <si>
    <t>SkillbookRanger</t>
  </si>
  <si>
    <t>SkillbookRogue</t>
  </si>
  <si>
    <t>SkillbookWarrior</t>
  </si>
  <si>
    <t>ArrowIngredient</t>
  </si>
  <si>
    <t>GoldBig</t>
  </si>
  <si>
    <t>Gold</t>
  </si>
  <si>
    <t>Drink</t>
  </si>
  <si>
    <t>VariousPotion</t>
  </si>
  <si>
    <t>StatPotion</t>
  </si>
  <si>
    <t>HealingPotion</t>
  </si>
  <si>
    <t>Wood</t>
  </si>
  <si>
    <t>Precious</t>
  </si>
  <si>
    <t>HelmetMetal</t>
  </si>
  <si>
    <t>MetalArmor</t>
  </si>
  <si>
    <t>ChainArmor</t>
  </si>
  <si>
    <t>LeatherArmor</t>
  </si>
  <si>
    <t>TwoHandedSword</t>
  </si>
  <si>
    <t>TwoHandedAxe</t>
  </si>
  <si>
    <t>Dagger</t>
  </si>
  <si>
    <t>TreasureCategory</t>
  </si>
  <si>
    <t>MinLevel</t>
  </si>
  <si>
    <t>MaxLevel</t>
  </si>
  <si>
    <t>Trader Gold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</si>
  <si>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</si>
  <si>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</si>
  <si>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</si>
  <si>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</si>
  <si>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</si>
  <si>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</si>
  <si>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</si>
  <si>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</si>
  <si>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</si>
  <si>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</si>
  <si>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</si>
  <si>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</si>
  <si>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</si>
  <si>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</si>
  <si>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</si>
  <si>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</si>
  <si>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</si>
  <si>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</si>
  <si>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</si>
  <si>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</si>
  <si>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</si>
  <si>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</si>
  <si>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</si>
  <si>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</si>
  <si>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</si>
  <si>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</si>
  <si>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</si>
  <si>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</si>
  <si>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</si>
  <si>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</si>
  <si>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</si>
  <si>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</si>
  <si>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</si>
  <si>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</si>
  <si>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</si>
  <si>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</si>
  <si>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</si>
  <si>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</si>
  <si>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</si>
  <si>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</si>
  <si>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</si>
  <si>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</si>
  <si>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</si>
  <si>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</si>
  <si>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</si>
  <si>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</si>
  <si>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</si>
  <si>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</si>
  <si>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</si>
  <si>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</si>
  <si>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</si>
  <si>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</si>
  <si>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</si>
  <si>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</si>
  <si>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</si>
  <si>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</si>
  <si>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</si>
  <si>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</si>
  <si>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</si>
  <si>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ARM_Leather_Boots_C</t>
  </si>
  <si>
    <t>ARM_Leather_Boots_D</t>
  </si>
  <si>
    <t>ARM_Leather_Boots_E</t>
  </si>
  <si>
    <t>ARM_Leather_Boots_F</t>
  </si>
  <si>
    <t>ARM_Leather_Boots_G</t>
  </si>
  <si>
    <t>ARM_Leather_Boots_H</t>
  </si>
  <si>
    <t>ARM_Leather_Boots_I</t>
  </si>
  <si>
    <t>ARM_Leather_Boots_J</t>
  </si>
  <si>
    <t>ARM_Leather_Boots_K</t>
  </si>
  <si>
    <t>ARM_Leather_Boots_L</t>
  </si>
  <si>
    <t>ARM_Leather_Boots_M</t>
  </si>
  <si>
    <t>ARM_Leather_E_Bracers</t>
  </si>
  <si>
    <t>ARM_Leather_F_Bracers</t>
  </si>
  <si>
    <t>Skills</t>
  </si>
  <si>
    <t>Heal</t>
  </si>
  <si>
    <t>Unrepairable</t>
  </si>
  <si>
    <t>_Armor_Boost_Unbreakable</t>
  </si>
  <si>
    <t>ItemColor</t>
  </si>
  <si>
    <t>ARM_Garment_I</t>
  </si>
  <si>
    <t>ARM_Garment_J</t>
  </si>
  <si>
    <t>ARM_Garment_K</t>
  </si>
  <si>
    <t>ARM_Garment_L</t>
  </si>
  <si>
    <t>ARM_Garment_M</t>
  </si>
  <si>
    <t>ARM_Leather_G_Bracers</t>
  </si>
  <si>
    <t>ARM_Leather_H_Bracers</t>
  </si>
  <si>
    <t>ARM_Leather_I_Bracers</t>
  </si>
  <si>
    <t>ARM_Leather_J_Bracers</t>
  </si>
  <si>
    <t>ARM_Leather_K_Bracers</t>
  </si>
  <si>
    <t>ARM_Leather_L_Bracers</t>
  </si>
  <si>
    <t>ARM_Leather_M_Bracers</t>
  </si>
  <si>
    <t>ARM_Leather_N_Bracers</t>
  </si>
  <si>
    <t>ARM_Leather_O_Bracers</t>
  </si>
  <si>
    <t>ARM_Leather_P_Bracers</t>
  </si>
  <si>
    <t>ARM_Chain_Gloves_D</t>
  </si>
  <si>
    <t>ARM_Copper_Ring_E</t>
  </si>
  <si>
    <t>Venom Stone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</si>
  <si>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</si>
  <si>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</si>
  <si>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</si>
  <si>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</si>
  <si>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</si>
  <si>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</si>
  <si>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</si>
  <si>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</si>
  <si>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</si>
  <si>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</si>
  <si>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ARM_Snowboots</t>
  </si>
  <si>
    <t>_Armor_Boost_KnockdownImmunity_SnowBoots</t>
  </si>
  <si>
    <t>Tenebrium</t>
  </si>
  <si>
    <t>SlippingImmunity</t>
  </si>
  <si>
    <t>f40bf5eb-3c0f-41b3-b52c-50005bab6716</t>
  </si>
  <si>
    <t>3864a4d2-b527-4566-ad9f-589cf64a9f1d</t>
  </si>
  <si>
    <t>cee2c435-1192-4ec4-a37e-b6d50ab26339</t>
  </si>
  <si>
    <t>1ea2a487-7910-4f4a-8c76-4baf0057b594</t>
  </si>
  <si>
    <t>2e2c3f80-0a8f-43bc-9b45-34bd3f76ad88</t>
  </si>
  <si>
    <t>43f45403-4025-4dd9-ae63-88c79d52eb22</t>
  </si>
  <si>
    <t>_Armor_Boost_Dye_TOOL_Dye_Black</t>
  </si>
  <si>
    <t>_Armor_Boost_Dye_TOOL_Dye_Blue</t>
  </si>
  <si>
    <t>_Armor_Boost_Dye_TOOL_Dye_Green</t>
  </si>
  <si>
    <t>_Armor_Boost_Dye_TOOL_Dye_Purple</t>
  </si>
  <si>
    <t>_Armor_Boost_Dye_TOOL_Dye_Red</t>
  </si>
  <si>
    <t>_Armor_Boost_Dye_TOOL_Dye_White</t>
  </si>
  <si>
    <t>_Armor_Boost_Dye_TOOL_Dye_Yellow</t>
  </si>
  <si>
    <t>ARM_CraftedRobe_Trethon</t>
  </si>
  <si>
    <t>6e92b1fd-6af6-4f55-9412-08035af25294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</si>
  <si>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</si>
  <si>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</si>
  <si>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</si>
  <si>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</si>
  <si>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</si>
  <si>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</si>
  <si>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</si>
  <si>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</si>
  <si>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</si>
  <si>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</si>
  <si>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Keys</t>
  </si>
  <si>
    <t>_Body_Boost_Large_DEX</t>
  </si>
  <si>
    <t>_Body_Boost_Large_INT</t>
  </si>
  <si>
    <t>_Body_Boost_Large_SPD</t>
  </si>
  <si>
    <t>_Body_Boost_Large_PER</t>
  </si>
  <si>
    <t>_FireSmall_ArmorBoost_Large</t>
  </si>
  <si>
    <t>_Air_ArmorBoost_Large</t>
  </si>
  <si>
    <t>_Water_ArmorBoost_Large</t>
  </si>
  <si>
    <t>_Earth_ArmorBoost_Large</t>
  </si>
  <si>
    <t>_Poison_ArmorBoost_Large</t>
  </si>
  <si>
    <t>_Shadow_ArmorBoost_Large</t>
  </si>
  <si>
    <t>_Ring_Boost_PoisonRes_Large</t>
  </si>
  <si>
    <t>_Ring_Boost_ShadowRes_Large</t>
  </si>
  <si>
    <t>_Body_Boost_Movement_Medium</t>
  </si>
  <si>
    <t>_Body_Boost_Movement_Large</t>
  </si>
  <si>
    <t>_Body_Boost_Movement_Super</t>
  </si>
  <si>
    <t>_Shoes_Boost_VitalityBoost_Large</t>
  </si>
  <si>
    <t>_Armor_Boost_Heal_CureWoundsKnight</t>
  </si>
  <si>
    <t>Heal_CureWoundsKnight</t>
  </si>
  <si>
    <t>_Armor_Boost_Projectile_FlareStart</t>
  </si>
  <si>
    <t>Projectile_FlareStart</t>
  </si>
  <si>
    <t>Projectile_BlitzBoltStart</t>
  </si>
  <si>
    <t>_Armor_Boost_Projectile_BlitzBoltStart</t>
  </si>
  <si>
    <t>Target_Fortify</t>
  </si>
  <si>
    <t>_Armor_Boost_Target_Fortify</t>
  </si>
  <si>
    <t>Projectile_IceShardStart</t>
  </si>
  <si>
    <t>_Armor_Boost_Projectile_IceShardStart</t>
  </si>
  <si>
    <t>Target_VampiricTouch</t>
  </si>
  <si>
    <t>_Armor_Boost_Target_VampiricTouch</t>
  </si>
  <si>
    <t>_Garment_Boost_FireResLarge</t>
  </si>
  <si>
    <t>_Garment_Boost_AirResLarge</t>
  </si>
  <si>
    <t>_Garment_Boost_WaterResLarge</t>
  </si>
  <si>
    <t>_Garment_Boost_EarthResLarge</t>
  </si>
  <si>
    <t>_Garment_Boost_PoisonResLarge</t>
  </si>
  <si>
    <t>_Garment_Boost_ShadowResLarge</t>
  </si>
  <si>
    <t>_Garment_Boost_WillpowerLarge</t>
  </si>
  <si>
    <t>ARM_Leather_C_Boots_A</t>
  </si>
  <si>
    <t>ARM_Leather_C_Bracers_A</t>
  </si>
  <si>
    <t>ARM_Leather_C_Helmet_A</t>
  </si>
  <si>
    <t>ARM_Leather_C_Torso_A</t>
  </si>
  <si>
    <t>_Armor_Boost_Dye_TOOL_Dye_Gold</t>
  </si>
  <si>
    <t>Level 16</t>
  </si>
  <si>
    <t>Wands</t>
  </si>
  <si>
    <t>Staves</t>
  </si>
  <si>
    <t>DualWieldSmall</t>
  </si>
  <si>
    <t>DualWielding</t>
  </si>
  <si>
    <t>ShieldWands</t>
  </si>
  <si>
    <t>DualWieldWands</t>
  </si>
  <si>
    <t>ShieldWeapon</t>
  </si>
  <si>
    <t>Reflection</t>
  </si>
  <si>
    <t>Combat</t>
  </si>
  <si>
    <t>LowHP</t>
  </si>
  <si>
    <t>Adrenaline</t>
  </si>
  <si>
    <t>Explode</t>
  </si>
  <si>
    <t>Unstorable</t>
  </si>
  <si>
    <t>Throwing</t>
  </si>
  <si>
    <t>Lockpicking</t>
  </si>
  <si>
    <t>Pickpocket</t>
  </si>
  <si>
    <t>RogueLore</t>
  </si>
  <si>
    <t>Ability</t>
  </si>
  <si>
    <t>Any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</si>
  <si>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</si>
  <si>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</si>
  <si>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</si>
  <si>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</si>
  <si>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</si>
  <si>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</si>
  <si>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</si>
  <si>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</si>
  <si>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</si>
  <si>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</si>
  <si>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</si>
  <si>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</si>
  <si>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</si>
  <si>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</si>
  <si>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</si>
  <si>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</si>
  <si>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</si>
  <si>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</si>
  <si>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</si>
  <si>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</si>
  <si>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</si>
  <si>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Master</t>
  </si>
  <si>
    <t>Adept</t>
  </si>
  <si>
    <t>Novice</t>
  </si>
  <si>
    <t>SkillTier</t>
  </si>
  <si>
    <t>ARM_Cloth_C_Bracers</t>
  </si>
  <si>
    <t>ARM_Sash_B</t>
  </si>
  <si>
    <t>ARM_Sash_C</t>
  </si>
  <si>
    <t>ARM_Leather_Belt_B</t>
  </si>
  <si>
    <t>ARM_Leather_Belt_C</t>
  </si>
  <si>
    <t>_Helmets</t>
  </si>
  <si>
    <t>PhysicalImmunity_Aura</t>
  </si>
  <si>
    <t>PhysicalImmunity</t>
  </si>
  <si>
    <t>ElementalImmunity_Aura</t>
  </si>
  <si>
    <t>ElementalImmunity</t>
  </si>
  <si>
    <t>Galvanised</t>
  </si>
  <si>
    <t>Accurate</t>
  </si>
  <si>
    <t>ProjectileAccuracy</t>
  </si>
  <si>
    <t>Tagged</t>
  </si>
  <si>
    <t/>
  </si>
  <si>
    <t>_Belt_Boost_DualWield</t>
  </si>
  <si>
    <t>_Helmet_Boost_DualWield</t>
  </si>
  <si>
    <t>_Body_Boost_Wands</t>
  </si>
  <si>
    <t>_Garment_Boost_Wands</t>
  </si>
  <si>
    <t>_Amulet_Boost_Wands</t>
  </si>
  <si>
    <t>_ArmorBoost_Reflection</t>
  </si>
  <si>
    <t>_ArmorBoost_Reflection_Large</t>
  </si>
  <si>
    <t>Taunted</t>
  </si>
  <si>
    <t>_Garment_Boost_STR</t>
  </si>
  <si>
    <t>_Garment_Boost_Large_STR</t>
  </si>
  <si>
    <t>_Garment_Boost_DEX</t>
  </si>
  <si>
    <t>_Garment_Boost_Large_DEX</t>
  </si>
  <si>
    <t>ARM_UNIQUE_IshmashellRing</t>
  </si>
  <si>
    <t>Oiled</t>
  </si>
  <si>
    <t>Unhealable</t>
  </si>
  <si>
    <t>ARM_Wood_Torso_Barrel_A</t>
  </si>
  <si>
    <t>294e1029-0773-4b92-bdd7-80978d1c5bb8</t>
  </si>
  <si>
    <t>CreateConeSurface</t>
  </si>
  <si>
    <t>CanExplode</t>
  </si>
  <si>
    <t>AlwaysBackstab</t>
  </si>
  <si>
    <t>Custom Properties</t>
  </si>
  <si>
    <t>258bab32-5f09-4ff7-9bc4-d927184265d2</t>
  </si>
  <si>
    <t>Strength 7</t>
  </si>
  <si>
    <t>Distance</t>
  </si>
  <si>
    <t>CastCheckType</t>
  </si>
  <si>
    <t>Divine</t>
  </si>
  <si>
    <t>Epic</t>
  </si>
  <si>
    <t>Uncommon</t>
  </si>
  <si>
    <t>_Body_Boost_VitalityBoost_Medium</t>
  </si>
  <si>
    <t>_Body_Boost_VitalityBoost_Large</t>
  </si>
  <si>
    <t>Boosts</t>
  </si>
  <si>
    <t>_Body_Boost_Huge_FireRes</t>
  </si>
  <si>
    <t>_Body_Boost_Huge_AirRes</t>
  </si>
  <si>
    <t>_Body_Boost_Huge_WaterRes</t>
  </si>
  <si>
    <t>_Body_Boost_Huge_EarthRes</t>
  </si>
  <si>
    <t>_ArmorDefenseValue_Legendary_ArmorBoost</t>
  </si>
  <si>
    <t>10::Piercing:melee</t>
  </si>
  <si>
    <t>_ArmorBoost_Reflection_Legendary</t>
  </si>
  <si>
    <t>15:all</t>
  </si>
  <si>
    <t>_Shoes_Boost_VitalityBoost_Huge</t>
  </si>
  <si>
    <t>_Initiative_ArmorBoost_Medium</t>
  </si>
  <si>
    <t>_Initiative_ArmorBoost_Large</t>
  </si>
  <si>
    <t>Grumio's Favorite Triade</t>
  </si>
  <si>
    <t>Grumio's Petrolium Brand</t>
  </si>
  <si>
    <t>Cotton Candy</t>
  </si>
  <si>
    <t>_FireSmall_ArmorBoost_Huge</t>
  </si>
  <si>
    <t>_Air_ArmorBoost_Huge</t>
  </si>
  <si>
    <t>_Water_ArmorBoost_Huge</t>
  </si>
  <si>
    <t>_Earth_ArmorBoost_Huge</t>
  </si>
  <si>
    <t>_Garment_Boost_FireResCombo</t>
  </si>
  <si>
    <t>_Garment_Boost_AirResCombo</t>
  </si>
  <si>
    <t>_Garment_Boost_WaterResCombo</t>
  </si>
  <si>
    <t>_Garment_Boost_EarthResCombo</t>
  </si>
  <si>
    <t>Teleportation_Resurrect</t>
  </si>
  <si>
    <t>Summon_Undead</t>
  </si>
  <si>
    <t>Target_PetrifyingTouch</t>
  </si>
  <si>
    <t>Target_PurifyingFire</t>
  </si>
  <si>
    <t>Target_Immolate</t>
  </si>
  <si>
    <t>Tornado_Air</t>
  </si>
  <si>
    <t>Cone_WinterbreathMedium</t>
  </si>
  <si>
    <t>Target_InvisibilityTarget</t>
  </si>
  <si>
    <t>Heal_RegenerateStart</t>
  </si>
  <si>
    <t>Shield_Water</t>
  </si>
  <si>
    <t>Shield_Earth</t>
  </si>
  <si>
    <t>Shield_Air</t>
  </si>
  <si>
    <t>Shield_Fire</t>
  </si>
  <si>
    <t>_Armor_Target_PetrifyingTouch</t>
  </si>
  <si>
    <t>_Armor_Target_PurifyingFire</t>
  </si>
  <si>
    <t>_Armor_Target_Immolate</t>
  </si>
  <si>
    <t>_Armor_Tornado_Air</t>
  </si>
  <si>
    <t>_Armor_Cone_WinterbreathMedium</t>
  </si>
  <si>
    <t>_Armor_Target_InvisibilityTarget</t>
  </si>
  <si>
    <t>_Armor_Path_Firefly</t>
  </si>
  <si>
    <t>_Armor_Teleportation_Resurrect</t>
  </si>
  <si>
    <t>_Armor_Summon_Undead</t>
  </si>
  <si>
    <t>_Armor_Heal_RegenerateStart</t>
  </si>
  <si>
    <t>_Armor_Shield_Water</t>
  </si>
  <si>
    <t>_Armor_Shield_Earth</t>
  </si>
  <si>
    <t>_Armor_Shield_Air</t>
  </si>
  <si>
    <t>_Armor_Shield_Fire</t>
  </si>
  <si>
    <t>Intelligence 7</t>
  </si>
  <si>
    <t>Intelligence 8</t>
  </si>
  <si>
    <t>Intelligence 10</t>
  </si>
  <si>
    <t>Intelligence 12</t>
  </si>
  <si>
    <t>_Armor_Target_TargetedPerception</t>
  </si>
  <si>
    <t>Target_TargetedPerception</t>
  </si>
  <si>
    <t>_Armor_Target_Farsight</t>
  </si>
  <si>
    <t>Target_Farsight</t>
  </si>
  <si>
    <t>10::Fire:melee</t>
  </si>
  <si>
    <t>15:all:Fire</t>
  </si>
  <si>
    <t>_ArmorBoost_Reflection_Fire</t>
  </si>
  <si>
    <t>_ArmorBoost_Reflection_Fire_Large</t>
  </si>
  <si>
    <t>_ArmorBoost_Reflection_Fire_Legendary</t>
  </si>
  <si>
    <t>_ArmorBoost_Reflection_Water</t>
  </si>
  <si>
    <t>10::Water:melee</t>
  </si>
  <si>
    <t>_ArmorBoost_Reflection_Water_Large</t>
  </si>
  <si>
    <t>_ArmorBoost_Reflection_Water_Legendary</t>
  </si>
  <si>
    <t>15:all:Water</t>
  </si>
  <si>
    <t>_ArmorBoost_Reflection_Air</t>
  </si>
  <si>
    <t>10::Air:melee</t>
  </si>
  <si>
    <t>_ArmorBoost_Reflection_Air_Large</t>
  </si>
  <si>
    <t>_ArmorBoost_Reflection_Air_Legendary</t>
  </si>
  <si>
    <t>15:all:Air</t>
  </si>
  <si>
    <t>_ArmorBoost_Reflection_Earth</t>
  </si>
  <si>
    <t>10::Earth:melee</t>
  </si>
  <si>
    <t>_ArmorBoost_Reflection_Earth_Large</t>
  </si>
  <si>
    <t>_ArmorBoost_Reflection_Earth_Legendary</t>
  </si>
  <si>
    <t>15:all:Earth</t>
  </si>
  <si>
    <t>_Ring_Boost_PickpocketingBoost</t>
  </si>
  <si>
    <t>_Ring_Boost_LockpickingBoost</t>
  </si>
  <si>
    <t>_Amulet_Boost_Charisma</t>
  </si>
  <si>
    <t>Path_FireFly</t>
  </si>
  <si>
    <t>20::Piercing:melee</t>
  </si>
  <si>
    <t>20::Fire:melee</t>
  </si>
  <si>
    <t>20::Water:melee</t>
  </si>
  <si>
    <t>20::Air:melee</t>
  </si>
  <si>
    <t>20::Earth:melee</t>
  </si>
  <si>
    <t>_Armor_Boost_Dye_TOOL_Dye_Candy</t>
  </si>
  <si>
    <t>_Armor_Boost_Dye_TOOL_Dye_Petrol</t>
  </si>
  <si>
    <t>_Armor_Boost_Dye_TOOL_Dye_Triad</t>
  </si>
</sst>
</file>

<file path=xl/styles.xml><?xml version="1.0" encoding="utf-8"?>
<styleSheet xmlns="http://schemas.openxmlformats.org/spreadsheetml/2006/main">
  <fonts count="158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i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b/>
      <sz val="10"/>
      <color theme="9" tint="-0.499984740745262"/>
      <name val="Arial"/>
      <family val="2"/>
    </font>
    <font>
      <sz val="11"/>
      <color rgb="FF006100"/>
      <name val="Calibri"/>
      <family val="2"/>
      <scheme val="minor"/>
    </font>
    <font>
      <sz val="10"/>
      <color theme="0"/>
      <name val="Arial"/>
      <family val="2"/>
    </font>
    <font>
      <sz val="10"/>
      <color rgb="FF0061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9C6500"/>
      <name val="Calibri"/>
      <family val="2"/>
      <scheme val="minor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457">
    <xf numFmtId="0" fontId="0" fillId="0" borderId="0"/>
    <xf numFmtId="0" fontId="135" fillId="2" borderId="1" applyNumberFormat="0" applyFont="0" applyAlignment="0" applyProtection="0"/>
    <xf numFmtId="0" fontId="134" fillId="3" borderId="0" applyNumberFormat="0" applyBorder="0" applyAlignment="0" applyProtection="0"/>
    <xf numFmtId="0" fontId="134" fillId="4" borderId="0" applyNumberFormat="0" applyBorder="0" applyAlignment="0" applyProtection="0"/>
    <xf numFmtId="0" fontId="134" fillId="5" borderId="0" applyNumberFormat="0" applyBorder="0" applyAlignment="0" applyProtection="0"/>
    <xf numFmtId="0" fontId="134" fillId="6" borderId="0" applyNumberFormat="0" applyBorder="0" applyAlignment="0" applyProtection="0"/>
    <xf numFmtId="0" fontId="135" fillId="0" borderId="0"/>
    <xf numFmtId="0" fontId="133" fillId="0" borderId="0"/>
    <xf numFmtId="0" fontId="135" fillId="0" borderId="0"/>
    <xf numFmtId="0" fontId="135" fillId="0" borderId="0"/>
    <xf numFmtId="0" fontId="135" fillId="2" borderId="1" applyNumberFormat="0" applyFont="0" applyAlignment="0" applyProtection="0"/>
    <xf numFmtId="0" fontId="135" fillId="2" borderId="1" applyNumberFormat="0" applyFont="0" applyAlignment="0" applyProtection="0"/>
    <xf numFmtId="0" fontId="135" fillId="2" borderId="1" applyNumberFormat="0" applyFont="0" applyAlignment="0" applyProtection="0"/>
    <xf numFmtId="0" fontId="132" fillId="0" borderId="0"/>
    <xf numFmtId="0" fontId="131" fillId="0" borderId="0"/>
    <xf numFmtId="0" fontId="130" fillId="0" borderId="0"/>
    <xf numFmtId="0" fontId="135" fillId="0" borderId="0"/>
    <xf numFmtId="0" fontId="135" fillId="2" borderId="1" applyNumberFormat="0" applyFont="0" applyAlignment="0" applyProtection="0"/>
    <xf numFmtId="0" fontId="130" fillId="0" borderId="0"/>
    <xf numFmtId="0" fontId="130" fillId="0" borderId="0"/>
    <xf numFmtId="0" fontId="130" fillId="0" borderId="0"/>
    <xf numFmtId="0" fontId="129" fillId="0" borderId="0"/>
    <xf numFmtId="0" fontId="129" fillId="0" borderId="0"/>
    <xf numFmtId="0" fontId="129" fillId="0" borderId="0"/>
    <xf numFmtId="0" fontId="129" fillId="0" borderId="0"/>
    <xf numFmtId="0" fontId="128" fillId="0" borderId="0"/>
    <xf numFmtId="0" fontId="135" fillId="0" borderId="0"/>
    <xf numFmtId="0" fontId="135" fillId="2" borderId="1" applyNumberFormat="0" applyFont="0" applyAlignment="0" applyProtection="0"/>
    <xf numFmtId="0" fontId="128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8" fillId="0" borderId="0"/>
    <xf numFmtId="0" fontId="127" fillId="0" borderId="0"/>
    <xf numFmtId="0" fontId="149" fillId="7" borderId="0" applyNumberFormat="0" applyBorder="0" applyAlignment="0" applyProtection="0"/>
    <xf numFmtId="0" fontId="154" fillId="8" borderId="0" applyNumberFormat="0" applyBorder="0" applyAlignment="0" applyProtection="0"/>
    <xf numFmtId="0" fontId="126" fillId="0" borderId="0"/>
    <xf numFmtId="0" fontId="125" fillId="0" borderId="0"/>
    <xf numFmtId="0" fontId="135" fillId="0" borderId="0"/>
    <xf numFmtId="0" fontId="135" fillId="2" borderId="1" applyNumberFormat="0" applyFont="0" applyAlignment="0" applyProtection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25" fillId="0" borderId="0"/>
    <xf numFmtId="0" fontId="135" fillId="0" borderId="0"/>
    <xf numFmtId="0" fontId="135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22" fillId="0" borderId="0"/>
    <xf numFmtId="0" fontId="135" fillId="2" borderId="1" applyNumberFormat="0" applyFont="0" applyAlignment="0" applyProtection="0"/>
    <xf numFmtId="0" fontId="121" fillId="0" borderId="0"/>
    <xf numFmtId="0" fontId="121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80">
    <xf numFmtId="0" fontId="0" fillId="0" borderId="0" xfId="0"/>
    <xf numFmtId="0" fontId="0" fillId="0" borderId="0" xfId="0"/>
    <xf numFmtId="0" fontId="136" fillId="0" borderId="0" xfId="0" applyFont="1"/>
    <xf numFmtId="0" fontId="140" fillId="0" borderId="0" xfId="0" applyFont="1"/>
    <xf numFmtId="0" fontId="138" fillId="0" borderId="0" xfId="0" applyFont="1"/>
    <xf numFmtId="0" fontId="139" fillId="0" borderId="0" xfId="0" applyFont="1"/>
    <xf numFmtId="0" fontId="0" fillId="0" borderId="0" xfId="0" applyFont="1"/>
    <xf numFmtId="0" fontId="143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37" fillId="0" borderId="0" xfId="0" applyFont="1"/>
    <xf numFmtId="0" fontId="141" fillId="0" borderId="0" xfId="0" applyFont="1"/>
    <xf numFmtId="0" fontId="142" fillId="0" borderId="0" xfId="0" applyFont="1"/>
    <xf numFmtId="0" fontId="136" fillId="2" borderId="1" xfId="1" applyFont="1"/>
    <xf numFmtId="0" fontId="136" fillId="0" borderId="0" xfId="0" applyFont="1" applyFill="1" applyBorder="1"/>
    <xf numFmtId="0" fontId="146" fillId="0" borderId="0" xfId="0" applyFont="1"/>
    <xf numFmtId="0" fontId="147" fillId="0" borderId="0" xfId="0" applyFont="1"/>
    <xf numFmtId="0" fontId="148" fillId="0" borderId="0" xfId="0" applyFont="1"/>
    <xf numFmtId="0" fontId="0" fillId="2" borderId="1" xfId="1" applyFont="1"/>
    <xf numFmtId="0" fontId="150" fillId="4" borderId="0" xfId="3" applyFont="1"/>
    <xf numFmtId="0" fontId="150" fillId="3" borderId="0" xfId="2" applyFont="1"/>
    <xf numFmtId="0" fontId="150" fillId="6" borderId="0" xfId="5" applyFont="1"/>
    <xf numFmtId="0" fontId="150" fillId="5" borderId="0" xfId="4" applyFont="1"/>
    <xf numFmtId="0" fontId="151" fillId="7" borderId="0" xfId="40" applyFont="1"/>
    <xf numFmtId="0" fontId="151" fillId="2" borderId="1" xfId="1" applyFont="1"/>
    <xf numFmtId="0" fontId="152" fillId="0" borderId="0" xfId="23" applyFont="1"/>
    <xf numFmtId="0" fontId="152" fillId="0" borderId="0" xfId="19" applyFont="1"/>
    <xf numFmtId="0" fontId="152" fillId="0" borderId="0" xfId="15" applyFont="1"/>
    <xf numFmtId="0" fontId="152" fillId="0" borderId="0" xfId="25" applyFont="1"/>
    <xf numFmtId="0" fontId="151" fillId="7" borderId="0" xfId="40" applyFont="1" applyBorder="1"/>
    <xf numFmtId="0" fontId="152" fillId="0" borderId="0" xfId="14" applyFont="1"/>
    <xf numFmtId="11" fontId="152" fillId="0" borderId="0" xfId="14" applyNumberFormat="1" applyFont="1"/>
    <xf numFmtId="0" fontId="153" fillId="0" borderId="0" xfId="39" applyFont="1"/>
    <xf numFmtId="0" fontId="154" fillId="8" borderId="0" xfId="41"/>
    <xf numFmtId="0" fontId="125" fillId="0" borderId="0" xfId="43"/>
    <xf numFmtId="0" fontId="124" fillId="0" borderId="0" xfId="43" applyFont="1" applyFill="1"/>
    <xf numFmtId="0" fontId="135" fillId="0" borderId="0" xfId="40" applyFont="1" applyFill="1"/>
    <xf numFmtId="0" fontId="135" fillId="0" borderId="0" xfId="71" applyFill="1"/>
    <xf numFmtId="0" fontId="135" fillId="0" borderId="0" xfId="71"/>
    <xf numFmtId="0" fontId="136" fillId="0" borderId="0" xfId="71" applyFont="1"/>
    <xf numFmtId="0" fontId="155" fillId="0" borderId="0" xfId="71" applyFont="1"/>
    <xf numFmtId="0" fontId="154" fillId="8" borderId="0" xfId="41" applyBorder="1"/>
    <xf numFmtId="0" fontId="149" fillId="7" borderId="0" xfId="40"/>
    <xf numFmtId="0" fontId="152" fillId="0" borderId="0" xfId="39" applyFont="1" applyFill="1"/>
    <xf numFmtId="0" fontId="123" fillId="0" borderId="0" xfId="43" applyFont="1" applyFill="1"/>
    <xf numFmtId="0" fontId="0" fillId="0" borderId="3" xfId="0" applyBorder="1"/>
    <xf numFmtId="0" fontId="0" fillId="0" borderId="3" xfId="0" applyFont="1" applyBorder="1"/>
    <xf numFmtId="0" fontId="152" fillId="0" borderId="3" xfId="23" applyFont="1" applyBorder="1"/>
    <xf numFmtId="0" fontId="0" fillId="2" borderId="2" xfId="1" applyFont="1" applyBorder="1"/>
    <xf numFmtId="0" fontId="154" fillId="8" borderId="3" xfId="41" applyBorder="1"/>
    <xf numFmtId="0" fontId="0" fillId="0" borderId="0" xfId="0" applyBorder="1"/>
    <xf numFmtId="0" fontId="152" fillId="0" borderId="0" xfId="23" applyFont="1" applyBorder="1"/>
    <xf numFmtId="0" fontId="135" fillId="0" borderId="3" xfId="40" applyFont="1" applyFill="1" applyBorder="1"/>
    <xf numFmtId="0" fontId="156" fillId="0" borderId="0" xfId="26" applyFont="1"/>
    <xf numFmtId="0" fontId="156" fillId="0" borderId="0" xfId="72" applyFont="1"/>
    <xf numFmtId="0" fontId="156" fillId="0" borderId="0" xfId="26" applyFont="1" applyFill="1"/>
    <xf numFmtId="0" fontId="0" fillId="0" borderId="0" xfId="40" applyFont="1" applyFill="1"/>
    <xf numFmtId="0" fontId="151" fillId="2" borderId="4" xfId="1" applyFont="1" applyBorder="1"/>
    <xf numFmtId="0" fontId="0" fillId="2" borderId="4" xfId="1" applyFont="1" applyBorder="1"/>
    <xf numFmtId="0" fontId="154" fillId="8" borderId="5" xfId="41" applyBorder="1"/>
    <xf numFmtId="0" fontId="151" fillId="7" borderId="3" xfId="40" applyFont="1" applyBorder="1"/>
    <xf numFmtId="0" fontId="117" fillId="0" borderId="0" xfId="43" applyFont="1" applyFill="1"/>
    <xf numFmtId="0" fontId="84" fillId="0" borderId="0" xfId="14" applyFont="1" applyFill="1" applyAlignment="1">
      <alignment vertical="top"/>
    </xf>
    <xf numFmtId="0" fontId="0" fillId="0" borderId="0" xfId="71" applyFont="1" applyFill="1"/>
    <xf numFmtId="0" fontId="154" fillId="8" borderId="1" xfId="41" applyBorder="1"/>
    <xf numFmtId="0" fontId="75" fillId="0" borderId="0" xfId="14" applyFont="1" applyFill="1" applyAlignment="1">
      <alignment vertical="top"/>
    </xf>
    <xf numFmtId="0" fontId="75" fillId="0" borderId="0" xfId="43" applyFont="1" applyFill="1"/>
    <xf numFmtId="0" fontId="135" fillId="0" borderId="0" xfId="40" applyFont="1" applyFill="1" applyBorder="1"/>
    <xf numFmtId="0" fontId="151" fillId="2" borderId="6" xfId="1" applyFont="1" applyBorder="1"/>
    <xf numFmtId="0" fontId="156" fillId="0" borderId="3" xfId="41" applyFont="1" applyFill="1" applyBorder="1"/>
    <xf numFmtId="11" fontId="156" fillId="0" borderId="3" xfId="41" applyNumberFormat="1" applyFont="1" applyFill="1" applyBorder="1"/>
    <xf numFmtId="0" fontId="157" fillId="0" borderId="0" xfId="394" applyFont="1"/>
    <xf numFmtId="0" fontId="151" fillId="2" borderId="0" xfId="1" applyFont="1" applyBorder="1"/>
    <xf numFmtId="0" fontId="0" fillId="2" borderId="0" xfId="1" applyFont="1" applyBorder="1"/>
    <xf numFmtId="0" fontId="0" fillId="2" borderId="3" xfId="1" applyFont="1" applyBorder="1"/>
    <xf numFmtId="0" fontId="151" fillId="2" borderId="3" xfId="1" applyFont="1" applyBorder="1"/>
    <xf numFmtId="49" fontId="0" fillId="0" borderId="0" xfId="0" applyNumberFormat="1"/>
    <xf numFmtId="0" fontId="0" fillId="0" borderId="0" xfId="0" applyAlignment="1">
      <alignment horizontal="left"/>
    </xf>
    <xf numFmtId="0" fontId="1" fillId="0" borderId="0" xfId="455" applyFont="1"/>
    <xf numFmtId="0" fontId="1" fillId="0" borderId="0" xfId="456" applyFont="1"/>
  </cellXfs>
  <cellStyles count="457">
    <cellStyle name="60% - Accent1" xfId="2" builtinId="32"/>
    <cellStyle name="60% - Accent2" xfId="3" builtinId="36"/>
    <cellStyle name="60% - Accent4" xfId="4" builtinId="44"/>
    <cellStyle name="60% - Accent6" xfId="5" builtinId="52"/>
    <cellStyle name="Good" xfId="40" builtinId="26"/>
    <cellStyle name="Neutral" xfId="41" builtinId="28"/>
    <cellStyle name="Normal" xfId="0" builtinId="0"/>
    <cellStyle name="Normal 10" xfId="26"/>
    <cellStyle name="Normal 11" xfId="25"/>
    <cellStyle name="Normal 11 10" xfId="226"/>
    <cellStyle name="Normal 11 100" xfId="407"/>
    <cellStyle name="Normal 11 101" xfId="409"/>
    <cellStyle name="Normal 11 102" xfId="411"/>
    <cellStyle name="Normal 11 103" xfId="413"/>
    <cellStyle name="Normal 11 104" xfId="415"/>
    <cellStyle name="Normal 11 105" xfId="417"/>
    <cellStyle name="Normal 11 106" xfId="419"/>
    <cellStyle name="Normal 11 107" xfId="421"/>
    <cellStyle name="Normal 11 108" xfId="423"/>
    <cellStyle name="Normal 11 109" xfId="425"/>
    <cellStyle name="Normal 11 11" xfId="228"/>
    <cellStyle name="Normal 11 110" xfId="427"/>
    <cellStyle name="Normal 11 111" xfId="429"/>
    <cellStyle name="Normal 11 112" xfId="431"/>
    <cellStyle name="Normal 11 113" xfId="433"/>
    <cellStyle name="Normal 11 114" xfId="435"/>
    <cellStyle name="Normal 11 115" xfId="437"/>
    <cellStyle name="Normal 11 116" xfId="439"/>
    <cellStyle name="Normal 11 117" xfId="441"/>
    <cellStyle name="Normal 11 118" xfId="443"/>
    <cellStyle name="Normal 11 119" xfId="445"/>
    <cellStyle name="Normal 11 12" xfId="230"/>
    <cellStyle name="Normal 11 120" xfId="447"/>
    <cellStyle name="Normal 11 121" xfId="449"/>
    <cellStyle name="Normal 11 122" xfId="451"/>
    <cellStyle name="Normal 11 123" xfId="453"/>
    <cellStyle name="Normal 11 124" xfId="455"/>
    <cellStyle name="Normal 11 13" xfId="232"/>
    <cellStyle name="Normal 11 14" xfId="234"/>
    <cellStyle name="Normal 11 15" xfId="236"/>
    <cellStyle name="Normal 11 16" xfId="238"/>
    <cellStyle name="Normal 11 17" xfId="240"/>
    <cellStyle name="Normal 11 18" xfId="242"/>
    <cellStyle name="Normal 11 19" xfId="244"/>
    <cellStyle name="Normal 11 2" xfId="57"/>
    <cellStyle name="Normal 11 20" xfId="246"/>
    <cellStyle name="Normal 11 21" xfId="248"/>
    <cellStyle name="Normal 11 22" xfId="250"/>
    <cellStyle name="Normal 11 23" xfId="252"/>
    <cellStyle name="Normal 11 24" xfId="254"/>
    <cellStyle name="Normal 11 25" xfId="256"/>
    <cellStyle name="Normal 11 26" xfId="258"/>
    <cellStyle name="Normal 11 27" xfId="260"/>
    <cellStyle name="Normal 11 28" xfId="262"/>
    <cellStyle name="Normal 11 29" xfId="264"/>
    <cellStyle name="Normal 11 3" xfId="73"/>
    <cellStyle name="Normal 11 30" xfId="266"/>
    <cellStyle name="Normal 11 31" xfId="268"/>
    <cellStyle name="Normal 11 32" xfId="270"/>
    <cellStyle name="Normal 11 33" xfId="272"/>
    <cellStyle name="Normal 11 34" xfId="274"/>
    <cellStyle name="Normal 11 35" xfId="276"/>
    <cellStyle name="Normal 11 36" xfId="278"/>
    <cellStyle name="Normal 11 37" xfId="280"/>
    <cellStyle name="Normal 11 38" xfId="282"/>
    <cellStyle name="Normal 11 39" xfId="284"/>
    <cellStyle name="Normal 11 4" xfId="214"/>
    <cellStyle name="Normal 11 40" xfId="286"/>
    <cellStyle name="Normal 11 41" xfId="288"/>
    <cellStyle name="Normal 11 42" xfId="290"/>
    <cellStyle name="Normal 11 43" xfId="292"/>
    <cellStyle name="Normal 11 44" xfId="294"/>
    <cellStyle name="Normal 11 45" xfId="296"/>
    <cellStyle name="Normal 11 46" xfId="298"/>
    <cellStyle name="Normal 11 47" xfId="300"/>
    <cellStyle name="Normal 11 48" xfId="302"/>
    <cellStyle name="Normal 11 49" xfId="304"/>
    <cellStyle name="Normal 11 5" xfId="216"/>
    <cellStyle name="Normal 11 50" xfId="306"/>
    <cellStyle name="Normal 11 51" xfId="308"/>
    <cellStyle name="Normal 11 52" xfId="310"/>
    <cellStyle name="Normal 11 53" xfId="312"/>
    <cellStyle name="Normal 11 54" xfId="314"/>
    <cellStyle name="Normal 11 55" xfId="316"/>
    <cellStyle name="Normal 11 56" xfId="318"/>
    <cellStyle name="Normal 11 57" xfId="320"/>
    <cellStyle name="Normal 11 58" xfId="322"/>
    <cellStyle name="Normal 11 59" xfId="324"/>
    <cellStyle name="Normal 11 6" xfId="218"/>
    <cellStyle name="Normal 11 60" xfId="326"/>
    <cellStyle name="Normal 11 61" xfId="328"/>
    <cellStyle name="Normal 11 62" xfId="330"/>
    <cellStyle name="Normal 11 63" xfId="332"/>
    <cellStyle name="Normal 11 64" xfId="334"/>
    <cellStyle name="Normal 11 65" xfId="336"/>
    <cellStyle name="Normal 11 66" xfId="338"/>
    <cellStyle name="Normal 11 67" xfId="340"/>
    <cellStyle name="Normal 11 68" xfId="342"/>
    <cellStyle name="Normal 11 69" xfId="344"/>
    <cellStyle name="Normal 11 7" xfId="220"/>
    <cellStyle name="Normal 11 70" xfId="346"/>
    <cellStyle name="Normal 11 71" xfId="348"/>
    <cellStyle name="Normal 11 72" xfId="350"/>
    <cellStyle name="Normal 11 73" xfId="352"/>
    <cellStyle name="Normal 11 74" xfId="354"/>
    <cellStyle name="Normal 11 75" xfId="356"/>
    <cellStyle name="Normal 11 76" xfId="358"/>
    <cellStyle name="Normal 11 77" xfId="360"/>
    <cellStyle name="Normal 11 78" xfId="362"/>
    <cellStyle name="Normal 11 79" xfId="364"/>
    <cellStyle name="Normal 11 8" xfId="222"/>
    <cellStyle name="Normal 11 80" xfId="366"/>
    <cellStyle name="Normal 11 81" xfId="368"/>
    <cellStyle name="Normal 11 82" xfId="370"/>
    <cellStyle name="Normal 11 83" xfId="372"/>
    <cellStyle name="Normal 11 84" xfId="374"/>
    <cellStyle name="Normal 11 85" xfId="376"/>
    <cellStyle name="Normal 11 86" xfId="378"/>
    <cellStyle name="Normal 11 87" xfId="380"/>
    <cellStyle name="Normal 11 88" xfId="382"/>
    <cellStyle name="Normal 11 89" xfId="384"/>
    <cellStyle name="Normal 11 9" xfId="224"/>
    <cellStyle name="Normal 11 90" xfId="386"/>
    <cellStyle name="Normal 11 91" xfId="388"/>
    <cellStyle name="Normal 11 92" xfId="390"/>
    <cellStyle name="Normal 11 93" xfId="392"/>
    <cellStyle name="Normal 11 94" xfId="395"/>
    <cellStyle name="Normal 11 95" xfId="397"/>
    <cellStyle name="Normal 11 96" xfId="399"/>
    <cellStyle name="Normal 11 97" xfId="401"/>
    <cellStyle name="Normal 11 98" xfId="403"/>
    <cellStyle name="Normal 11 99" xfId="405"/>
    <cellStyle name="Normal 12" xfId="39"/>
    <cellStyle name="Normal 12 2" xfId="69"/>
    <cellStyle name="Normal 13" xfId="42"/>
    <cellStyle name="Normal 13 2" xfId="70"/>
    <cellStyle name="Normal 13 3" xfId="72"/>
    <cellStyle name="Normal 14" xfId="44"/>
    <cellStyle name="Normal 14 10" xfId="229"/>
    <cellStyle name="Normal 14 100" xfId="410"/>
    <cellStyle name="Normal 14 101" xfId="412"/>
    <cellStyle name="Normal 14 102" xfId="414"/>
    <cellStyle name="Normal 14 103" xfId="416"/>
    <cellStyle name="Normal 14 104" xfId="418"/>
    <cellStyle name="Normal 14 105" xfId="420"/>
    <cellStyle name="Normal 14 106" xfId="422"/>
    <cellStyle name="Normal 14 107" xfId="424"/>
    <cellStyle name="Normal 14 108" xfId="426"/>
    <cellStyle name="Normal 14 109" xfId="428"/>
    <cellStyle name="Normal 14 11" xfId="231"/>
    <cellStyle name="Normal 14 110" xfId="430"/>
    <cellStyle name="Normal 14 111" xfId="432"/>
    <cellStyle name="Normal 14 112" xfId="434"/>
    <cellStyle name="Normal 14 113" xfId="436"/>
    <cellStyle name="Normal 14 114" xfId="438"/>
    <cellStyle name="Normal 14 115" xfId="440"/>
    <cellStyle name="Normal 14 116" xfId="442"/>
    <cellStyle name="Normal 14 117" xfId="444"/>
    <cellStyle name="Normal 14 118" xfId="446"/>
    <cellStyle name="Normal 14 119" xfId="448"/>
    <cellStyle name="Normal 14 12" xfId="233"/>
    <cellStyle name="Normal 14 120" xfId="450"/>
    <cellStyle name="Normal 14 121" xfId="452"/>
    <cellStyle name="Normal 14 122" xfId="454"/>
    <cellStyle name="Normal 14 123" xfId="456"/>
    <cellStyle name="Normal 14 13" xfId="235"/>
    <cellStyle name="Normal 14 14" xfId="237"/>
    <cellStyle name="Normal 14 15" xfId="239"/>
    <cellStyle name="Normal 14 16" xfId="241"/>
    <cellStyle name="Normal 14 17" xfId="243"/>
    <cellStyle name="Normal 14 18" xfId="245"/>
    <cellStyle name="Normal 14 19" xfId="247"/>
    <cellStyle name="Normal 14 2" xfId="74"/>
    <cellStyle name="Normal 14 20" xfId="249"/>
    <cellStyle name="Normal 14 21" xfId="251"/>
    <cellStyle name="Normal 14 22" xfId="253"/>
    <cellStyle name="Normal 14 23" xfId="255"/>
    <cellStyle name="Normal 14 24" xfId="257"/>
    <cellStyle name="Normal 14 25" xfId="259"/>
    <cellStyle name="Normal 14 26" xfId="261"/>
    <cellStyle name="Normal 14 27" xfId="263"/>
    <cellStyle name="Normal 14 28" xfId="265"/>
    <cellStyle name="Normal 14 29" xfId="267"/>
    <cellStyle name="Normal 14 3" xfId="215"/>
    <cellStyle name="Normal 14 30" xfId="269"/>
    <cellStyle name="Normal 14 31" xfId="271"/>
    <cellStyle name="Normal 14 32" xfId="273"/>
    <cellStyle name="Normal 14 33" xfId="275"/>
    <cellStyle name="Normal 14 34" xfId="277"/>
    <cellStyle name="Normal 14 35" xfId="279"/>
    <cellStyle name="Normal 14 36" xfId="281"/>
    <cellStyle name="Normal 14 37" xfId="283"/>
    <cellStyle name="Normal 14 38" xfId="285"/>
    <cellStyle name="Normal 14 39" xfId="287"/>
    <cellStyle name="Normal 14 4" xfId="217"/>
    <cellStyle name="Normal 14 40" xfId="289"/>
    <cellStyle name="Normal 14 41" xfId="291"/>
    <cellStyle name="Normal 14 42" xfId="293"/>
    <cellStyle name="Normal 14 43" xfId="295"/>
    <cellStyle name="Normal 14 44" xfId="297"/>
    <cellStyle name="Normal 14 45" xfId="299"/>
    <cellStyle name="Normal 14 46" xfId="301"/>
    <cellStyle name="Normal 14 47" xfId="303"/>
    <cellStyle name="Normal 14 48" xfId="305"/>
    <cellStyle name="Normal 14 49" xfId="307"/>
    <cellStyle name="Normal 14 5" xfId="219"/>
    <cellStyle name="Normal 14 50" xfId="309"/>
    <cellStyle name="Normal 14 51" xfId="311"/>
    <cellStyle name="Normal 14 52" xfId="313"/>
    <cellStyle name="Normal 14 53" xfId="315"/>
    <cellStyle name="Normal 14 54" xfId="317"/>
    <cellStyle name="Normal 14 55" xfId="319"/>
    <cellStyle name="Normal 14 56" xfId="321"/>
    <cellStyle name="Normal 14 57" xfId="323"/>
    <cellStyle name="Normal 14 58" xfId="325"/>
    <cellStyle name="Normal 14 59" xfId="327"/>
    <cellStyle name="Normal 14 6" xfId="221"/>
    <cellStyle name="Normal 14 60" xfId="329"/>
    <cellStyle name="Normal 14 61" xfId="331"/>
    <cellStyle name="Normal 14 62" xfId="333"/>
    <cellStyle name="Normal 14 63" xfId="335"/>
    <cellStyle name="Normal 14 64" xfId="337"/>
    <cellStyle name="Normal 14 65" xfId="339"/>
    <cellStyle name="Normal 14 66" xfId="341"/>
    <cellStyle name="Normal 14 67" xfId="343"/>
    <cellStyle name="Normal 14 68" xfId="345"/>
    <cellStyle name="Normal 14 69" xfId="347"/>
    <cellStyle name="Normal 14 7" xfId="223"/>
    <cellStyle name="Normal 14 70" xfId="349"/>
    <cellStyle name="Normal 14 71" xfId="351"/>
    <cellStyle name="Normal 14 72" xfId="353"/>
    <cellStyle name="Normal 14 73" xfId="355"/>
    <cellStyle name="Normal 14 74" xfId="357"/>
    <cellStyle name="Normal 14 75" xfId="359"/>
    <cellStyle name="Normal 14 76" xfId="361"/>
    <cellStyle name="Normal 14 77" xfId="363"/>
    <cellStyle name="Normal 14 78" xfId="365"/>
    <cellStyle name="Normal 14 79" xfId="367"/>
    <cellStyle name="Normal 14 8" xfId="225"/>
    <cellStyle name="Normal 14 80" xfId="369"/>
    <cellStyle name="Normal 14 81" xfId="371"/>
    <cellStyle name="Normal 14 82" xfId="373"/>
    <cellStyle name="Normal 14 83" xfId="375"/>
    <cellStyle name="Normal 14 84" xfId="377"/>
    <cellStyle name="Normal 14 85" xfId="379"/>
    <cellStyle name="Normal 14 86" xfId="381"/>
    <cellStyle name="Normal 14 87" xfId="383"/>
    <cellStyle name="Normal 14 88" xfId="385"/>
    <cellStyle name="Normal 14 89" xfId="387"/>
    <cellStyle name="Normal 14 9" xfId="227"/>
    <cellStyle name="Normal 14 90" xfId="389"/>
    <cellStyle name="Normal 14 91" xfId="391"/>
    <cellStyle name="Normal 14 92" xfId="393"/>
    <cellStyle name="Normal 14 93" xfId="396"/>
    <cellStyle name="Normal 14 94" xfId="398"/>
    <cellStyle name="Normal 14 95" xfId="400"/>
    <cellStyle name="Normal 14 96" xfId="402"/>
    <cellStyle name="Normal 14 97" xfId="404"/>
    <cellStyle name="Normal 14 98" xfId="406"/>
    <cellStyle name="Normal 14 99" xfId="408"/>
    <cellStyle name="Normal 15" xfId="43"/>
    <cellStyle name="Normal 16" xfId="394"/>
    <cellStyle name="Normal 2" xfId="6"/>
    <cellStyle name="Normal 3" xfId="7"/>
    <cellStyle name="Normal 3 10" xfId="75"/>
    <cellStyle name="Normal 3 10 2" xfId="76"/>
    <cellStyle name="Normal 3 10 2 2" xfId="77"/>
    <cellStyle name="Normal 3 10 2 2 2" xfId="78"/>
    <cellStyle name="Normal 3 10 2 3" xfId="79"/>
    <cellStyle name="Normal 3 10 3" xfId="80"/>
    <cellStyle name="Normal 3 10 3 2" xfId="81"/>
    <cellStyle name="Normal 3 10 4" xfId="82"/>
    <cellStyle name="Normal 3 11" xfId="83"/>
    <cellStyle name="Normal 3 11 2" xfId="84"/>
    <cellStyle name="Normal 3 11 2 2" xfId="85"/>
    <cellStyle name="Normal 3 11 2 2 2" xfId="86"/>
    <cellStyle name="Normal 3 11 2 3" xfId="87"/>
    <cellStyle name="Normal 3 11 3" xfId="88"/>
    <cellStyle name="Normal 3 11 3 2" xfId="89"/>
    <cellStyle name="Normal 3 11 4" xfId="90"/>
    <cellStyle name="Normal 3 12" xfId="91"/>
    <cellStyle name="Normal 3 12 2" xfId="92"/>
    <cellStyle name="Normal 3 12 2 2" xfId="93"/>
    <cellStyle name="Normal 3 12 3" xfId="94"/>
    <cellStyle name="Normal 3 13" xfId="95"/>
    <cellStyle name="Normal 3 13 2" xfId="96"/>
    <cellStyle name="Normal 3 14" xfId="97"/>
    <cellStyle name="Normal 3 15" xfId="98"/>
    <cellStyle name="Normal 3 2" xfId="13"/>
    <cellStyle name="Normal 3 2 10" xfId="99"/>
    <cellStyle name="Normal 3 2 10 2" xfId="100"/>
    <cellStyle name="Normal 3 2 10 2 2" xfId="101"/>
    <cellStyle name="Normal 3 2 10 2 2 2" xfId="102"/>
    <cellStyle name="Normal 3 2 10 2 3" xfId="103"/>
    <cellStyle name="Normal 3 2 10 3" xfId="104"/>
    <cellStyle name="Normal 3 2 10 3 2" xfId="105"/>
    <cellStyle name="Normal 3 2 10 4" xfId="106"/>
    <cellStyle name="Normal 3 2 11" xfId="107"/>
    <cellStyle name="Normal 3 2 11 2" xfId="108"/>
    <cellStyle name="Normal 3 2 11 2 2" xfId="109"/>
    <cellStyle name="Normal 3 2 11 3" xfId="110"/>
    <cellStyle name="Normal 3 2 12" xfId="111"/>
    <cellStyle name="Normal 3 2 12 2" xfId="112"/>
    <cellStyle name="Normal 3 2 13" xfId="113"/>
    <cellStyle name="Normal 3 2 14" xfId="114"/>
    <cellStyle name="Normal 3 2 2" xfId="19"/>
    <cellStyle name="Normal 3 2 2 2" xfId="33"/>
    <cellStyle name="Normal 3 2 2 2 2" xfId="63"/>
    <cellStyle name="Normal 3 2 2 2 2 2" xfId="115"/>
    <cellStyle name="Normal 3 2 2 2 3" xfId="116"/>
    <cellStyle name="Normal 3 2 2 3" xfId="51"/>
    <cellStyle name="Normal 3 2 2 3 2" xfId="117"/>
    <cellStyle name="Normal 3 2 2 4" xfId="118"/>
    <cellStyle name="Normal 3 2 3" xfId="23"/>
    <cellStyle name="Normal 3 2 3 2" xfId="37"/>
    <cellStyle name="Normal 3 2 3 2 2" xfId="67"/>
    <cellStyle name="Normal 3 2 3 2 2 2" xfId="119"/>
    <cellStyle name="Normal 3 2 3 2 3" xfId="120"/>
    <cellStyle name="Normal 3 2 3 3" xfId="55"/>
    <cellStyle name="Normal 3 2 3 3 2" xfId="121"/>
    <cellStyle name="Normal 3 2 3 4" xfId="122"/>
    <cellStyle name="Normal 3 2 4" xfId="29"/>
    <cellStyle name="Normal 3 2 4 2" xfId="59"/>
    <cellStyle name="Normal 3 2 4 2 2" xfId="123"/>
    <cellStyle name="Normal 3 2 4 2 2 2" xfId="124"/>
    <cellStyle name="Normal 3 2 4 2 3" xfId="125"/>
    <cellStyle name="Normal 3 2 4 3" xfId="126"/>
    <cellStyle name="Normal 3 2 4 3 2" xfId="127"/>
    <cellStyle name="Normal 3 2 4 4" xfId="128"/>
    <cellStyle name="Normal 3 2 5" xfId="47"/>
    <cellStyle name="Normal 3 2 5 2" xfId="129"/>
    <cellStyle name="Normal 3 2 5 2 2" xfId="130"/>
    <cellStyle name="Normal 3 2 5 2 2 2" xfId="131"/>
    <cellStyle name="Normal 3 2 5 2 3" xfId="132"/>
    <cellStyle name="Normal 3 2 5 3" xfId="133"/>
    <cellStyle name="Normal 3 2 5 3 2" xfId="134"/>
    <cellStyle name="Normal 3 2 5 4" xfId="135"/>
    <cellStyle name="Normal 3 2 6" xfId="136"/>
    <cellStyle name="Normal 3 2 6 2" xfId="137"/>
    <cellStyle name="Normal 3 2 6 2 2" xfId="138"/>
    <cellStyle name="Normal 3 2 6 2 2 2" xfId="139"/>
    <cellStyle name="Normal 3 2 6 2 3" xfId="140"/>
    <cellStyle name="Normal 3 2 6 3" xfId="141"/>
    <cellStyle name="Normal 3 2 6 3 2" xfId="142"/>
    <cellStyle name="Normal 3 2 6 4" xfId="143"/>
    <cellStyle name="Normal 3 2 7" xfId="144"/>
    <cellStyle name="Normal 3 2 7 2" xfId="145"/>
    <cellStyle name="Normal 3 2 7 2 2" xfId="146"/>
    <cellStyle name="Normal 3 2 7 2 2 2" xfId="147"/>
    <cellStyle name="Normal 3 2 7 2 3" xfId="148"/>
    <cellStyle name="Normal 3 2 7 3" xfId="149"/>
    <cellStyle name="Normal 3 2 7 3 2" xfId="150"/>
    <cellStyle name="Normal 3 2 7 4" xfId="151"/>
    <cellStyle name="Normal 3 2 8" xfId="152"/>
    <cellStyle name="Normal 3 2 8 2" xfId="153"/>
    <cellStyle name="Normal 3 2 8 2 2" xfId="154"/>
    <cellStyle name="Normal 3 2 8 2 2 2" xfId="155"/>
    <cellStyle name="Normal 3 2 8 2 3" xfId="156"/>
    <cellStyle name="Normal 3 2 8 3" xfId="157"/>
    <cellStyle name="Normal 3 2 8 3 2" xfId="158"/>
    <cellStyle name="Normal 3 2 8 4" xfId="159"/>
    <cellStyle name="Normal 3 2 9" xfId="160"/>
    <cellStyle name="Normal 3 2 9 2" xfId="161"/>
    <cellStyle name="Normal 3 2 9 2 2" xfId="162"/>
    <cellStyle name="Normal 3 2 9 2 2 2" xfId="163"/>
    <cellStyle name="Normal 3 2 9 2 3" xfId="164"/>
    <cellStyle name="Normal 3 2 9 3" xfId="165"/>
    <cellStyle name="Normal 3 2 9 3 2" xfId="166"/>
    <cellStyle name="Normal 3 2 9 4" xfId="167"/>
    <cellStyle name="Normal 3 3" xfId="18"/>
    <cellStyle name="Normal 3 3 2" xfId="32"/>
    <cellStyle name="Normal 3 3 2 2" xfId="62"/>
    <cellStyle name="Normal 3 3 2 2 2" xfId="168"/>
    <cellStyle name="Normal 3 3 2 3" xfId="169"/>
    <cellStyle name="Normal 3 3 3" xfId="50"/>
    <cellStyle name="Normal 3 3 3 2" xfId="170"/>
    <cellStyle name="Normal 3 3 4" xfId="171"/>
    <cellStyle name="Normal 3 4" xfId="22"/>
    <cellStyle name="Normal 3 4 2" xfId="36"/>
    <cellStyle name="Normal 3 4 2 2" xfId="66"/>
    <cellStyle name="Normal 3 4 2 2 2" xfId="172"/>
    <cellStyle name="Normal 3 4 2 3" xfId="173"/>
    <cellStyle name="Normal 3 4 3" xfId="54"/>
    <cellStyle name="Normal 3 4 3 2" xfId="174"/>
    <cellStyle name="Normal 3 4 4" xfId="175"/>
    <cellStyle name="Normal 3 5" xfId="28"/>
    <cellStyle name="Normal 3 5 2" xfId="58"/>
    <cellStyle name="Normal 3 5 2 2" xfId="176"/>
    <cellStyle name="Normal 3 5 2 2 2" xfId="177"/>
    <cellStyle name="Normal 3 5 2 3" xfId="178"/>
    <cellStyle name="Normal 3 5 3" xfId="179"/>
    <cellStyle name="Normal 3 5 3 2" xfId="180"/>
    <cellStyle name="Normal 3 5 4" xfId="181"/>
    <cellStyle name="Normal 3 6" xfId="46"/>
    <cellStyle name="Normal 3 6 2" xfId="182"/>
    <cellStyle name="Normal 3 6 2 2" xfId="183"/>
    <cellStyle name="Normal 3 6 2 2 2" xfId="184"/>
    <cellStyle name="Normal 3 6 2 3" xfId="185"/>
    <cellStyle name="Normal 3 6 3" xfId="186"/>
    <cellStyle name="Normal 3 6 3 2" xfId="187"/>
    <cellStyle name="Normal 3 6 4" xfId="188"/>
    <cellStyle name="Normal 3 7" xfId="189"/>
    <cellStyle name="Normal 3 7 2" xfId="190"/>
    <cellStyle name="Normal 3 7 2 2" xfId="191"/>
    <cellStyle name="Normal 3 7 2 2 2" xfId="192"/>
    <cellStyle name="Normal 3 7 2 3" xfId="193"/>
    <cellStyle name="Normal 3 7 3" xfId="194"/>
    <cellStyle name="Normal 3 7 3 2" xfId="195"/>
    <cellStyle name="Normal 3 7 4" xfId="196"/>
    <cellStyle name="Normal 3 8" xfId="197"/>
    <cellStyle name="Normal 3 8 2" xfId="198"/>
    <cellStyle name="Normal 3 8 2 2" xfId="199"/>
    <cellStyle name="Normal 3 8 2 2 2" xfId="200"/>
    <cellStyle name="Normal 3 8 2 3" xfId="201"/>
    <cellStyle name="Normal 3 8 3" xfId="202"/>
    <cellStyle name="Normal 3 8 3 2" xfId="203"/>
    <cellStyle name="Normal 3 8 4" xfId="204"/>
    <cellStyle name="Normal 3 9" xfId="205"/>
    <cellStyle name="Normal 3 9 2" xfId="206"/>
    <cellStyle name="Normal 3 9 2 2" xfId="207"/>
    <cellStyle name="Normal 3 9 2 2 2" xfId="208"/>
    <cellStyle name="Normal 3 9 2 3" xfId="209"/>
    <cellStyle name="Normal 3 9 3" xfId="210"/>
    <cellStyle name="Normal 3 9 3 2" xfId="211"/>
    <cellStyle name="Normal 3 9 4" xfId="212"/>
    <cellStyle name="Normal 4" xfId="8"/>
    <cellStyle name="Normal 5" xfId="9"/>
    <cellStyle name="Normal 6" xfId="14"/>
    <cellStyle name="Normal 6 2" xfId="20"/>
    <cellStyle name="Normal 6 2 2" xfId="34"/>
    <cellStyle name="Normal 6 2 2 2" xfId="64"/>
    <cellStyle name="Normal 6 2 3" xfId="52"/>
    <cellStyle name="Normal 6 3" xfId="24"/>
    <cellStyle name="Normal 6 3 2" xfId="38"/>
    <cellStyle name="Normal 6 3 2 2" xfId="68"/>
    <cellStyle name="Normal 6 3 3" xfId="56"/>
    <cellStyle name="Normal 6 4" xfId="30"/>
    <cellStyle name="Normal 6 4 2" xfId="60"/>
    <cellStyle name="Normal 6 5" xfId="48"/>
    <cellStyle name="Normal 6 6" xfId="71"/>
    <cellStyle name="Normal 7" xfId="16"/>
    <cellStyle name="Normal 8" xfId="15"/>
    <cellStyle name="Normal 8 2" xfId="31"/>
    <cellStyle name="Normal 8 2 2" xfId="61"/>
    <cellStyle name="Normal 8 3" xfId="49"/>
    <cellStyle name="Normal 9" xfId="21"/>
    <cellStyle name="Normal 9 2" xfId="35"/>
    <cellStyle name="Normal 9 2 2" xfId="65"/>
    <cellStyle name="Normal 9 3" xfId="53"/>
    <cellStyle name="Note" xfId="1" builtinId="10"/>
    <cellStyle name="Note 2" xfId="10"/>
    <cellStyle name="Note 3" xfId="11"/>
    <cellStyle name="Note 4" xfId="12"/>
    <cellStyle name="Note 5" xfId="17"/>
    <cellStyle name="Note 6" xfId="27"/>
    <cellStyle name="Note 7" xfId="45"/>
    <cellStyle name="Note 8" xfId="21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2" bestFit="1" customWidth="1"/>
    <col min="2" max="2" width="11.140625" style="1" customWidth="1"/>
    <col min="3" max="3" width="15.85546875" style="1" customWidth="1"/>
    <col min="4" max="4" width="15.140625" style="1" customWidth="1"/>
    <col min="5" max="5" width="17.28515625" style="1" customWidth="1"/>
    <col min="6" max="6" width="14.42578125" style="1" bestFit="1" customWidth="1"/>
    <col min="7" max="7" width="14.140625" style="1" bestFit="1" customWidth="1"/>
    <col min="8" max="8" width="22.5703125" style="1" bestFit="1" customWidth="1"/>
    <col min="9" max="9" width="18.42578125" style="1" bestFit="1" customWidth="1"/>
    <col min="10" max="10" width="13.28515625" style="1" bestFit="1" customWidth="1"/>
    <col min="11" max="11" width="16.28515625" style="1" bestFit="1" customWidth="1"/>
    <col min="12" max="12" width="21.85546875" style="1" bestFit="1" customWidth="1"/>
    <col min="13" max="13" width="11.5703125" style="1" bestFit="1" customWidth="1"/>
    <col min="14" max="14" width="15.85546875" style="1" bestFit="1" customWidth="1"/>
    <col min="15" max="15" width="15.42578125" style="1" bestFit="1" customWidth="1"/>
    <col min="16" max="16" width="13.28515625" style="1" bestFit="1" customWidth="1"/>
    <col min="17" max="17" width="14.5703125" style="1" bestFit="1" customWidth="1"/>
    <col min="18" max="18" width="23.42578125" style="1" bestFit="1" customWidth="1"/>
    <col min="19" max="19" width="16.7109375" style="1" bestFit="1" customWidth="1"/>
    <col min="20" max="20" width="16.42578125" style="1" bestFit="1" customWidth="1"/>
    <col min="21" max="21" width="24.5703125" style="1" bestFit="1" customWidth="1"/>
    <col min="22" max="22" width="15.42578125" style="1" bestFit="1" customWidth="1"/>
    <col min="23" max="23" width="13.5703125" style="1" bestFit="1" customWidth="1"/>
    <col min="24" max="24" width="20.85546875" style="1" bestFit="1" customWidth="1"/>
    <col min="25" max="25" width="16.5703125" style="1" customWidth="1"/>
    <col min="26" max="26" width="11.7109375" style="1" customWidth="1"/>
    <col min="27" max="27" width="13.28515625" style="1" bestFit="1" customWidth="1"/>
    <col min="28" max="28" width="16.7109375" style="1" bestFit="1" customWidth="1"/>
    <col min="29" max="29" width="7.5703125" style="1" bestFit="1" customWidth="1"/>
    <col min="30" max="30" width="9.140625" style="1"/>
    <col min="31" max="31" width="11.28515625" style="1" bestFit="1" customWidth="1"/>
    <col min="32" max="32" width="16.7109375" style="1" bestFit="1" customWidth="1"/>
    <col min="33" max="33" width="10.5703125" style="1" bestFit="1" customWidth="1"/>
    <col min="34" max="34" width="8.5703125" style="1" bestFit="1" customWidth="1"/>
    <col min="35" max="35" width="9.140625" style="1"/>
    <col min="36" max="36" width="5.85546875" style="1" bestFit="1" customWidth="1"/>
    <col min="37" max="37" width="10.5703125" style="1" bestFit="1" customWidth="1"/>
    <col min="38" max="42" width="9.140625" style="1"/>
    <col min="43" max="43" width="14.42578125" style="1" customWidth="1"/>
    <col min="44" max="44" width="20.28515625" style="1" customWidth="1"/>
    <col min="45" max="45" width="16.5703125" style="1" customWidth="1"/>
    <col min="46" max="46" width="19.85546875" style="1" customWidth="1"/>
    <col min="47" max="47" width="11.7109375" style="1" customWidth="1"/>
    <col min="48" max="48" width="12" style="1" customWidth="1"/>
    <col min="49" max="49" width="12.140625" style="1" customWidth="1"/>
    <col min="50" max="50" width="16.7109375" style="1" customWidth="1"/>
    <col min="51" max="51" width="13.85546875" style="1" customWidth="1"/>
    <col min="52" max="52" width="21.140625" style="1" customWidth="1"/>
    <col min="53" max="53" width="13.140625" style="1" customWidth="1"/>
    <col min="54" max="54" width="18.42578125" style="1" customWidth="1"/>
    <col min="55" max="55" width="11.28515625" style="1" customWidth="1"/>
    <col min="56" max="56" width="16.140625" style="1" customWidth="1"/>
    <col min="57" max="57" width="12.42578125" style="1" customWidth="1"/>
    <col min="58" max="58" width="9.140625" style="1"/>
    <col min="59" max="59" width="12.28515625" style="1" customWidth="1"/>
    <col min="60" max="60" width="13.85546875" style="1" customWidth="1"/>
    <col min="61" max="61" width="17" style="1" customWidth="1"/>
    <col min="62" max="62" width="14.7109375" style="1" customWidth="1"/>
    <col min="63" max="16384" width="9.140625" style="1"/>
  </cols>
  <sheetData>
    <row r="1" spans="1:70" s="2" customFormat="1">
      <c r="A1" s="2" t="s">
        <v>256</v>
      </c>
      <c r="B1" s="2" t="s">
        <v>255</v>
      </c>
    </row>
    <row r="2" spans="1:70" s="2" customFormat="1"/>
    <row r="3" spans="1:70">
      <c r="A3" s="2" t="s">
        <v>254</v>
      </c>
      <c r="B3" s="1" t="s">
        <v>1140</v>
      </c>
      <c r="C3" s="1">
        <v>1</v>
      </c>
      <c r="D3" s="1">
        <v>2</v>
      </c>
    </row>
    <row r="4" spans="1:70">
      <c r="A4" s="2" t="s">
        <v>253</v>
      </c>
      <c r="B4" s="1" t="s">
        <v>174</v>
      </c>
      <c r="C4" s="1" t="s">
        <v>22</v>
      </c>
      <c r="D4" s="1" t="s">
        <v>20</v>
      </c>
      <c r="E4" s="1" t="s">
        <v>21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70">
      <c r="A5" s="2" t="s">
        <v>252</v>
      </c>
      <c r="B5" s="1" t="s">
        <v>174</v>
      </c>
      <c r="C5" s="1" t="s">
        <v>22</v>
      </c>
      <c r="D5" s="1" t="s">
        <v>20</v>
      </c>
      <c r="E5" s="1" t="s">
        <v>21</v>
      </c>
      <c r="F5" s="1" t="s">
        <v>198</v>
      </c>
      <c r="G5" s="1" t="s">
        <v>251</v>
      </c>
      <c r="H5" s="1" t="s">
        <v>250</v>
      </c>
      <c r="I5" s="1" t="s">
        <v>249</v>
      </c>
      <c r="J5" s="1" t="s">
        <v>248</v>
      </c>
      <c r="K5" s="1" t="s">
        <v>247</v>
      </c>
      <c r="L5" s="1" t="s">
        <v>734</v>
      </c>
      <c r="M5" s="1" t="s">
        <v>1133</v>
      </c>
    </row>
    <row r="6" spans="1:70">
      <c r="A6" s="2" t="s">
        <v>246</v>
      </c>
      <c r="B6" s="1" t="s">
        <v>174</v>
      </c>
      <c r="C6" s="1">
        <v>0</v>
      </c>
      <c r="D6" s="1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</row>
    <row r="7" spans="1:70">
      <c r="A7" s="2" t="s">
        <v>245</v>
      </c>
      <c r="B7" s="1" t="s">
        <v>174</v>
      </c>
      <c r="C7" s="1" t="s">
        <v>243</v>
      </c>
      <c r="D7" s="1" t="s">
        <v>242</v>
      </c>
      <c r="E7" s="1" t="s">
        <v>18</v>
      </c>
      <c r="F7" s="1" t="s">
        <v>241</v>
      </c>
      <c r="G7" s="1" t="s">
        <v>240</v>
      </c>
      <c r="H7" s="1" t="s">
        <v>239</v>
      </c>
      <c r="I7" s="1" t="s">
        <v>50</v>
      </c>
      <c r="J7" s="1" t="s">
        <v>238</v>
      </c>
      <c r="K7" s="1" t="s">
        <v>442</v>
      </c>
      <c r="L7" s="1" t="s">
        <v>237</v>
      </c>
      <c r="M7" s="1" t="s">
        <v>236</v>
      </c>
      <c r="N7" s="1" t="s">
        <v>244</v>
      </c>
      <c r="O7" s="1" t="s">
        <v>343</v>
      </c>
      <c r="P7" s="1" t="s">
        <v>639</v>
      </c>
      <c r="Q7" s="1" t="s">
        <v>730</v>
      </c>
      <c r="R7" s="1" t="s">
        <v>729</v>
      </c>
      <c r="S7" s="1" t="s">
        <v>706</v>
      </c>
      <c r="T7" s="1" t="s">
        <v>705</v>
      </c>
      <c r="U7" s="1" t="s">
        <v>704</v>
      </c>
      <c r="V7" s="1" t="s">
        <v>703</v>
      </c>
      <c r="W7" s="1" t="s">
        <v>702</v>
      </c>
      <c r="X7" s="1" t="s">
        <v>728</v>
      </c>
      <c r="Y7" s="1" t="s">
        <v>701</v>
      </c>
      <c r="Z7" s="1" t="s">
        <v>727</v>
      </c>
      <c r="AA7" s="1" t="s">
        <v>726</v>
      </c>
      <c r="AB7" s="1" t="s">
        <v>725</v>
      </c>
      <c r="AC7" s="1" t="s">
        <v>724</v>
      </c>
      <c r="AD7" s="1" t="s">
        <v>723</v>
      </c>
      <c r="AE7" s="1" t="s">
        <v>700</v>
      </c>
      <c r="AF7" s="1" t="s">
        <v>699</v>
      </c>
      <c r="AG7" s="1" t="s">
        <v>722</v>
      </c>
      <c r="AH7" s="1" t="s">
        <v>698</v>
      </c>
      <c r="AI7" s="1" t="s">
        <v>721</v>
      </c>
      <c r="AJ7" s="1" t="s">
        <v>697</v>
      </c>
      <c r="AK7" s="1" t="s">
        <v>733</v>
      </c>
      <c r="AL7" s="1" t="s">
        <v>732</v>
      </c>
      <c r="AM7" s="1" t="s">
        <v>1176</v>
      </c>
      <c r="AN7" s="1" t="s">
        <v>44</v>
      </c>
      <c r="AO7" s="1" t="s">
        <v>1019</v>
      </c>
      <c r="AP7" s="1" t="s">
        <v>1133</v>
      </c>
      <c r="AQ7" s="1" t="s">
        <v>1132</v>
      </c>
      <c r="AR7" s="1" t="s">
        <v>1161</v>
      </c>
      <c r="AS7" s="1" t="s">
        <v>1160</v>
      </c>
      <c r="AT7" s="1" t="s">
        <v>1159</v>
      </c>
      <c r="AU7" s="1" t="s">
        <v>1158</v>
      </c>
      <c r="AV7" s="1" t="s">
        <v>1157</v>
      </c>
      <c r="AW7" s="1" t="s">
        <v>1156</v>
      </c>
      <c r="AX7" s="1" t="s">
        <v>1155</v>
      </c>
      <c r="AY7" s="1" t="s">
        <v>1154</v>
      </c>
      <c r="AZ7" s="1" t="s">
        <v>1153</v>
      </c>
      <c r="BA7" s="1" t="s">
        <v>1152</v>
      </c>
      <c r="BB7" s="1" t="s">
        <v>1151</v>
      </c>
      <c r="BC7" s="1" t="s">
        <v>1150</v>
      </c>
      <c r="BD7" s="1" t="s">
        <v>1149</v>
      </c>
      <c r="BE7" s="1" t="s">
        <v>1148</v>
      </c>
      <c r="BF7" s="1" t="s">
        <v>1175</v>
      </c>
      <c r="BG7" s="1" t="s">
        <v>1174</v>
      </c>
      <c r="BH7" s="1" t="s">
        <v>1173</v>
      </c>
      <c r="BI7" s="1" t="s">
        <v>1172</v>
      </c>
      <c r="BJ7" s="1" t="s">
        <v>1145</v>
      </c>
      <c r="BK7" s="1" t="s">
        <v>1144</v>
      </c>
      <c r="BL7" s="1" t="s">
        <v>1147</v>
      </c>
      <c r="BM7" s="1" t="s">
        <v>1143</v>
      </c>
      <c r="BN7" s="1" t="s">
        <v>1142</v>
      </c>
      <c r="BO7" s="1" t="s">
        <v>1141</v>
      </c>
      <c r="BP7" s="1" t="s">
        <v>1188</v>
      </c>
      <c r="BQ7" s="1" t="s">
        <v>1194</v>
      </c>
      <c r="BR7" s="1" t="s">
        <v>1195</v>
      </c>
    </row>
    <row r="8" spans="1:70">
      <c r="A8" s="2" t="s">
        <v>235</v>
      </c>
      <c r="B8" s="1" t="s">
        <v>174</v>
      </c>
      <c r="C8" s="1" t="s">
        <v>16</v>
      </c>
      <c r="D8" s="1" t="s">
        <v>234</v>
      </c>
      <c r="E8" s="1" t="s">
        <v>233</v>
      </c>
      <c r="F8" s="1" t="s">
        <v>14</v>
      </c>
      <c r="G8" s="1" t="s">
        <v>232</v>
      </c>
      <c r="H8" s="1" t="s">
        <v>231</v>
      </c>
      <c r="I8" s="1" t="s">
        <v>272</v>
      </c>
      <c r="J8" s="1" t="s">
        <v>376</v>
      </c>
      <c r="K8" s="1" t="s">
        <v>375</v>
      </c>
      <c r="L8" s="1" t="s">
        <v>374</v>
      </c>
      <c r="M8" s="1" t="s">
        <v>271</v>
      </c>
      <c r="N8" s="1" t="s">
        <v>270</v>
      </c>
      <c r="O8" s="1" t="s">
        <v>269</v>
      </c>
      <c r="P8" s="1" t="s">
        <v>268</v>
      </c>
    </row>
    <row r="9" spans="1:70">
      <c r="A9" s="2" t="s">
        <v>230</v>
      </c>
      <c r="B9" s="1" t="s">
        <v>174</v>
      </c>
      <c r="C9" s="1" t="s">
        <v>229</v>
      </c>
      <c r="D9" s="1" t="s">
        <v>228</v>
      </c>
      <c r="E9" s="1" t="s">
        <v>227</v>
      </c>
      <c r="F9" s="1" t="s">
        <v>226</v>
      </c>
    </row>
    <row r="10" spans="1:70">
      <c r="A10" s="2" t="s">
        <v>225</v>
      </c>
      <c r="B10" s="1" t="s">
        <v>174</v>
      </c>
      <c r="C10" s="1" t="s">
        <v>224</v>
      </c>
      <c r="D10" s="1" t="s">
        <v>267</v>
      </c>
      <c r="E10" s="1" t="s">
        <v>373</v>
      </c>
      <c r="F10" s="1" t="s">
        <v>1198</v>
      </c>
    </row>
    <row r="11" spans="1:70">
      <c r="A11" s="2" t="s">
        <v>1201</v>
      </c>
      <c r="B11" s="1" t="s">
        <v>174</v>
      </c>
      <c r="C11" s="1" t="s">
        <v>1200</v>
      </c>
    </row>
    <row r="12" spans="1:70">
      <c r="A12" s="2" t="s">
        <v>266</v>
      </c>
      <c r="B12" s="1" t="s">
        <v>174</v>
      </c>
      <c r="C12" s="1" t="s">
        <v>265</v>
      </c>
    </row>
    <row r="13" spans="1:70">
      <c r="A13" s="2" t="s">
        <v>215</v>
      </c>
      <c r="B13" s="1" t="s">
        <v>120</v>
      </c>
      <c r="C13" s="1" t="s">
        <v>72</v>
      </c>
      <c r="D13" s="1" t="s">
        <v>90</v>
      </c>
      <c r="E13" s="1" t="s">
        <v>214</v>
      </c>
      <c r="F13" s="1" t="s">
        <v>34</v>
      </c>
      <c r="G13" s="1" t="s">
        <v>129</v>
      </c>
      <c r="H13" s="1" t="s">
        <v>103</v>
      </c>
      <c r="I13" s="1" t="s">
        <v>95</v>
      </c>
      <c r="J13" s="1" t="s">
        <v>113</v>
      </c>
      <c r="K13" s="1" t="s">
        <v>137</v>
      </c>
      <c r="L13" s="1" t="s">
        <v>198</v>
      </c>
      <c r="M13" s="1" t="s">
        <v>213</v>
      </c>
      <c r="N13" s="1" t="s">
        <v>212</v>
      </c>
      <c r="O13" s="1" t="s">
        <v>211</v>
      </c>
    </row>
    <row r="14" spans="1:70">
      <c r="A14" s="2" t="s">
        <v>210</v>
      </c>
      <c r="B14" s="1" t="s">
        <v>73</v>
      </c>
      <c r="C14" s="1" t="s">
        <v>209</v>
      </c>
    </row>
    <row r="15" spans="1:70">
      <c r="A15" s="2" t="s">
        <v>208</v>
      </c>
      <c r="B15" s="1" t="s">
        <v>174</v>
      </c>
      <c r="C15" s="1" t="s">
        <v>207</v>
      </c>
      <c r="D15" s="1" t="s">
        <v>206</v>
      </c>
      <c r="E15" s="1" t="s">
        <v>205</v>
      </c>
      <c r="F15" s="1" t="s">
        <v>204</v>
      </c>
      <c r="G15" s="1" t="s">
        <v>203</v>
      </c>
      <c r="H15" s="1" t="s">
        <v>202</v>
      </c>
      <c r="I15" s="1" t="s">
        <v>201</v>
      </c>
      <c r="J15" s="1" t="s">
        <v>200</v>
      </c>
      <c r="K15" s="1" t="s">
        <v>199</v>
      </c>
      <c r="L15" s="1" t="s">
        <v>198</v>
      </c>
    </row>
    <row r="16" spans="1:70">
      <c r="A16" s="2" t="s">
        <v>2</v>
      </c>
      <c r="B16" s="1" t="s">
        <v>71</v>
      </c>
      <c r="C16" s="1" t="s">
        <v>50</v>
      </c>
      <c r="D16" s="1" t="s">
        <v>145</v>
      </c>
      <c r="E16" s="1" t="s">
        <v>197</v>
      </c>
      <c r="F16" s="1" t="s">
        <v>196</v>
      </c>
      <c r="G16" s="1" t="s">
        <v>195</v>
      </c>
    </row>
    <row r="17" spans="1:203">
      <c r="A17" s="2" t="s">
        <v>194</v>
      </c>
      <c r="B17" s="1" t="s">
        <v>174</v>
      </c>
      <c r="C17" s="1" t="s">
        <v>193</v>
      </c>
      <c r="D17" s="1" t="s">
        <v>192</v>
      </c>
      <c r="E17" s="1" t="s">
        <v>191</v>
      </c>
      <c r="F17" s="1" t="s">
        <v>190</v>
      </c>
      <c r="G17" s="1" t="s">
        <v>189</v>
      </c>
      <c r="H17" s="1" t="s">
        <v>851</v>
      </c>
    </row>
    <row r="18" spans="1:203">
      <c r="A18" s="2" t="s">
        <v>188</v>
      </c>
      <c r="B18" s="1" t="s">
        <v>174</v>
      </c>
      <c r="C18" s="1" t="s">
        <v>14</v>
      </c>
      <c r="D18" s="1" t="s">
        <v>16</v>
      </c>
      <c r="E18" s="1" t="s">
        <v>17</v>
      </c>
      <c r="F18" s="1" t="s">
        <v>15</v>
      </c>
      <c r="G18" s="1" t="s">
        <v>731</v>
      </c>
    </row>
    <row r="19" spans="1:203">
      <c r="A19" s="2" t="s">
        <v>187</v>
      </c>
      <c r="B19" s="1" t="s">
        <v>174</v>
      </c>
      <c r="C19" s="1" t="s">
        <v>186</v>
      </c>
      <c r="D19" s="1" t="s">
        <v>185</v>
      </c>
      <c r="E19" s="1" t="s">
        <v>765</v>
      </c>
      <c r="F19" s="1" t="s">
        <v>850</v>
      </c>
      <c r="G19" s="1" t="s">
        <v>1128</v>
      </c>
    </row>
    <row r="20" spans="1:203">
      <c r="A20" s="2" t="s">
        <v>184</v>
      </c>
      <c r="B20" s="1" t="s">
        <v>174</v>
      </c>
      <c r="C20" s="1" t="s">
        <v>183</v>
      </c>
      <c r="D20" s="1" t="s">
        <v>182</v>
      </c>
      <c r="E20" s="1" t="s">
        <v>181</v>
      </c>
      <c r="F20" s="1" t="s">
        <v>180</v>
      </c>
      <c r="G20" s="1" t="s">
        <v>71</v>
      </c>
      <c r="H20" s="1" t="s">
        <v>264</v>
      </c>
      <c r="I20" s="1" t="s">
        <v>191</v>
      </c>
      <c r="J20" s="1" t="s">
        <v>399</v>
      </c>
      <c r="K20" s="1" t="s">
        <v>441</v>
      </c>
      <c r="L20" s="1" t="s">
        <v>440</v>
      </c>
      <c r="M20" s="1" t="s">
        <v>849</v>
      </c>
      <c r="N20" s="1" t="s">
        <v>1131</v>
      </c>
      <c r="O20" s="1" t="s">
        <v>1130</v>
      </c>
      <c r="P20" s="1" t="s">
        <v>1179</v>
      </c>
      <c r="Q20" s="1" t="s">
        <v>1199</v>
      </c>
    </row>
    <row r="21" spans="1:203">
      <c r="A21" s="2" t="s">
        <v>3</v>
      </c>
      <c r="B21" s="1">
        <v>1</v>
      </c>
    </row>
    <row r="22" spans="1:203">
      <c r="A22" s="2" t="s">
        <v>179</v>
      </c>
      <c r="B22" s="1">
        <v>0</v>
      </c>
      <c r="C22" s="1">
        <v>1</v>
      </c>
      <c r="D22" s="1">
        <v>2</v>
      </c>
      <c r="E22" s="1">
        <v>3</v>
      </c>
      <c r="F22" s="1">
        <v>4</v>
      </c>
      <c r="G22" s="1">
        <v>5</v>
      </c>
      <c r="H22" s="1">
        <v>6</v>
      </c>
      <c r="I22" s="1">
        <v>7</v>
      </c>
      <c r="J22" s="1">
        <v>8</v>
      </c>
      <c r="K22" s="1">
        <v>9</v>
      </c>
      <c r="L22" s="1">
        <v>10</v>
      </c>
      <c r="M22" s="1">
        <v>11</v>
      </c>
      <c r="N22" s="1">
        <v>12</v>
      </c>
      <c r="O22" s="1">
        <v>13</v>
      </c>
      <c r="P22" s="1">
        <v>14</v>
      </c>
      <c r="Q22" s="1">
        <v>15</v>
      </c>
      <c r="R22" s="1">
        <v>16</v>
      </c>
      <c r="S22" s="1">
        <v>17</v>
      </c>
      <c r="T22" s="1">
        <v>18</v>
      </c>
      <c r="U22" s="1">
        <v>19</v>
      </c>
      <c r="V22" s="1">
        <v>20</v>
      </c>
    </row>
    <row r="23" spans="1:203">
      <c r="A23" s="2" t="s">
        <v>178</v>
      </c>
      <c r="B23" s="1" t="s">
        <v>174</v>
      </c>
      <c r="C23" s="1">
        <v>-10</v>
      </c>
      <c r="D23" s="1">
        <v>-9.9</v>
      </c>
      <c r="E23" s="1">
        <v>-9.8000000000000007</v>
      </c>
      <c r="F23" s="1">
        <v>-9.6999999999999993</v>
      </c>
      <c r="G23" s="1">
        <v>-9.6</v>
      </c>
      <c r="H23" s="1">
        <v>-9.5</v>
      </c>
      <c r="I23" s="1">
        <v>-9.4</v>
      </c>
      <c r="J23" s="1">
        <v>-9.3000000000000007</v>
      </c>
      <c r="K23" s="1">
        <v>-9.1999999999999993</v>
      </c>
      <c r="L23" s="1">
        <v>-9.1</v>
      </c>
      <c r="M23" s="1">
        <v>-9</v>
      </c>
      <c r="N23" s="1">
        <v>-8.9</v>
      </c>
      <c r="O23" s="1">
        <v>-8.8000000000000007</v>
      </c>
      <c r="P23" s="1">
        <v>-8.6999999999999993</v>
      </c>
      <c r="Q23" s="1">
        <v>-8.6</v>
      </c>
      <c r="R23" s="1">
        <v>-8.5000000000000107</v>
      </c>
      <c r="S23" s="1">
        <v>-8.4000000000000092</v>
      </c>
      <c r="T23" s="1">
        <v>-8.3000000000000096</v>
      </c>
      <c r="U23" s="1">
        <v>-8.2000000000000099</v>
      </c>
      <c r="V23" s="1">
        <v>-8.1000000000000103</v>
      </c>
      <c r="W23" s="1">
        <v>-8.0000000000000107</v>
      </c>
      <c r="X23" s="1">
        <v>-7.9000000000000101</v>
      </c>
      <c r="Y23" s="1">
        <v>-7.8000000000000096</v>
      </c>
      <c r="Z23" s="1">
        <v>-7.7000000000000099</v>
      </c>
      <c r="AA23" s="1">
        <v>-7.6000000000000103</v>
      </c>
      <c r="AB23" s="1">
        <v>-7.5000000000000098</v>
      </c>
      <c r="AC23" s="1">
        <v>-7.4000000000000101</v>
      </c>
      <c r="AD23" s="1">
        <v>-7.3000000000000096</v>
      </c>
      <c r="AE23" s="1">
        <v>-7.2000000000000099</v>
      </c>
      <c r="AF23" s="1">
        <v>-7.1000000000000103</v>
      </c>
      <c r="AG23" s="1">
        <v>-7.0000000000000098</v>
      </c>
      <c r="AH23" s="1">
        <v>-6.9000000000000101</v>
      </c>
      <c r="AI23" s="1">
        <v>-6.8000000000000096</v>
      </c>
      <c r="AJ23" s="1">
        <v>-6.7000000000000099</v>
      </c>
      <c r="AK23" s="1">
        <v>-6.6000000000000103</v>
      </c>
      <c r="AL23" s="1">
        <v>-6.5000000000000098</v>
      </c>
      <c r="AM23" s="1">
        <v>-6.4000000000000101</v>
      </c>
      <c r="AN23" s="1">
        <v>-6.3000000000000096</v>
      </c>
      <c r="AO23" s="1">
        <v>-6.2000000000000099</v>
      </c>
      <c r="AP23" s="1">
        <v>-6.1000000000000103</v>
      </c>
      <c r="AQ23" s="1">
        <v>-6.0000000000000098</v>
      </c>
      <c r="AR23" s="1">
        <v>-5.9000000000000101</v>
      </c>
      <c r="AS23" s="1">
        <v>-5.8000000000000096</v>
      </c>
      <c r="AT23" s="1">
        <v>-5.7000000000000197</v>
      </c>
      <c r="AU23" s="1">
        <v>-5.6000000000000201</v>
      </c>
      <c r="AV23" s="1">
        <v>-5.5000000000000204</v>
      </c>
      <c r="AW23" s="1">
        <v>-5.4000000000000199</v>
      </c>
      <c r="AX23" s="1">
        <v>-5.3000000000000203</v>
      </c>
      <c r="AY23" s="1">
        <v>-5.2000000000000197</v>
      </c>
      <c r="AZ23" s="1">
        <v>-5.1000000000000201</v>
      </c>
      <c r="BA23" s="1">
        <v>-5.0000000000000204</v>
      </c>
      <c r="BB23" s="1">
        <v>-4.9000000000000199</v>
      </c>
      <c r="BC23" s="1">
        <v>-4.8000000000000203</v>
      </c>
      <c r="BD23" s="1">
        <v>-4.7000000000000197</v>
      </c>
      <c r="BE23" s="1">
        <v>-4.6000000000000201</v>
      </c>
      <c r="BF23" s="1">
        <v>-4.5000000000000204</v>
      </c>
      <c r="BG23" s="1">
        <v>-4.4000000000000199</v>
      </c>
      <c r="BH23" s="1">
        <v>-4.3000000000000203</v>
      </c>
      <c r="BI23" s="1">
        <v>-4.2000000000000197</v>
      </c>
      <c r="BJ23" s="1">
        <v>-4.1000000000000201</v>
      </c>
      <c r="BK23" s="1">
        <v>-4.0000000000000204</v>
      </c>
      <c r="BL23" s="1">
        <v>-3.9000000000000199</v>
      </c>
      <c r="BM23" s="1">
        <v>-3.8000000000000198</v>
      </c>
      <c r="BN23" s="1">
        <v>-3.7000000000000202</v>
      </c>
      <c r="BO23" s="1">
        <v>-3.6000000000000201</v>
      </c>
      <c r="BP23" s="1">
        <v>-3.50000000000002</v>
      </c>
      <c r="BQ23" s="1">
        <v>-3.4000000000000199</v>
      </c>
      <c r="BR23" s="1">
        <v>-3.3000000000000198</v>
      </c>
      <c r="BS23" s="1">
        <v>-3.2000000000000202</v>
      </c>
      <c r="BT23" s="1">
        <v>-3.1000000000000201</v>
      </c>
      <c r="BU23" s="1">
        <v>-3.00000000000002</v>
      </c>
      <c r="BV23" s="1">
        <v>-2.9000000000000301</v>
      </c>
      <c r="BW23" s="1">
        <v>-2.80000000000003</v>
      </c>
      <c r="BX23" s="1">
        <v>-2.7000000000000299</v>
      </c>
      <c r="BY23" s="1">
        <v>-2.6000000000000298</v>
      </c>
      <c r="BZ23" s="1">
        <v>-2.5000000000000302</v>
      </c>
      <c r="CA23" s="1">
        <v>-2.4000000000000301</v>
      </c>
      <c r="CB23" s="1">
        <v>-2.30000000000003</v>
      </c>
      <c r="CC23" s="1">
        <v>-2.2000000000000299</v>
      </c>
      <c r="CD23" s="1">
        <v>-2.1000000000000298</v>
      </c>
      <c r="CE23" s="1">
        <v>-2.0000000000000302</v>
      </c>
      <c r="CF23" s="1">
        <v>-1.9000000000000301</v>
      </c>
      <c r="CG23" s="1">
        <v>-1.80000000000003</v>
      </c>
      <c r="CH23" s="1">
        <v>-1.7000000000000299</v>
      </c>
      <c r="CI23" s="1">
        <v>-1.6000000000000301</v>
      </c>
      <c r="CJ23" s="1">
        <v>-1.50000000000003</v>
      </c>
      <c r="CK23" s="1">
        <v>-1.4000000000000301</v>
      </c>
      <c r="CL23" s="1">
        <v>-1.30000000000003</v>
      </c>
      <c r="CM23" s="1">
        <v>-1.2000000000000299</v>
      </c>
      <c r="CN23" s="1">
        <v>-1.1000000000000301</v>
      </c>
      <c r="CO23" s="1">
        <v>-1.00000000000003</v>
      </c>
      <c r="CP23" s="1">
        <v>-0.900000000000031</v>
      </c>
      <c r="CQ23" s="1">
        <v>-0.80000000000002902</v>
      </c>
      <c r="CR23" s="1">
        <v>-0.70000000000002904</v>
      </c>
      <c r="CS23" s="1">
        <v>-0.60000000000002995</v>
      </c>
      <c r="CT23" s="1">
        <v>-0.50000000000002998</v>
      </c>
      <c r="CU23" s="1">
        <v>-0.400000000000031</v>
      </c>
      <c r="CV23" s="1">
        <v>-0.30000000000002902</v>
      </c>
      <c r="CW23" s="1">
        <v>-0.20000000000002899</v>
      </c>
      <c r="CX23" s="1">
        <v>-0.100000000000041</v>
      </c>
      <c r="CY23" s="1">
        <v>0</v>
      </c>
      <c r="CZ23" s="1">
        <v>9.9999999999999603E-2</v>
      </c>
      <c r="DA23" s="1">
        <v>0.19999999999999901</v>
      </c>
      <c r="DB23" s="1">
        <v>0.30000000000000099</v>
      </c>
      <c r="DC23" s="1">
        <v>0.4</v>
      </c>
      <c r="DD23" s="1">
        <v>0.5</v>
      </c>
      <c r="DE23" s="1">
        <v>0.6</v>
      </c>
      <c r="DF23" s="1">
        <v>0.69999999999999896</v>
      </c>
      <c r="DG23" s="1">
        <v>0.80000000000000104</v>
      </c>
      <c r="DH23" s="1">
        <v>0.9</v>
      </c>
      <c r="DI23" s="1">
        <v>1</v>
      </c>
      <c r="DJ23" s="1">
        <v>1.1000000000000001</v>
      </c>
      <c r="DK23" s="1">
        <v>1.2</v>
      </c>
      <c r="DL23" s="1">
        <v>1.3</v>
      </c>
      <c r="DM23" s="1">
        <v>1.4</v>
      </c>
      <c r="DN23" s="1">
        <v>1.5</v>
      </c>
      <c r="DO23" s="1">
        <v>1.6</v>
      </c>
      <c r="DP23" s="1">
        <v>1.7</v>
      </c>
      <c r="DQ23" s="1">
        <v>1.8</v>
      </c>
      <c r="DR23" s="1">
        <v>1.9</v>
      </c>
      <c r="DS23" s="1">
        <v>2</v>
      </c>
      <c r="DT23" s="1">
        <v>2.1</v>
      </c>
      <c r="DU23" s="1">
        <v>2.2000000000000002</v>
      </c>
      <c r="DV23" s="1">
        <v>2.2999999999999998</v>
      </c>
      <c r="DW23" s="1">
        <v>2.4</v>
      </c>
      <c r="DX23" s="1">
        <v>2.5</v>
      </c>
      <c r="DY23" s="1">
        <v>2.6</v>
      </c>
      <c r="DZ23" s="1">
        <v>2.7</v>
      </c>
      <c r="EA23" s="1">
        <v>2.8</v>
      </c>
      <c r="EB23" s="1">
        <v>2.9</v>
      </c>
      <c r="EC23" s="1">
        <v>3</v>
      </c>
      <c r="ED23" s="1">
        <v>3.1</v>
      </c>
      <c r="EE23" s="1">
        <v>3.2</v>
      </c>
      <c r="EF23" s="1">
        <v>3.3</v>
      </c>
      <c r="EG23" s="1">
        <v>3.4</v>
      </c>
      <c r="EH23" s="1">
        <v>3.5</v>
      </c>
      <c r="EI23" s="1">
        <v>3.6</v>
      </c>
      <c r="EJ23" s="1">
        <v>3.7</v>
      </c>
      <c r="EK23" s="1">
        <v>3.8</v>
      </c>
      <c r="EL23" s="1">
        <v>3.9</v>
      </c>
      <c r="EM23" s="1">
        <v>4</v>
      </c>
      <c r="EN23" s="1">
        <v>4.0999999999999002</v>
      </c>
      <c r="EO23" s="1">
        <v>4.1999999999998998</v>
      </c>
      <c r="EP23" s="1">
        <v>4.2999999999999003</v>
      </c>
      <c r="EQ23" s="1">
        <v>4.3999999999999</v>
      </c>
      <c r="ER23" s="1">
        <v>4.4999999999998996</v>
      </c>
      <c r="ES23" s="1">
        <v>4.5999999999999002</v>
      </c>
      <c r="ET23" s="1">
        <v>4.6999999999998998</v>
      </c>
      <c r="EU23" s="1">
        <v>4.7999999999999003</v>
      </c>
      <c r="EV23" s="1">
        <v>4.8999999999999</v>
      </c>
      <c r="EW23" s="1">
        <v>4.9999999999998996</v>
      </c>
      <c r="EX23" s="1">
        <v>5.0999999999999002</v>
      </c>
      <c r="EY23" s="1">
        <v>5.1999999999998998</v>
      </c>
      <c r="EZ23" s="1">
        <v>5.2999999999999003</v>
      </c>
      <c r="FA23" s="1">
        <v>5.3999999999999</v>
      </c>
      <c r="FB23" s="1">
        <v>5.4999999999998996</v>
      </c>
      <c r="FC23" s="1">
        <v>5.5999999999999002</v>
      </c>
      <c r="FD23" s="1">
        <v>5.6999999999998998</v>
      </c>
      <c r="FE23" s="1">
        <v>5.7999999999999003</v>
      </c>
      <c r="FF23" s="1">
        <v>5.8999999999999</v>
      </c>
      <c r="FG23" s="1">
        <v>5.9999999999998996</v>
      </c>
      <c r="FH23" s="1">
        <v>6.0999999999999002</v>
      </c>
      <c r="FI23" s="1">
        <v>6.1999999999998998</v>
      </c>
      <c r="FJ23" s="1">
        <v>6.2999999999999003</v>
      </c>
      <c r="FK23" s="1">
        <v>6.3999999999999</v>
      </c>
      <c r="FL23" s="1">
        <v>6.4999999999998996</v>
      </c>
      <c r="FM23" s="1">
        <v>6.5999999999999002</v>
      </c>
      <c r="FN23" s="1">
        <v>6.6999999999998998</v>
      </c>
      <c r="FO23" s="1">
        <v>6.7999999999999003</v>
      </c>
      <c r="FP23" s="1">
        <v>6.8999999999999</v>
      </c>
      <c r="FQ23" s="1">
        <v>6.9999999999998996</v>
      </c>
      <c r="FR23" s="1">
        <v>7.0999999999999002</v>
      </c>
      <c r="FS23" s="1">
        <v>7.1999999999998998</v>
      </c>
      <c r="FT23" s="1">
        <v>7.2999999999999003</v>
      </c>
      <c r="FU23" s="1">
        <v>7.3999999999999</v>
      </c>
      <c r="FV23" s="1">
        <v>7.4999999999998996</v>
      </c>
      <c r="FW23" s="1">
        <v>7.5999999999999002</v>
      </c>
      <c r="FX23" s="1">
        <v>7.6999999999998998</v>
      </c>
      <c r="FY23" s="1">
        <v>7.7999999999999003</v>
      </c>
      <c r="FZ23" s="1">
        <v>7.8999999999999</v>
      </c>
      <c r="GA23" s="1">
        <v>7.9999999999998996</v>
      </c>
      <c r="GB23" s="1">
        <v>8.0999999999999002</v>
      </c>
      <c r="GC23" s="1">
        <v>8.1999999999998998</v>
      </c>
      <c r="GD23" s="1">
        <v>8.2999999999998995</v>
      </c>
      <c r="GE23" s="1">
        <v>8.3999999999999009</v>
      </c>
      <c r="GF23" s="1">
        <v>8.4999999999999005</v>
      </c>
      <c r="GG23" s="1">
        <v>8.5999999999999002</v>
      </c>
      <c r="GH23" s="1">
        <v>8.6999999999998998</v>
      </c>
      <c r="GI23" s="1">
        <v>8.7999999999998995</v>
      </c>
      <c r="GJ23" s="1">
        <v>8.8999999999999009</v>
      </c>
      <c r="GK23" s="1">
        <v>8.9999999999999005</v>
      </c>
      <c r="GL23" s="1">
        <v>9.0999999999999002</v>
      </c>
      <c r="GM23" s="1">
        <v>9.1999999999998998</v>
      </c>
      <c r="GN23" s="1">
        <v>9.2999999999998995</v>
      </c>
      <c r="GO23" s="1">
        <v>9.3999999999999009</v>
      </c>
      <c r="GP23" s="1">
        <v>9.4999999999999005</v>
      </c>
      <c r="GQ23" s="1">
        <v>9.5999999999999002</v>
      </c>
      <c r="GR23" s="1">
        <v>9.6999999999998998</v>
      </c>
      <c r="GS23" s="1">
        <v>9.7999999999998995</v>
      </c>
      <c r="GT23" s="1">
        <v>9.8999999999999009</v>
      </c>
      <c r="GU23" s="1">
        <v>9.9999999999999005</v>
      </c>
    </row>
    <row r="24" spans="1:203">
      <c r="A24" s="2" t="s">
        <v>177</v>
      </c>
      <c r="B24" s="1" t="s">
        <v>174</v>
      </c>
      <c r="C24" s="1">
        <v>-10</v>
      </c>
      <c r="D24" s="1">
        <v>-9</v>
      </c>
      <c r="E24" s="1">
        <v>-8</v>
      </c>
      <c r="F24" s="1">
        <v>-7</v>
      </c>
      <c r="G24" s="1">
        <v>-6</v>
      </c>
      <c r="H24" s="1">
        <v>-5</v>
      </c>
      <c r="I24" s="1">
        <v>-4</v>
      </c>
      <c r="J24" s="1">
        <v>-3</v>
      </c>
      <c r="K24" s="1">
        <v>-2</v>
      </c>
      <c r="L24" s="1">
        <v>-1</v>
      </c>
      <c r="M24" s="1">
        <v>0</v>
      </c>
      <c r="N24" s="1">
        <v>1</v>
      </c>
      <c r="O24" s="1">
        <v>2</v>
      </c>
      <c r="P24" s="1">
        <v>3</v>
      </c>
      <c r="Q24" s="1">
        <v>4</v>
      </c>
      <c r="R24" s="1">
        <v>5</v>
      </c>
      <c r="S24" s="1">
        <v>6</v>
      </c>
      <c r="T24" s="1">
        <v>7</v>
      </c>
      <c r="U24" s="1">
        <v>8</v>
      </c>
      <c r="V24" s="1">
        <v>9</v>
      </c>
      <c r="W24" s="1">
        <v>10</v>
      </c>
    </row>
    <row r="25" spans="1:203">
      <c r="A25" s="2" t="s">
        <v>176</v>
      </c>
      <c r="B25" s="1" t="s">
        <v>174</v>
      </c>
      <c r="C25" s="1">
        <v>1</v>
      </c>
      <c r="D25" s="1">
        <v>2</v>
      </c>
      <c r="E25" s="1">
        <v>3</v>
      </c>
      <c r="F25" s="1">
        <v>4</v>
      </c>
      <c r="G25" s="1">
        <v>5</v>
      </c>
      <c r="H25" s="1">
        <v>6</v>
      </c>
      <c r="I25" s="1">
        <v>7</v>
      </c>
      <c r="J25" s="1">
        <v>8</v>
      </c>
      <c r="K25" s="1">
        <v>9</v>
      </c>
      <c r="L25" s="1">
        <v>10</v>
      </c>
      <c r="M25" s="1">
        <v>11</v>
      </c>
      <c r="N25" s="1">
        <v>12</v>
      </c>
      <c r="O25" s="1">
        <v>13</v>
      </c>
      <c r="P25" s="1">
        <v>14</v>
      </c>
      <c r="Q25" s="1">
        <v>15</v>
      </c>
      <c r="R25" s="1">
        <v>16</v>
      </c>
      <c r="S25" s="1">
        <v>17</v>
      </c>
      <c r="T25" s="1">
        <v>18</v>
      </c>
      <c r="U25" s="1">
        <v>19</v>
      </c>
      <c r="V25" s="1">
        <v>20</v>
      </c>
      <c r="W25" s="1">
        <v>21</v>
      </c>
      <c r="X25" s="1">
        <v>22</v>
      </c>
      <c r="Y25" s="1">
        <v>23</v>
      </c>
      <c r="Z25" s="1">
        <v>24</v>
      </c>
      <c r="AA25" s="1">
        <v>25</v>
      </c>
      <c r="AB25" s="1">
        <v>26</v>
      </c>
      <c r="AC25" s="1">
        <v>27</v>
      </c>
      <c r="AD25" s="1">
        <v>28</v>
      </c>
      <c r="AE25" s="1">
        <v>29</v>
      </c>
      <c r="AF25" s="1">
        <v>30</v>
      </c>
      <c r="AG25" s="1">
        <v>31</v>
      </c>
      <c r="AH25" s="1">
        <v>32</v>
      </c>
      <c r="AI25" s="1">
        <v>33</v>
      </c>
      <c r="AJ25" s="1">
        <v>34</v>
      </c>
      <c r="AK25" s="1">
        <v>35</v>
      </c>
      <c r="AL25" s="1">
        <v>36</v>
      </c>
      <c r="AM25" s="1">
        <v>37</v>
      </c>
      <c r="AN25" s="1">
        <v>38</v>
      </c>
      <c r="AO25" s="1">
        <v>39</v>
      </c>
      <c r="AP25" s="1">
        <v>40</v>
      </c>
      <c r="AQ25" s="1">
        <v>41</v>
      </c>
      <c r="AR25" s="1">
        <v>42</v>
      </c>
      <c r="AS25" s="1">
        <v>43</v>
      </c>
      <c r="AT25" s="1">
        <v>44</v>
      </c>
      <c r="AU25" s="1">
        <v>45</v>
      </c>
      <c r="AV25" s="1">
        <v>46</v>
      </c>
      <c r="AW25" s="1">
        <v>47</v>
      </c>
      <c r="AX25" s="1">
        <v>48</v>
      </c>
      <c r="AY25" s="1">
        <v>49</v>
      </c>
      <c r="AZ25" s="1">
        <v>50</v>
      </c>
      <c r="BA25" s="1">
        <v>51</v>
      </c>
      <c r="BB25" s="1">
        <v>52</v>
      </c>
      <c r="BC25" s="1">
        <v>53</v>
      </c>
      <c r="BD25" s="1">
        <v>54</v>
      </c>
      <c r="BE25" s="1">
        <v>55</v>
      </c>
      <c r="BF25" s="1">
        <v>56</v>
      </c>
      <c r="BG25" s="1">
        <v>57</v>
      </c>
      <c r="BH25" s="1">
        <v>58</v>
      </c>
      <c r="BI25" s="1">
        <v>59</v>
      </c>
      <c r="BJ25" s="1">
        <v>60</v>
      </c>
      <c r="BK25" s="1">
        <v>61</v>
      </c>
      <c r="BL25" s="1">
        <v>62</v>
      </c>
      <c r="BM25" s="1">
        <v>63</v>
      </c>
      <c r="BN25" s="1">
        <v>64</v>
      </c>
      <c r="BO25" s="1">
        <v>65</v>
      </c>
      <c r="BP25" s="1">
        <v>66</v>
      </c>
      <c r="BQ25" s="1">
        <v>67</v>
      </c>
      <c r="BR25" s="1">
        <v>68</v>
      </c>
      <c r="BS25" s="1">
        <v>69</v>
      </c>
      <c r="BT25" s="1">
        <v>70</v>
      </c>
      <c r="BU25" s="1">
        <v>71</v>
      </c>
      <c r="BV25" s="1">
        <v>72</v>
      </c>
      <c r="BW25" s="1">
        <v>73</v>
      </c>
      <c r="BX25" s="1">
        <v>74</v>
      </c>
      <c r="BY25" s="1">
        <v>75</v>
      </c>
      <c r="BZ25" s="1">
        <v>76</v>
      </c>
      <c r="CA25" s="1">
        <v>77</v>
      </c>
      <c r="CB25" s="1">
        <v>78</v>
      </c>
      <c r="CC25" s="1">
        <v>79</v>
      </c>
      <c r="CD25" s="1">
        <v>80</v>
      </c>
      <c r="CE25" s="1">
        <v>81</v>
      </c>
      <c r="CF25" s="1">
        <v>82</v>
      </c>
      <c r="CG25" s="1">
        <v>83</v>
      </c>
      <c r="CH25" s="1">
        <v>84</v>
      </c>
      <c r="CI25" s="1">
        <v>85</v>
      </c>
      <c r="CJ25" s="1">
        <v>86</v>
      </c>
      <c r="CK25" s="1">
        <v>87</v>
      </c>
      <c r="CL25" s="1">
        <v>88</v>
      </c>
      <c r="CM25" s="1">
        <v>89</v>
      </c>
      <c r="CN25" s="1">
        <v>90</v>
      </c>
      <c r="CO25" s="1">
        <v>91</v>
      </c>
      <c r="CP25" s="1">
        <v>92</v>
      </c>
      <c r="CQ25" s="1">
        <v>93</v>
      </c>
      <c r="CR25" s="1">
        <v>94</v>
      </c>
      <c r="CS25" s="1">
        <v>95</v>
      </c>
      <c r="CT25" s="1">
        <v>96</v>
      </c>
      <c r="CU25" s="1">
        <v>97</v>
      </c>
      <c r="CV25" s="1">
        <v>98</v>
      </c>
      <c r="CW25" s="1">
        <v>99</v>
      </c>
      <c r="CX25" s="1">
        <v>100</v>
      </c>
    </row>
    <row r="26" spans="1:203">
      <c r="A26" s="2" t="s">
        <v>175</v>
      </c>
      <c r="B26" s="1" t="s">
        <v>174</v>
      </c>
      <c r="C26" s="1">
        <v>0</v>
      </c>
      <c r="D26" s="1">
        <v>0.1</v>
      </c>
      <c r="E26" s="1">
        <v>0.2</v>
      </c>
      <c r="F26" s="1">
        <v>0.3</v>
      </c>
      <c r="G26" s="1">
        <v>0.4</v>
      </c>
      <c r="H26" s="1">
        <v>0.5</v>
      </c>
      <c r="I26" s="1">
        <v>0.6</v>
      </c>
      <c r="J26" s="1">
        <v>0.7</v>
      </c>
      <c r="K26" s="1">
        <v>0.8</v>
      </c>
      <c r="L26" s="1">
        <v>0.9</v>
      </c>
      <c r="M26" s="1">
        <v>1</v>
      </c>
      <c r="N26" s="1">
        <v>1.1000000000000001</v>
      </c>
      <c r="O26" s="1">
        <v>1.2</v>
      </c>
      <c r="P26" s="1">
        <v>1.3</v>
      </c>
      <c r="Q26" s="1">
        <v>1.4</v>
      </c>
      <c r="R26" s="1">
        <v>1.5</v>
      </c>
      <c r="S26" s="1">
        <v>1.6</v>
      </c>
      <c r="T26" s="1">
        <v>1.7</v>
      </c>
      <c r="U26" s="1">
        <v>1.8</v>
      </c>
      <c r="V26" s="1">
        <v>1.9</v>
      </c>
      <c r="W26" s="1">
        <v>2</v>
      </c>
      <c r="X26" s="1">
        <v>2.1</v>
      </c>
      <c r="Y26" s="1">
        <v>2.2000000000000002</v>
      </c>
      <c r="Z26" s="1">
        <v>2.2999999999999998</v>
      </c>
      <c r="AA26" s="1">
        <v>2.4</v>
      </c>
      <c r="AB26" s="1">
        <v>2.5</v>
      </c>
      <c r="AC26" s="1">
        <v>2.6</v>
      </c>
      <c r="AD26" s="1">
        <v>2.7</v>
      </c>
      <c r="AE26" s="1">
        <v>2.8</v>
      </c>
      <c r="AF26" s="1">
        <v>2.9</v>
      </c>
      <c r="AG26" s="1">
        <v>3</v>
      </c>
      <c r="AH26" s="1">
        <v>3.1</v>
      </c>
      <c r="AI26" s="1">
        <v>3.2</v>
      </c>
      <c r="AJ26" s="1">
        <v>3.3</v>
      </c>
      <c r="AK26" s="1">
        <v>3.4</v>
      </c>
      <c r="AL26" s="1">
        <v>3.5</v>
      </c>
      <c r="AM26" s="1">
        <v>3.6</v>
      </c>
      <c r="AN26" s="1">
        <v>3.7</v>
      </c>
      <c r="AO26" s="1">
        <v>3.8</v>
      </c>
      <c r="AP26" s="1">
        <v>3.9</v>
      </c>
      <c r="AQ26" s="1">
        <v>4</v>
      </c>
      <c r="AR26" s="1">
        <v>4.0999999999999996</v>
      </c>
      <c r="AS26" s="1">
        <v>4.2</v>
      </c>
      <c r="AT26" s="1">
        <v>4.3</v>
      </c>
      <c r="AU26" s="1">
        <v>4.4000000000000004</v>
      </c>
      <c r="AV26" s="1">
        <v>4.5</v>
      </c>
      <c r="AW26" s="1">
        <v>4.5999999999999996</v>
      </c>
      <c r="AX26" s="1">
        <v>4.7</v>
      </c>
      <c r="AY26" s="1">
        <v>4.8</v>
      </c>
      <c r="AZ26" s="1">
        <v>4.9000000000000004</v>
      </c>
      <c r="BA26" s="1">
        <v>5</v>
      </c>
      <c r="BB26" s="1">
        <v>5.0999999999999996</v>
      </c>
      <c r="BC26" s="1">
        <v>5.2</v>
      </c>
      <c r="BD26" s="1">
        <v>5.3</v>
      </c>
      <c r="BE26" s="1">
        <v>5.4</v>
      </c>
      <c r="BF26" s="1">
        <v>5.5</v>
      </c>
      <c r="BG26" s="1">
        <v>5.6</v>
      </c>
      <c r="BH26" s="1">
        <v>5.7</v>
      </c>
      <c r="BI26" s="1">
        <v>5.8</v>
      </c>
      <c r="BJ26" s="1">
        <v>5.9</v>
      </c>
      <c r="BK26" s="1">
        <v>6</v>
      </c>
      <c r="BL26" s="1">
        <v>6.1</v>
      </c>
      <c r="BM26" s="1">
        <v>6.2</v>
      </c>
      <c r="BN26" s="1">
        <v>6.3</v>
      </c>
      <c r="BO26" s="1">
        <v>6.4</v>
      </c>
      <c r="BP26" s="1">
        <v>6.5</v>
      </c>
      <c r="BQ26" s="1">
        <v>6.6</v>
      </c>
      <c r="BR26" s="1">
        <v>6.7</v>
      </c>
      <c r="BS26" s="1">
        <v>6.8</v>
      </c>
      <c r="BT26" s="1">
        <v>6.9</v>
      </c>
      <c r="BU26" s="1">
        <v>7</v>
      </c>
      <c r="BV26" s="1">
        <v>7.1</v>
      </c>
      <c r="BW26" s="1">
        <v>7.2</v>
      </c>
      <c r="BX26" s="1">
        <v>7.3</v>
      </c>
      <c r="BY26" s="1">
        <v>7.4</v>
      </c>
      <c r="BZ26" s="1">
        <v>7.5</v>
      </c>
      <c r="CA26" s="1">
        <v>7.6</v>
      </c>
      <c r="CB26" s="1">
        <v>7.7</v>
      </c>
      <c r="CC26" s="1">
        <v>7.8</v>
      </c>
      <c r="CD26" s="1">
        <v>7.9</v>
      </c>
      <c r="CE26" s="1">
        <v>8</v>
      </c>
      <c r="CF26" s="1">
        <v>8.1</v>
      </c>
      <c r="CG26" s="1">
        <v>8.1999999999999993</v>
      </c>
      <c r="CH26" s="1">
        <v>8.3000000000000007</v>
      </c>
      <c r="CI26" s="1">
        <v>8.4</v>
      </c>
      <c r="CJ26" s="1">
        <v>8.5</v>
      </c>
      <c r="CK26" s="1">
        <v>8.6</v>
      </c>
      <c r="CL26" s="1">
        <v>8.6999999999999993</v>
      </c>
      <c r="CM26" s="1">
        <v>8.8000000000000007</v>
      </c>
      <c r="CN26" s="1">
        <v>8.9</v>
      </c>
      <c r="CO26" s="1">
        <v>9</v>
      </c>
      <c r="CP26" s="1">
        <v>9.1</v>
      </c>
      <c r="CQ26" s="1">
        <v>9.1999999999999993</v>
      </c>
      <c r="CR26" s="1">
        <v>9.3000000000000007</v>
      </c>
      <c r="CS26" s="1">
        <v>9.4</v>
      </c>
      <c r="CT26" s="1">
        <v>9.5</v>
      </c>
      <c r="CU26" s="1">
        <v>9.6</v>
      </c>
      <c r="CV26" s="1">
        <v>9.6999999999999993</v>
      </c>
      <c r="CW26" s="1">
        <v>9.8000000000000007</v>
      </c>
      <c r="CX26" s="1">
        <v>9.9</v>
      </c>
      <c r="CY26" s="1">
        <v>10</v>
      </c>
    </row>
    <row r="27" spans="1:203">
      <c r="A27" s="2" t="s">
        <v>173</v>
      </c>
    </row>
    <row r="28" spans="1:203">
      <c r="A28" s="2" t="s">
        <v>172</v>
      </c>
    </row>
    <row r="29" spans="1:203">
      <c r="A29" s="2" t="s">
        <v>171</v>
      </c>
    </row>
    <row r="30" spans="1:203">
      <c r="A30" s="2" t="s">
        <v>170</v>
      </c>
    </row>
    <row r="31" spans="1:203">
      <c r="A31" s="2" t="s">
        <v>169</v>
      </c>
      <c r="B31" s="1" t="s">
        <v>174</v>
      </c>
      <c r="C31" s="1" t="s">
        <v>223</v>
      </c>
      <c r="D31" s="1" t="s">
        <v>222</v>
      </c>
      <c r="E31" s="1" t="s">
        <v>221</v>
      </c>
      <c r="F31" s="1" t="s">
        <v>220</v>
      </c>
      <c r="G31" s="1" t="s">
        <v>635</v>
      </c>
      <c r="H31" s="1" t="s">
        <v>634</v>
      </c>
      <c r="I31" s="1" t="s">
        <v>633</v>
      </c>
      <c r="J31" s="1" t="s">
        <v>632</v>
      </c>
      <c r="K31" s="1" t="s">
        <v>719</v>
      </c>
      <c r="L31" s="1" t="s">
        <v>718</v>
      </c>
      <c r="M31" s="1" t="s">
        <v>717</v>
      </c>
      <c r="N31" s="1" t="s">
        <v>716</v>
      </c>
      <c r="O31" s="1" t="s">
        <v>715</v>
      </c>
      <c r="P31" s="1" t="s">
        <v>714</v>
      </c>
      <c r="Q31" s="1" t="s">
        <v>713</v>
      </c>
      <c r="R31" s="1" t="s">
        <v>712</v>
      </c>
      <c r="S31" s="1" t="s">
        <v>711</v>
      </c>
      <c r="T31" s="1" t="s">
        <v>710</v>
      </c>
      <c r="U31" s="1" t="s">
        <v>709</v>
      </c>
      <c r="V31" s="1" t="s">
        <v>708</v>
      </c>
      <c r="W31" s="1" t="s">
        <v>707</v>
      </c>
      <c r="X31" s="1" t="s">
        <v>1054</v>
      </c>
      <c r="Y31" s="1" t="s">
        <v>219</v>
      </c>
      <c r="Z31" s="1" t="s">
        <v>218</v>
      </c>
      <c r="AA31" s="1" t="s">
        <v>217</v>
      </c>
      <c r="AB31" s="1" t="s">
        <v>216</v>
      </c>
      <c r="AC31" s="1" t="s">
        <v>819</v>
      </c>
      <c r="AD31" s="1" t="s">
        <v>631</v>
      </c>
      <c r="AE31" s="1" t="s">
        <v>198</v>
      </c>
      <c r="AF31" s="1" t="s">
        <v>818</v>
      </c>
      <c r="AG31" s="1" t="s">
        <v>1020</v>
      </c>
      <c r="AH31" s="1" t="s">
        <v>1134</v>
      </c>
    </row>
    <row r="32" spans="1:203">
      <c r="A32" s="2" t="s">
        <v>168</v>
      </c>
    </row>
    <row r="33" spans="1:37">
      <c r="A33" s="2" t="s">
        <v>649</v>
      </c>
      <c r="B33" s="1" t="s">
        <v>174</v>
      </c>
      <c r="C33" s="1" t="s">
        <v>648</v>
      </c>
      <c r="D33" s="1" t="s">
        <v>647</v>
      </c>
      <c r="E33" s="1" t="s">
        <v>848</v>
      </c>
    </row>
    <row r="34" spans="1:37">
      <c r="A34" s="2" t="s">
        <v>6</v>
      </c>
    </row>
    <row r="35" spans="1:37">
      <c r="A35" s="2" t="s">
        <v>652</v>
      </c>
      <c r="B35" s="1" t="s">
        <v>174</v>
      </c>
      <c r="C35" s="1" t="s">
        <v>243</v>
      </c>
      <c r="D35" s="1" t="s">
        <v>242</v>
      </c>
      <c r="E35" s="1" t="s">
        <v>18</v>
      </c>
      <c r="F35" s="1" t="s">
        <v>651</v>
      </c>
      <c r="G35" s="1" t="s">
        <v>239</v>
      </c>
      <c r="H35" s="1" t="s">
        <v>650</v>
      </c>
      <c r="I35" s="1" t="s">
        <v>237</v>
      </c>
      <c r="J35" s="1" t="s">
        <v>50</v>
      </c>
      <c r="K35" s="1" t="s">
        <v>706</v>
      </c>
      <c r="L35" s="1" t="s">
        <v>705</v>
      </c>
      <c r="M35" s="1" t="s">
        <v>704</v>
      </c>
      <c r="N35" s="1" t="s">
        <v>703</v>
      </c>
      <c r="O35" s="1" t="s">
        <v>702</v>
      </c>
      <c r="P35" s="1" t="s">
        <v>701</v>
      </c>
      <c r="Q35" s="1" t="s">
        <v>700</v>
      </c>
      <c r="R35" s="1" t="s">
        <v>699</v>
      </c>
      <c r="S35" s="1" t="s">
        <v>698</v>
      </c>
      <c r="T35" s="1" t="s">
        <v>697</v>
      </c>
      <c r="U35" s="1" t="s">
        <v>1146</v>
      </c>
      <c r="V35" s="1" t="s">
        <v>1145</v>
      </c>
      <c r="W35" s="1" t="s">
        <v>1144</v>
      </c>
      <c r="X35" s="1" t="s">
        <v>1143</v>
      </c>
      <c r="Y35" s="1" t="s">
        <v>1142</v>
      </c>
      <c r="Z35" s="1" t="s">
        <v>1141</v>
      </c>
      <c r="AA35" s="1" t="s">
        <v>1188</v>
      </c>
      <c r="AB35" s="1" t="s">
        <v>1194</v>
      </c>
    </row>
    <row r="36" spans="1:37">
      <c r="A36" s="2" t="s">
        <v>694</v>
      </c>
      <c r="B36" s="1" t="s">
        <v>693</v>
      </c>
      <c r="C36" s="1" t="s">
        <v>695</v>
      </c>
      <c r="D36" s="1" t="s">
        <v>692</v>
      </c>
      <c r="E36" s="1" t="s">
        <v>691</v>
      </c>
      <c r="F36" s="1" t="s">
        <v>690</v>
      </c>
      <c r="G36" s="1" t="s">
        <v>1080</v>
      </c>
      <c r="H36" s="1" t="s">
        <v>689</v>
      </c>
      <c r="I36" s="1" t="s">
        <v>688</v>
      </c>
    </row>
    <row r="37" spans="1:37">
      <c r="A37" s="2" t="s">
        <v>738</v>
      </c>
      <c r="B37" s="1" t="s">
        <v>174</v>
      </c>
      <c r="C37" s="1" t="s">
        <v>737</v>
      </c>
      <c r="D37" s="1" t="s">
        <v>736</v>
      </c>
    </row>
    <row r="38" spans="1:37">
      <c r="A38" s="2" t="s">
        <v>817</v>
      </c>
      <c r="B38" s="1" t="s">
        <v>174</v>
      </c>
      <c r="C38" s="37" t="s">
        <v>816</v>
      </c>
      <c r="D38" s="1" t="s">
        <v>821</v>
      </c>
      <c r="E38" s="1" t="s">
        <v>820</v>
      </c>
      <c r="F38" s="1" t="s">
        <v>815</v>
      </c>
      <c r="G38" s="1" t="s">
        <v>93</v>
      </c>
    </row>
    <row r="39" spans="1:37">
      <c r="A39" s="2" t="s">
        <v>1079</v>
      </c>
      <c r="B39" s="63" t="s">
        <v>174</v>
      </c>
      <c r="C39" s="37" t="s">
        <v>1078</v>
      </c>
      <c r="D39" s="1" t="s">
        <v>32</v>
      </c>
      <c r="E39" s="1" t="s">
        <v>203</v>
      </c>
      <c r="F39" s="1" t="s">
        <v>1077</v>
      </c>
      <c r="G39" s="1" t="s">
        <v>34</v>
      </c>
      <c r="H39" s="1" t="s">
        <v>1076</v>
      </c>
      <c r="I39" s="1" t="s">
        <v>1075</v>
      </c>
      <c r="J39" s="1" t="s">
        <v>1074</v>
      </c>
      <c r="K39" s="1" t="s">
        <v>1073</v>
      </c>
      <c r="L39" s="1" t="s">
        <v>1072</v>
      </c>
      <c r="M39" s="1" t="s">
        <v>1071</v>
      </c>
      <c r="N39" s="1" t="s">
        <v>1070</v>
      </c>
      <c r="O39" s="1" t="s">
        <v>1124</v>
      </c>
      <c r="P39" s="1" t="s">
        <v>1123</v>
      </c>
      <c r="Q39" s="1" t="s">
        <v>1122</v>
      </c>
      <c r="R39" s="1" t="s">
        <v>1127</v>
      </c>
      <c r="S39" s="1" t="s">
        <v>1126</v>
      </c>
    </row>
    <row r="40" spans="1:37">
      <c r="A40" s="2" t="s">
        <v>1139</v>
      </c>
      <c r="B40" s="63" t="s">
        <v>174</v>
      </c>
      <c r="C40" s="37" t="s">
        <v>29</v>
      </c>
      <c r="D40" s="1" t="s">
        <v>30</v>
      </c>
      <c r="E40" s="1" t="s">
        <v>1138</v>
      </c>
      <c r="F40" s="1" t="s">
        <v>31</v>
      </c>
      <c r="G40" s="1" t="s">
        <v>32</v>
      </c>
      <c r="H40" s="1" t="s">
        <v>33</v>
      </c>
      <c r="I40" s="1" t="s">
        <v>203</v>
      </c>
      <c r="J40" s="1" t="s">
        <v>202</v>
      </c>
      <c r="K40" s="1" t="s">
        <v>34</v>
      </c>
      <c r="L40" s="1" t="s">
        <v>35</v>
      </c>
      <c r="M40" s="1" t="s">
        <v>36</v>
      </c>
      <c r="N40" s="1" t="s">
        <v>37</v>
      </c>
      <c r="O40" s="1" t="s">
        <v>38</v>
      </c>
      <c r="P40" s="1" t="s">
        <v>39</v>
      </c>
      <c r="Q40" s="1" t="s">
        <v>40</v>
      </c>
      <c r="R40" s="1" t="s">
        <v>41</v>
      </c>
      <c r="S40" s="1" t="s">
        <v>42</v>
      </c>
      <c r="T40" s="1" t="s">
        <v>43</v>
      </c>
      <c r="U40" s="1" t="s">
        <v>45</v>
      </c>
      <c r="V40" s="1" t="s">
        <v>46</v>
      </c>
      <c r="W40" s="1" t="s">
        <v>1137</v>
      </c>
      <c r="X40" s="1" t="s">
        <v>1136</v>
      </c>
      <c r="Y40" s="1" t="s">
        <v>47</v>
      </c>
      <c r="Z40" s="1" t="s">
        <v>48</v>
      </c>
      <c r="AA40" s="1" t="s">
        <v>49</v>
      </c>
      <c r="AB40" s="1" t="s">
        <v>50</v>
      </c>
      <c r="AC40" s="1" t="s">
        <v>51</v>
      </c>
      <c r="AD40" s="1" t="s">
        <v>52</v>
      </c>
      <c r="AE40" s="1" t="s">
        <v>53</v>
      </c>
      <c r="AF40" s="1" t="s">
        <v>54</v>
      </c>
      <c r="AG40" s="1" t="s">
        <v>55</v>
      </c>
      <c r="AH40" s="1" t="s">
        <v>720</v>
      </c>
      <c r="AI40" s="1" t="s">
        <v>1125</v>
      </c>
      <c r="AJ40" s="1" t="s">
        <v>199</v>
      </c>
      <c r="AK40" s="1" t="s">
        <v>1135</v>
      </c>
    </row>
    <row r="41" spans="1:37">
      <c r="A41" s="2" t="s">
        <v>1165</v>
      </c>
      <c r="B41" s="63" t="s">
        <v>174</v>
      </c>
      <c r="C41" s="63" t="s">
        <v>1164</v>
      </c>
      <c r="D41" s="1" t="s">
        <v>1163</v>
      </c>
      <c r="E41" s="1" t="s">
        <v>1162</v>
      </c>
    </row>
    <row r="42" spans="1:37">
      <c r="A42" s="2" t="s">
        <v>1178</v>
      </c>
      <c r="B42" s="63" t="s">
        <v>1177</v>
      </c>
      <c r="C42" s="63" t="s">
        <v>1135</v>
      </c>
    </row>
    <row r="43" spans="1:37">
      <c r="A43" s="2" t="s">
        <v>1205</v>
      </c>
      <c r="B43" s="63" t="s">
        <v>174</v>
      </c>
      <c r="C43" s="63" t="s">
        <v>1204</v>
      </c>
    </row>
    <row r="45" spans="1:37" ht="15">
      <c r="A45" s="38"/>
      <c r="B45" s="40" t="s">
        <v>804</v>
      </c>
      <c r="C45" s="38"/>
      <c r="D45" s="38"/>
      <c r="E45" s="38"/>
      <c r="F45" s="38"/>
    </row>
    <row r="46" spans="1:37">
      <c r="A46" s="39" t="s">
        <v>803</v>
      </c>
      <c r="B46" s="1" t="s">
        <v>801</v>
      </c>
      <c r="C46" s="1" t="s">
        <v>800</v>
      </c>
      <c r="D46" s="1" t="s">
        <v>799</v>
      </c>
      <c r="E46" s="1" t="s">
        <v>795</v>
      </c>
      <c r="F46" s="1" t="s">
        <v>802</v>
      </c>
      <c r="M46" s="38"/>
    </row>
    <row r="47" spans="1:37">
      <c r="A47" s="2" t="s">
        <v>798</v>
      </c>
      <c r="B47" s="37" t="s">
        <v>797</v>
      </c>
      <c r="C47" s="63" t="s">
        <v>1208</v>
      </c>
      <c r="D47" s="1" t="s">
        <v>796</v>
      </c>
      <c r="E47" s="1" t="s">
        <v>1207</v>
      </c>
      <c r="F47" s="1" t="s">
        <v>795</v>
      </c>
      <c r="G47" s="1" t="s">
        <v>1206</v>
      </c>
      <c r="H47" s="1" t="s">
        <v>69</v>
      </c>
    </row>
    <row r="48" spans="1:37">
      <c r="A48" s="2" t="s">
        <v>1022</v>
      </c>
      <c r="B48" s="1" t="s">
        <v>1050</v>
      </c>
      <c r="C48" s="1" t="s">
        <v>1049</v>
      </c>
      <c r="D48" s="1" t="s">
        <v>1048</v>
      </c>
      <c r="E48" s="1" t="s">
        <v>1047</v>
      </c>
      <c r="F48" s="1" t="s">
        <v>1046</v>
      </c>
      <c r="G48" s="1" t="s">
        <v>928</v>
      </c>
      <c r="H48" s="1" t="s">
        <v>1045</v>
      </c>
      <c r="I48" s="1" t="s">
        <v>1044</v>
      </c>
      <c r="J48" s="1" t="s">
        <v>1043</v>
      </c>
      <c r="K48" s="1" t="s">
        <v>1042</v>
      </c>
      <c r="L48" s="1" t="s">
        <v>1041</v>
      </c>
      <c r="M48" s="1" t="s">
        <v>1053</v>
      </c>
      <c r="N48" s="1" t="s">
        <v>1040</v>
      </c>
      <c r="O48" s="1" t="s">
        <v>1225</v>
      </c>
      <c r="P48" s="76" t="s">
        <v>1224</v>
      </c>
      <c r="Q48" s="76" t="s">
        <v>1223</v>
      </c>
    </row>
    <row r="49" spans="1:108" ht="15">
      <c r="A49" s="2" t="s">
        <v>942</v>
      </c>
      <c r="B49" s="6" t="s">
        <v>1004</v>
      </c>
      <c r="C49" s="6" t="s">
        <v>1003</v>
      </c>
      <c r="D49" s="1" t="s">
        <v>1002</v>
      </c>
      <c r="E49" s="1" t="s">
        <v>1001</v>
      </c>
      <c r="F49" s="1" t="s">
        <v>1000</v>
      </c>
      <c r="G49" s="1" t="s">
        <v>999</v>
      </c>
      <c r="H49" s="1" t="s">
        <v>998</v>
      </c>
      <c r="I49" s="6" t="s">
        <v>997</v>
      </c>
      <c r="J49" s="6" t="s">
        <v>996</v>
      </c>
      <c r="K49" s="6" t="s">
        <v>995</v>
      </c>
      <c r="L49" s="6" t="s">
        <v>994</v>
      </c>
      <c r="M49" s="6" t="s">
        <v>993</v>
      </c>
      <c r="N49" s="6" t="s">
        <v>992</v>
      </c>
      <c r="O49" s="1" t="s">
        <v>991</v>
      </c>
      <c r="P49" s="1" t="s">
        <v>990</v>
      </c>
      <c r="Q49" s="1" t="s">
        <v>989</v>
      </c>
      <c r="R49" s="1" t="s">
        <v>988</v>
      </c>
      <c r="S49" s="1" t="s">
        <v>987</v>
      </c>
      <c r="T49" s="6" t="s">
        <v>986</v>
      </c>
      <c r="U49" s="1" t="s">
        <v>985</v>
      </c>
      <c r="V49" s="1" t="s">
        <v>984</v>
      </c>
      <c r="W49" s="6" t="s">
        <v>983</v>
      </c>
      <c r="X49" s="1" t="s">
        <v>982</v>
      </c>
      <c r="Y49" s="1" t="s">
        <v>981</v>
      </c>
      <c r="Z49" s="6" t="s">
        <v>980</v>
      </c>
      <c r="AA49" s="79" t="s">
        <v>979</v>
      </c>
      <c r="AB49" s="1" t="s">
        <v>978</v>
      </c>
      <c r="AC49" s="1" t="s">
        <v>977</v>
      </c>
      <c r="AD49" s="6" t="s">
        <v>976</v>
      </c>
      <c r="AE49" s="6" t="s">
        <v>975</v>
      </c>
      <c r="AF49" s="1" t="s">
        <v>974</v>
      </c>
      <c r="AG49" s="6" t="s">
        <v>973</v>
      </c>
      <c r="AH49" s="78" t="s">
        <v>972</v>
      </c>
      <c r="AI49" s="6" t="s">
        <v>971</v>
      </c>
      <c r="AJ49" s="1" t="s">
        <v>970</v>
      </c>
      <c r="AK49" s="78" t="s">
        <v>969</v>
      </c>
      <c r="AL49" s="1" t="s">
        <v>968</v>
      </c>
      <c r="AM49" s="1" t="s">
        <v>967</v>
      </c>
      <c r="AN49" s="6" t="s">
        <v>966</v>
      </c>
      <c r="AO49" s="1" t="s">
        <v>965</v>
      </c>
      <c r="AP49" s="1" t="s">
        <v>964</v>
      </c>
      <c r="AQ49" s="1" t="s">
        <v>963</v>
      </c>
      <c r="AR49" s="1" t="s">
        <v>962</v>
      </c>
      <c r="AS49" s="1" t="s">
        <v>961</v>
      </c>
      <c r="AT49" s="6" t="s">
        <v>960</v>
      </c>
      <c r="AU49" s="6" t="s">
        <v>959</v>
      </c>
      <c r="AV49" s="6" t="s">
        <v>958</v>
      </c>
      <c r="AW49" s="6" t="s">
        <v>957</v>
      </c>
      <c r="AX49" s="6" t="s">
        <v>956</v>
      </c>
      <c r="AY49" s="1" t="s">
        <v>955</v>
      </c>
      <c r="AZ49" s="1" t="s">
        <v>954</v>
      </c>
      <c r="BA49" s="1" t="s">
        <v>953</v>
      </c>
      <c r="BB49" s="1" t="s">
        <v>952</v>
      </c>
      <c r="BC49" s="6" t="s">
        <v>951</v>
      </c>
      <c r="BD49" s="1" t="s">
        <v>950</v>
      </c>
      <c r="BE49" s="1" t="s">
        <v>949</v>
      </c>
      <c r="BF49" s="1" t="s">
        <v>948</v>
      </c>
      <c r="BG49" s="1" t="s">
        <v>947</v>
      </c>
      <c r="BH49" s="1" t="s">
        <v>946</v>
      </c>
      <c r="BI49" s="53" t="s">
        <v>137</v>
      </c>
      <c r="BJ49" s="6" t="s">
        <v>198</v>
      </c>
      <c r="BK49" s="6" t="s">
        <v>926</v>
      </c>
      <c r="BL49" s="54" t="s">
        <v>205</v>
      </c>
      <c r="BM49" s="53" t="s">
        <v>103</v>
      </c>
      <c r="BN49" s="6" t="s">
        <v>917</v>
      </c>
      <c r="BO49" s="53" t="s">
        <v>203</v>
      </c>
      <c r="BP49" s="53" t="s">
        <v>937</v>
      </c>
      <c r="BQ49" s="53" t="s">
        <v>436</v>
      </c>
      <c r="BR49" s="53" t="s">
        <v>206</v>
      </c>
      <c r="BS49" s="53" t="s">
        <v>202</v>
      </c>
      <c r="BT49" s="6" t="s">
        <v>941</v>
      </c>
      <c r="BU49" s="6" t="s">
        <v>929</v>
      </c>
      <c r="BV49" s="6" t="s">
        <v>195</v>
      </c>
      <c r="BW49" s="53" t="s">
        <v>431</v>
      </c>
      <c r="BX49" s="53" t="s">
        <v>116</v>
      </c>
      <c r="BY49" s="6" t="s">
        <v>928</v>
      </c>
      <c r="BZ49" s="6" t="s">
        <v>927</v>
      </c>
      <c r="CA49" s="6" t="s">
        <v>932</v>
      </c>
      <c r="CB49" s="53" t="s">
        <v>120</v>
      </c>
      <c r="CC49" s="53" t="s">
        <v>935</v>
      </c>
      <c r="CD49" s="6" t="s">
        <v>690</v>
      </c>
      <c r="CE49" s="6" t="s">
        <v>641</v>
      </c>
      <c r="CF49" s="53" t="s">
        <v>938</v>
      </c>
      <c r="CG49" s="53" t="s">
        <v>936</v>
      </c>
      <c r="CH49" s="6" t="s">
        <v>934</v>
      </c>
      <c r="CI49" s="53" t="s">
        <v>129</v>
      </c>
      <c r="CJ49" s="53" t="s">
        <v>93</v>
      </c>
      <c r="CK49" s="6" t="s">
        <v>918</v>
      </c>
      <c r="CL49" s="53" t="s">
        <v>34</v>
      </c>
      <c r="CM49" s="53" t="s">
        <v>98</v>
      </c>
      <c r="CN49" s="1" t="s">
        <v>920</v>
      </c>
      <c r="CO49" s="1" t="s">
        <v>919</v>
      </c>
      <c r="CP49" s="1" t="s">
        <v>922</v>
      </c>
      <c r="CQ49" s="1" t="s">
        <v>923</v>
      </c>
      <c r="CR49" s="1" t="s">
        <v>924</v>
      </c>
      <c r="CS49" s="1" t="s">
        <v>925</v>
      </c>
      <c r="CT49" s="1" t="s">
        <v>921</v>
      </c>
      <c r="CU49" s="1" t="s">
        <v>916</v>
      </c>
      <c r="CV49" s="53" t="s">
        <v>201</v>
      </c>
      <c r="CW49" s="53" t="s">
        <v>204</v>
      </c>
      <c r="CX49" s="6" t="s">
        <v>931</v>
      </c>
      <c r="CY49" s="6" t="s">
        <v>207</v>
      </c>
      <c r="CZ49" s="53" t="s">
        <v>940</v>
      </c>
      <c r="DA49" s="53" t="s">
        <v>939</v>
      </c>
      <c r="DB49" s="6" t="s">
        <v>930</v>
      </c>
      <c r="DC49" s="53" t="s">
        <v>933</v>
      </c>
      <c r="DD49" s="55" t="s">
        <v>945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DF680"/>
  <sheetViews>
    <sheetView tabSelected="1" workbookViewId="0">
      <pane xSplit="5" ySplit="1" topLeftCell="F176" activePane="bottomRight" state="frozen"/>
      <selection pane="topRight" activeCell="F1" sqref="F1"/>
      <selection pane="bottomLeft" activeCell="A2" sqref="A2"/>
      <selection pane="bottomRight" activeCell="H209" sqref="H209"/>
    </sheetView>
  </sheetViews>
  <sheetFormatPr defaultRowHeight="12.75"/>
  <cols>
    <col min="1" max="1" width="43.140625" style="6" customWidth="1"/>
    <col min="2" max="2" width="20.5703125" style="6" customWidth="1"/>
    <col min="3" max="3" width="12.85546875" style="6" customWidth="1"/>
    <col min="4" max="4" width="6.5703125" style="6" customWidth="1"/>
    <col min="5" max="5" width="6.28515625" style="6" customWidth="1"/>
    <col min="6" max="6" width="7.7109375" style="6" customWidth="1"/>
    <col min="7" max="7" width="27.42578125" style="6" customWidth="1"/>
    <col min="8" max="8" width="20.5703125" style="6" customWidth="1"/>
    <col min="9" max="9" width="9.140625" style="6" customWidth="1"/>
    <col min="10" max="10" width="24.42578125" style="6" customWidth="1"/>
    <col min="11" max="12" width="9.140625" style="6" customWidth="1"/>
    <col min="13" max="13" width="12.85546875" style="6" customWidth="1"/>
    <col min="14" max="14" width="11.42578125" style="6" customWidth="1"/>
    <col min="15" max="17" width="9.140625" style="6" customWidth="1"/>
    <col min="18" max="18" width="16.5703125" style="6" customWidth="1"/>
    <col min="19" max="23" width="9.140625" style="6" customWidth="1"/>
    <col min="24" max="24" width="13.85546875" style="6" customWidth="1"/>
    <col min="25" max="25" width="11.7109375" style="6" customWidth="1"/>
    <col min="26" max="62" width="16.85546875" style="6" customWidth="1"/>
    <col min="63" max="63" width="10.28515625" style="6" customWidth="1"/>
    <col min="64" max="64" width="10.7109375" style="6" customWidth="1"/>
    <col min="65" max="65" width="13.28515625" style="6" customWidth="1"/>
    <col min="66" max="66" width="12.28515625" style="6" customWidth="1"/>
    <col min="67" max="68" width="17.28515625" style="6" customWidth="1"/>
    <col min="69" max="69" width="12.28515625" style="6" customWidth="1"/>
    <col min="70" max="70" width="19" style="6" customWidth="1"/>
    <col min="71" max="75" width="19.42578125" style="6" customWidth="1"/>
    <col min="76" max="76" width="19.7109375" style="18" customWidth="1"/>
    <col min="77" max="78" width="22.85546875" style="18" customWidth="1"/>
    <col min="79" max="79" width="37.7109375" style="18" bestFit="1" customWidth="1"/>
    <col min="80" max="80" width="15.7109375" style="6" customWidth="1"/>
    <col min="81" max="81" width="17.140625" style="6" customWidth="1"/>
    <col min="82" max="83" width="11" style="6" customWidth="1"/>
    <col min="84" max="84" width="27.7109375" style="6" customWidth="1"/>
    <col min="85" max="99" width="4.28515625" style="6" customWidth="1"/>
    <col min="100" max="100" width="38.85546875" style="6" bestFit="1" customWidth="1"/>
    <col min="101" max="103" width="25.7109375" style="6" customWidth="1"/>
    <col min="104" max="104" width="19.5703125" style="6" customWidth="1"/>
    <col min="105" max="16384" width="9.140625" style="6"/>
  </cols>
  <sheetData>
    <row r="1" spans="1:110" s="2" customForma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0" t="s">
        <v>14</v>
      </c>
      <c r="P1" s="15" t="s">
        <v>15</v>
      </c>
      <c r="Q1" s="16" t="s">
        <v>16</v>
      </c>
      <c r="R1" s="17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4" t="s">
        <v>23</v>
      </c>
      <c r="Y1" s="5" t="s">
        <v>24</v>
      </c>
      <c r="Z1" s="3" t="s">
        <v>25</v>
      </c>
      <c r="AA1" s="10" t="s">
        <v>26</v>
      </c>
      <c r="AB1" s="11" t="s">
        <v>27</v>
      </c>
      <c r="AC1" s="12" t="s">
        <v>28</v>
      </c>
      <c r="AD1" s="19" t="s">
        <v>29</v>
      </c>
      <c r="AE1" s="19" t="s">
        <v>30</v>
      </c>
      <c r="AF1" s="19" t="s">
        <v>31</v>
      </c>
      <c r="AG1" s="19" t="s">
        <v>32</v>
      </c>
      <c r="AH1" s="19" t="s">
        <v>33</v>
      </c>
      <c r="AI1" s="19" t="s">
        <v>203</v>
      </c>
      <c r="AJ1" s="19" t="s">
        <v>202</v>
      </c>
      <c r="AK1" s="19" t="s">
        <v>199</v>
      </c>
      <c r="AL1" s="19" t="s">
        <v>1125</v>
      </c>
      <c r="AM1" s="19" t="s">
        <v>34</v>
      </c>
      <c r="AN1" s="19" t="s">
        <v>1135</v>
      </c>
      <c r="AO1" s="19" t="s">
        <v>35</v>
      </c>
      <c r="AP1" s="19" t="s">
        <v>36</v>
      </c>
      <c r="AQ1" s="19" t="s">
        <v>720</v>
      </c>
      <c r="AR1" s="20" t="s">
        <v>37</v>
      </c>
      <c r="AS1" s="20" t="s">
        <v>38</v>
      </c>
      <c r="AT1" s="20" t="s">
        <v>39</v>
      </c>
      <c r="AU1" s="20" t="s">
        <v>40</v>
      </c>
      <c r="AV1" s="20" t="s">
        <v>41</v>
      </c>
      <c r="AW1" s="20" t="s">
        <v>42</v>
      </c>
      <c r="AX1" s="20" t="s">
        <v>43</v>
      </c>
      <c r="AY1" s="21" t="s">
        <v>45</v>
      </c>
      <c r="AZ1" s="21" t="s">
        <v>46</v>
      </c>
      <c r="BA1" s="21" t="s">
        <v>788</v>
      </c>
      <c r="BB1" s="21" t="s">
        <v>787</v>
      </c>
      <c r="BC1" s="21" t="s">
        <v>47</v>
      </c>
      <c r="BD1" s="21" t="s">
        <v>48</v>
      </c>
      <c r="BE1" s="22" t="s">
        <v>49</v>
      </c>
      <c r="BF1" s="22" t="s">
        <v>50</v>
      </c>
      <c r="BG1" s="22" t="s">
        <v>51</v>
      </c>
      <c r="BH1" s="22" t="s">
        <v>52</v>
      </c>
      <c r="BI1" s="22" t="s">
        <v>53</v>
      </c>
      <c r="BJ1" s="22" t="s">
        <v>54</v>
      </c>
      <c r="BK1" s="22" t="s">
        <v>55</v>
      </c>
      <c r="BL1" s="2" t="s">
        <v>56</v>
      </c>
      <c r="BM1" s="2" t="s">
        <v>57</v>
      </c>
      <c r="BN1" s="2" t="s">
        <v>58</v>
      </c>
      <c r="BO1" s="2" t="s">
        <v>59</v>
      </c>
      <c r="BP1" s="2" t="s">
        <v>640</v>
      </c>
      <c r="BQ1" s="2" t="s">
        <v>636</v>
      </c>
      <c r="BR1" s="2" t="s">
        <v>60</v>
      </c>
      <c r="BS1" s="2" t="s">
        <v>61</v>
      </c>
      <c r="BT1" s="2" t="s">
        <v>637</v>
      </c>
      <c r="BU1" s="2" t="s">
        <v>638</v>
      </c>
      <c r="BV1" s="2" t="s">
        <v>62</v>
      </c>
      <c r="BW1" s="2" t="s">
        <v>1129</v>
      </c>
      <c r="BX1" s="13" t="s">
        <v>1018</v>
      </c>
      <c r="BY1" s="13" t="s">
        <v>63</v>
      </c>
      <c r="BZ1" s="13" t="s">
        <v>814</v>
      </c>
      <c r="CA1" s="13" t="s">
        <v>1211</v>
      </c>
      <c r="CB1" s="14" t="s">
        <v>257</v>
      </c>
      <c r="CC1" s="2" t="s">
        <v>687</v>
      </c>
      <c r="CD1" s="2" t="s">
        <v>817</v>
      </c>
      <c r="CE1" s="2" t="s">
        <v>1022</v>
      </c>
      <c r="CV1" s="2" t="s">
        <v>64</v>
      </c>
      <c r="CZ1" s="2" t="s">
        <v>65</v>
      </c>
      <c r="DA1" s="2" t="s">
        <v>66</v>
      </c>
      <c r="DB1" s="2" t="s">
        <v>67</v>
      </c>
      <c r="DC1" s="2" t="s">
        <v>68</v>
      </c>
      <c r="DD1" s="2" t="s">
        <v>69</v>
      </c>
      <c r="DE1" s="2" t="s">
        <v>943</v>
      </c>
      <c r="DF1" s="2" t="s">
        <v>944</v>
      </c>
    </row>
    <row r="2" spans="1:110" s="23" customFormat="1">
      <c r="A2" s="23" t="s">
        <v>70</v>
      </c>
      <c r="C2" s="23" t="s">
        <v>71</v>
      </c>
      <c r="F2" s="23" t="s">
        <v>72</v>
      </c>
      <c r="H2" s="23">
        <v>1</v>
      </c>
      <c r="I2" s="23">
        <v>5</v>
      </c>
      <c r="J2" s="23">
        <v>5</v>
      </c>
      <c r="K2" s="23">
        <v>6</v>
      </c>
      <c r="M2" s="23">
        <v>0</v>
      </c>
      <c r="N2" s="23">
        <v>0</v>
      </c>
      <c r="O2" s="23">
        <v>0</v>
      </c>
      <c r="P2" s="23">
        <v>0</v>
      </c>
      <c r="Q2" s="23">
        <v>0</v>
      </c>
      <c r="R2" s="23">
        <v>0</v>
      </c>
      <c r="S2" s="23">
        <v>0</v>
      </c>
      <c r="T2" s="23">
        <v>0</v>
      </c>
      <c r="U2" s="23">
        <v>0</v>
      </c>
      <c r="V2" s="23">
        <v>0</v>
      </c>
      <c r="W2" s="23">
        <v>0</v>
      </c>
      <c r="BX2" s="24"/>
      <c r="BY2" s="24"/>
      <c r="BZ2" s="24"/>
      <c r="CA2" s="24"/>
      <c r="CC2" s="23" t="s">
        <v>695</v>
      </c>
      <c r="DD2" s="23">
        <v>0</v>
      </c>
    </row>
    <row r="3" spans="1:110" s="23" customFormat="1">
      <c r="A3" s="23" t="s">
        <v>74</v>
      </c>
      <c r="C3" s="23" t="s">
        <v>71</v>
      </c>
      <c r="D3" s="23">
        <v>1</v>
      </c>
      <c r="F3" s="23" t="s">
        <v>72</v>
      </c>
      <c r="H3" s="23">
        <v>1</v>
      </c>
      <c r="I3" s="23">
        <v>3</v>
      </c>
      <c r="J3" s="23">
        <v>2</v>
      </c>
      <c r="K3" s="23">
        <v>4</v>
      </c>
      <c r="L3" s="23">
        <v>300</v>
      </c>
      <c r="M3" s="23">
        <v>0</v>
      </c>
      <c r="N3" s="23">
        <v>1</v>
      </c>
      <c r="O3" s="23">
        <v>0</v>
      </c>
      <c r="P3" s="23">
        <v>0</v>
      </c>
      <c r="Q3" s="23">
        <v>0</v>
      </c>
      <c r="R3" s="23">
        <v>0</v>
      </c>
      <c r="S3" s="23">
        <v>0</v>
      </c>
      <c r="T3" s="23">
        <v>0</v>
      </c>
      <c r="U3" s="23">
        <v>0</v>
      </c>
      <c r="V3" s="23">
        <v>0</v>
      </c>
      <c r="W3" s="23">
        <v>0</v>
      </c>
      <c r="BX3" s="24"/>
      <c r="BY3" s="24"/>
      <c r="BZ3" s="24"/>
      <c r="CA3" s="24"/>
      <c r="CC3" s="23" t="s">
        <v>695</v>
      </c>
      <c r="CD3" s="23" t="s">
        <v>816</v>
      </c>
      <c r="CE3" s="23" t="s">
        <v>1049</v>
      </c>
      <c r="DD3" s="23">
        <v>0</v>
      </c>
    </row>
    <row r="4" spans="1:110" s="1" customFormat="1">
      <c r="A4" s="1" t="s">
        <v>747</v>
      </c>
      <c r="B4" s="6" t="s">
        <v>74</v>
      </c>
      <c r="E4" s="1">
        <v>1</v>
      </c>
      <c r="H4" s="1">
        <v>2</v>
      </c>
      <c r="K4" s="1">
        <v>2.7</v>
      </c>
      <c r="BX4" s="24"/>
      <c r="BY4" s="24"/>
      <c r="BZ4" s="24"/>
      <c r="CA4" s="24"/>
      <c r="CB4" s="6" t="s">
        <v>436</v>
      </c>
      <c r="CV4" s="25" t="s">
        <v>653</v>
      </c>
    </row>
    <row r="5" spans="1:110" s="1" customFormat="1">
      <c r="A5" s="1" t="s">
        <v>748</v>
      </c>
      <c r="B5" s="6" t="s">
        <v>74</v>
      </c>
      <c r="E5" s="1">
        <v>1</v>
      </c>
      <c r="H5" s="1">
        <v>2</v>
      </c>
      <c r="K5" s="1">
        <v>3.8</v>
      </c>
      <c r="BX5" s="24"/>
      <c r="BY5" s="24"/>
      <c r="BZ5" s="24"/>
      <c r="CA5" s="24"/>
      <c r="CB5" s="6" t="s">
        <v>436</v>
      </c>
      <c r="CV5" s="25" t="s">
        <v>394</v>
      </c>
    </row>
    <row r="6" spans="1:110" s="1" customFormat="1">
      <c r="A6" s="1" t="s">
        <v>749</v>
      </c>
      <c r="B6" s="6" t="s">
        <v>74</v>
      </c>
      <c r="E6" s="1">
        <v>1</v>
      </c>
      <c r="H6" s="1">
        <v>2</v>
      </c>
      <c r="K6" s="1">
        <v>3.9</v>
      </c>
      <c r="BX6" s="24"/>
      <c r="BY6" s="24"/>
      <c r="BZ6" s="24"/>
      <c r="CA6" s="24"/>
      <c r="CB6" s="6" t="s">
        <v>436</v>
      </c>
      <c r="CV6" s="25" t="s">
        <v>394</v>
      </c>
    </row>
    <row r="7" spans="1:110" s="1" customFormat="1">
      <c r="A7" s="1" t="s">
        <v>750</v>
      </c>
      <c r="B7" s="6" t="s">
        <v>74</v>
      </c>
      <c r="E7" s="1">
        <v>1</v>
      </c>
      <c r="H7" s="1">
        <v>3</v>
      </c>
      <c r="K7" s="1">
        <v>3.9</v>
      </c>
      <c r="BX7" s="24"/>
      <c r="BY7" s="24"/>
      <c r="BZ7" s="24"/>
      <c r="CA7" s="24"/>
      <c r="CB7" s="6" t="s">
        <v>436</v>
      </c>
      <c r="CV7" s="25" t="s">
        <v>654</v>
      </c>
    </row>
    <row r="8" spans="1:110" s="50" customFormat="1">
      <c r="A8" s="50" t="s">
        <v>751</v>
      </c>
      <c r="B8" s="8" t="s">
        <v>74</v>
      </c>
      <c r="E8" s="50">
        <v>1</v>
      </c>
      <c r="H8" s="50">
        <v>3</v>
      </c>
      <c r="K8" s="50">
        <v>4</v>
      </c>
      <c r="BX8" s="68"/>
      <c r="BY8" s="68"/>
      <c r="BZ8" s="68"/>
      <c r="CA8" s="72"/>
      <c r="CB8" s="8" t="s">
        <v>436</v>
      </c>
      <c r="CV8" s="51" t="s">
        <v>393</v>
      </c>
    </row>
    <row r="9" spans="1:110" s="69" customFormat="1" ht="15">
      <c r="A9" s="69" t="s">
        <v>1196</v>
      </c>
      <c r="B9" s="46" t="s">
        <v>74</v>
      </c>
      <c r="E9" s="69">
        <v>1</v>
      </c>
      <c r="H9" s="69">
        <v>2</v>
      </c>
      <c r="I9" s="69">
        <v>1</v>
      </c>
      <c r="K9" s="69">
        <v>0</v>
      </c>
      <c r="L9" s="69">
        <v>5000</v>
      </c>
      <c r="M9" s="69">
        <v>-1</v>
      </c>
      <c r="O9" s="69">
        <v>-5</v>
      </c>
      <c r="CD9" s="69" t="s">
        <v>174</v>
      </c>
      <c r="CV9" s="70" t="s">
        <v>1197</v>
      </c>
    </row>
    <row r="10" spans="1:110" s="33" customFormat="1" ht="15">
      <c r="A10" s="33" t="s">
        <v>504</v>
      </c>
      <c r="B10" s="33" t="s">
        <v>74</v>
      </c>
      <c r="E10" s="33">
        <v>1</v>
      </c>
      <c r="H10" s="33">
        <v>1</v>
      </c>
      <c r="I10" s="33">
        <v>2</v>
      </c>
      <c r="K10" s="33">
        <v>1.7</v>
      </c>
      <c r="BX10" s="41"/>
      <c r="BY10" s="41"/>
      <c r="BZ10" s="41"/>
      <c r="CA10" s="41"/>
      <c r="CB10" s="33" t="s">
        <v>436</v>
      </c>
      <c r="CE10" s="33" t="s">
        <v>1041</v>
      </c>
      <c r="CV10" s="33" t="s">
        <v>766</v>
      </c>
    </row>
    <row r="11" spans="1:110">
      <c r="A11" s="6" t="s">
        <v>75</v>
      </c>
      <c r="B11" s="6" t="s">
        <v>74</v>
      </c>
      <c r="C11" s="7"/>
      <c r="E11" s="6">
        <v>1</v>
      </c>
      <c r="I11" s="6">
        <v>1</v>
      </c>
      <c r="K11" s="9">
        <v>1</v>
      </c>
      <c r="L11" s="6">
        <v>100</v>
      </c>
      <c r="BX11" s="48"/>
      <c r="BY11" s="48"/>
      <c r="BZ11" s="48"/>
      <c r="CA11" s="73"/>
      <c r="CB11" s="6" t="s">
        <v>436</v>
      </c>
      <c r="CV11" s="25" t="s">
        <v>653</v>
      </c>
      <c r="CZ11" s="6" t="s">
        <v>641</v>
      </c>
      <c r="DA11" s="6">
        <v>1</v>
      </c>
      <c r="DB11" s="6">
        <v>1</v>
      </c>
      <c r="DC11" s="6">
        <v>1</v>
      </c>
    </row>
    <row r="12" spans="1:110">
      <c r="A12" s="6" t="s">
        <v>76</v>
      </c>
      <c r="B12" s="6" t="s">
        <v>74</v>
      </c>
      <c r="C12" s="7"/>
      <c r="E12" s="6">
        <v>2</v>
      </c>
      <c r="I12" s="6">
        <v>2</v>
      </c>
      <c r="K12" s="9">
        <v>1</v>
      </c>
      <c r="L12" s="6">
        <v>200</v>
      </c>
      <c r="CB12" s="6" t="s">
        <v>436</v>
      </c>
      <c r="CV12" s="25" t="s">
        <v>653</v>
      </c>
      <c r="CZ12" s="1" t="s">
        <v>436</v>
      </c>
      <c r="DA12" s="6">
        <v>1</v>
      </c>
      <c r="DB12" s="6">
        <v>1</v>
      </c>
      <c r="DC12" s="6">
        <v>1</v>
      </c>
    </row>
    <row r="13" spans="1:110">
      <c r="A13" s="6" t="s">
        <v>349</v>
      </c>
      <c r="B13" s="6" t="s">
        <v>74</v>
      </c>
      <c r="C13" s="7"/>
      <c r="E13" s="6">
        <v>3</v>
      </c>
      <c r="K13" s="9">
        <v>2</v>
      </c>
      <c r="CB13" s="6" t="s">
        <v>436</v>
      </c>
      <c r="CV13" s="25" t="s">
        <v>394</v>
      </c>
      <c r="CZ13" s="1" t="s">
        <v>436</v>
      </c>
      <c r="DA13" s="6">
        <v>1</v>
      </c>
      <c r="DB13" s="6">
        <v>1</v>
      </c>
      <c r="DC13" s="6">
        <v>1</v>
      </c>
    </row>
    <row r="14" spans="1:110">
      <c r="A14" s="1" t="s">
        <v>351</v>
      </c>
      <c r="B14" s="6" t="s">
        <v>74</v>
      </c>
      <c r="C14" s="7"/>
      <c r="E14" s="6">
        <v>4</v>
      </c>
      <c r="K14" s="9">
        <v>2</v>
      </c>
      <c r="CB14" s="6" t="s">
        <v>436</v>
      </c>
      <c r="CV14" s="25" t="s">
        <v>394</v>
      </c>
      <c r="CZ14" s="1" t="s">
        <v>436</v>
      </c>
      <c r="DA14" s="6">
        <v>1</v>
      </c>
      <c r="DB14" s="6">
        <v>1</v>
      </c>
      <c r="DC14" s="6">
        <v>1</v>
      </c>
    </row>
    <row r="15" spans="1:110">
      <c r="A15" s="1" t="s">
        <v>423</v>
      </c>
      <c r="B15" s="6" t="s">
        <v>74</v>
      </c>
      <c r="C15" s="7"/>
      <c r="E15" s="6">
        <v>5</v>
      </c>
      <c r="K15" s="9">
        <v>2</v>
      </c>
      <c r="CB15" s="6" t="s">
        <v>436</v>
      </c>
      <c r="CV15" s="25" t="s">
        <v>394</v>
      </c>
      <c r="CZ15" s="1" t="s">
        <v>436</v>
      </c>
      <c r="DA15" s="6">
        <v>1</v>
      </c>
      <c r="DB15" s="6">
        <v>1</v>
      </c>
      <c r="DC15" s="6">
        <v>1</v>
      </c>
    </row>
    <row r="16" spans="1:110">
      <c r="A16" s="1" t="s">
        <v>505</v>
      </c>
      <c r="B16" s="6" t="s">
        <v>74</v>
      </c>
      <c r="C16" s="7"/>
      <c r="E16" s="6">
        <v>6</v>
      </c>
      <c r="K16" s="9">
        <v>2</v>
      </c>
      <c r="CB16" s="6" t="s">
        <v>436</v>
      </c>
      <c r="CV16" s="25" t="s">
        <v>654</v>
      </c>
      <c r="CZ16" s="1" t="s">
        <v>436</v>
      </c>
      <c r="DA16" s="6">
        <v>1</v>
      </c>
      <c r="DB16" s="6">
        <v>1</v>
      </c>
      <c r="DC16" s="6">
        <v>1</v>
      </c>
    </row>
    <row r="17" spans="1:108">
      <c r="A17" s="1" t="s">
        <v>509</v>
      </c>
      <c r="B17" s="6" t="s">
        <v>74</v>
      </c>
      <c r="C17" s="7"/>
      <c r="E17" s="6">
        <v>7</v>
      </c>
      <c r="K17" s="9">
        <v>2</v>
      </c>
      <c r="CB17" s="6" t="s">
        <v>436</v>
      </c>
      <c r="CV17" s="25" t="s">
        <v>654</v>
      </c>
      <c r="CZ17" s="1" t="s">
        <v>436</v>
      </c>
      <c r="DA17" s="6">
        <v>1</v>
      </c>
      <c r="DB17" s="6">
        <v>1</v>
      </c>
      <c r="DC17" s="6">
        <v>1</v>
      </c>
    </row>
    <row r="18" spans="1:108">
      <c r="A18" s="1" t="s">
        <v>510</v>
      </c>
      <c r="B18" s="6" t="s">
        <v>74</v>
      </c>
      <c r="C18" s="7"/>
      <c r="E18" s="6">
        <v>8</v>
      </c>
      <c r="K18" s="9">
        <v>3</v>
      </c>
      <c r="CB18" s="6" t="s">
        <v>436</v>
      </c>
      <c r="CV18" s="25" t="s">
        <v>654</v>
      </c>
      <c r="CZ18" s="1" t="s">
        <v>436</v>
      </c>
      <c r="DA18" s="6">
        <v>1</v>
      </c>
      <c r="DB18" s="6">
        <v>1</v>
      </c>
      <c r="DC18" s="6">
        <v>1</v>
      </c>
    </row>
    <row r="19" spans="1:108">
      <c r="A19" s="1" t="s">
        <v>511</v>
      </c>
      <c r="B19" s="6" t="s">
        <v>74</v>
      </c>
      <c r="C19" s="7"/>
      <c r="E19" s="6">
        <v>9</v>
      </c>
      <c r="K19" s="9">
        <v>3</v>
      </c>
      <c r="CB19" s="6" t="s">
        <v>436</v>
      </c>
      <c r="CV19" s="25" t="s">
        <v>654</v>
      </c>
      <c r="CZ19" s="1" t="s">
        <v>436</v>
      </c>
      <c r="DA19" s="6">
        <v>1</v>
      </c>
      <c r="DB19" s="6">
        <v>1</v>
      </c>
      <c r="DC19" s="6">
        <v>1</v>
      </c>
    </row>
    <row r="20" spans="1:108">
      <c r="A20" s="1" t="s">
        <v>506</v>
      </c>
      <c r="B20" s="6" t="s">
        <v>74</v>
      </c>
      <c r="C20" s="7"/>
      <c r="E20" s="6">
        <v>10</v>
      </c>
      <c r="CB20" s="6" t="s">
        <v>436</v>
      </c>
      <c r="CV20" s="25" t="s">
        <v>654</v>
      </c>
      <c r="CZ20" s="1" t="s">
        <v>436</v>
      </c>
      <c r="DA20" s="6">
        <v>1</v>
      </c>
      <c r="DB20" s="6">
        <v>1</v>
      </c>
      <c r="DC20" s="6">
        <v>1</v>
      </c>
    </row>
    <row r="21" spans="1:108">
      <c r="A21" s="1" t="s">
        <v>77</v>
      </c>
      <c r="B21" s="6" t="s">
        <v>74</v>
      </c>
      <c r="C21" s="7"/>
      <c r="E21" s="6">
        <v>11</v>
      </c>
      <c r="CB21" s="6" t="s">
        <v>436</v>
      </c>
      <c r="CV21" s="25" t="s">
        <v>393</v>
      </c>
      <c r="CZ21" s="1" t="s">
        <v>436</v>
      </c>
      <c r="DA21" s="6">
        <v>1</v>
      </c>
      <c r="DB21" s="6">
        <v>1</v>
      </c>
      <c r="DC21" s="6">
        <v>1</v>
      </c>
    </row>
    <row r="22" spans="1:108">
      <c r="A22" s="6" t="s">
        <v>508</v>
      </c>
      <c r="B22" s="6" t="s">
        <v>74</v>
      </c>
      <c r="C22" s="7"/>
      <c r="E22" s="6">
        <v>12</v>
      </c>
      <c r="CB22" s="6" t="s">
        <v>436</v>
      </c>
      <c r="CV22" s="25" t="s">
        <v>393</v>
      </c>
      <c r="CZ22" s="1" t="s">
        <v>436</v>
      </c>
      <c r="DA22" s="6">
        <v>1</v>
      </c>
      <c r="DB22" s="6">
        <v>1</v>
      </c>
      <c r="DC22" s="6">
        <v>1</v>
      </c>
    </row>
    <row r="23" spans="1:108">
      <c r="A23" s="1" t="s">
        <v>78</v>
      </c>
      <c r="B23" s="6" t="s">
        <v>74</v>
      </c>
      <c r="C23" s="7"/>
      <c r="E23" s="6">
        <v>13</v>
      </c>
      <c r="G23" s="1"/>
      <c r="CB23" s="6" t="s">
        <v>436</v>
      </c>
      <c r="CV23" s="25" t="s">
        <v>393</v>
      </c>
      <c r="CZ23" s="1" t="s">
        <v>436</v>
      </c>
      <c r="DA23" s="6">
        <v>1</v>
      </c>
      <c r="DB23" s="6">
        <v>1</v>
      </c>
      <c r="DC23" s="6">
        <v>1</v>
      </c>
    </row>
    <row r="24" spans="1:108">
      <c r="A24" s="1" t="s">
        <v>507</v>
      </c>
      <c r="B24" s="6" t="s">
        <v>74</v>
      </c>
      <c r="C24" s="7"/>
      <c r="E24" s="6">
        <v>14</v>
      </c>
      <c r="G24" s="1"/>
      <c r="CB24" s="6" t="s">
        <v>436</v>
      </c>
      <c r="CV24" s="25" t="s">
        <v>393</v>
      </c>
      <c r="CZ24" s="1" t="s">
        <v>436</v>
      </c>
      <c r="DA24" s="6">
        <v>1</v>
      </c>
      <c r="DB24" s="6">
        <v>1</v>
      </c>
      <c r="DC24" s="6">
        <v>1</v>
      </c>
    </row>
    <row r="25" spans="1:108">
      <c r="A25" s="6" t="s">
        <v>79</v>
      </c>
      <c r="B25" s="6" t="s">
        <v>74</v>
      </c>
      <c r="C25" s="7"/>
      <c r="E25" s="6">
        <v>15</v>
      </c>
      <c r="G25" s="1"/>
      <c r="CB25" s="6" t="s">
        <v>436</v>
      </c>
      <c r="CV25" s="25" t="s">
        <v>393</v>
      </c>
      <c r="CZ25" s="1" t="s">
        <v>436</v>
      </c>
      <c r="DA25" s="6">
        <v>1</v>
      </c>
      <c r="DB25" s="6">
        <v>1</v>
      </c>
      <c r="DC25" s="6">
        <v>1</v>
      </c>
    </row>
    <row r="26" spans="1:108">
      <c r="A26" s="1" t="s">
        <v>852</v>
      </c>
      <c r="B26" s="6" t="s">
        <v>74</v>
      </c>
      <c r="C26" s="7"/>
      <c r="E26" s="6">
        <v>16</v>
      </c>
      <c r="G26" s="1"/>
      <c r="CB26" s="6" t="s">
        <v>436</v>
      </c>
      <c r="CV26" s="25" t="s">
        <v>654</v>
      </c>
      <c r="CZ26" s="1" t="s">
        <v>436</v>
      </c>
      <c r="DA26" s="6">
        <v>1</v>
      </c>
      <c r="DB26" s="6">
        <v>1</v>
      </c>
      <c r="DC26" s="6">
        <v>1</v>
      </c>
    </row>
    <row r="27" spans="1:108">
      <c r="A27" s="1" t="s">
        <v>853</v>
      </c>
      <c r="B27" s="6" t="s">
        <v>74</v>
      </c>
      <c r="C27" s="7"/>
      <c r="E27" s="6">
        <v>17</v>
      </c>
      <c r="G27" s="1"/>
      <c r="CB27" s="6" t="s">
        <v>436</v>
      </c>
      <c r="CV27" s="25" t="s">
        <v>393</v>
      </c>
      <c r="CZ27" s="1" t="s">
        <v>436</v>
      </c>
      <c r="DA27" s="6">
        <v>1</v>
      </c>
      <c r="DB27" s="6">
        <v>1</v>
      </c>
      <c r="DC27" s="6">
        <v>1</v>
      </c>
    </row>
    <row r="28" spans="1:108">
      <c r="A28" s="1" t="s">
        <v>854</v>
      </c>
      <c r="B28" s="6" t="s">
        <v>74</v>
      </c>
      <c r="C28" s="7"/>
      <c r="E28" s="6">
        <v>18</v>
      </c>
      <c r="G28" s="1"/>
      <c r="CB28" s="6" t="s">
        <v>436</v>
      </c>
      <c r="CV28" s="25" t="s">
        <v>653</v>
      </c>
      <c r="CZ28" s="1" t="s">
        <v>436</v>
      </c>
      <c r="DA28" s="6">
        <v>1</v>
      </c>
      <c r="DB28" s="6">
        <v>1</v>
      </c>
      <c r="DC28" s="6">
        <v>1</v>
      </c>
    </row>
    <row r="29" spans="1:108">
      <c r="A29" s="1" t="s">
        <v>855</v>
      </c>
      <c r="B29" s="6" t="s">
        <v>74</v>
      </c>
      <c r="C29" s="7"/>
      <c r="E29" s="6">
        <v>19</v>
      </c>
      <c r="G29" s="1"/>
      <c r="CB29" s="6" t="s">
        <v>436</v>
      </c>
      <c r="CV29" s="25" t="s">
        <v>394</v>
      </c>
      <c r="CZ29" s="1" t="s">
        <v>436</v>
      </c>
      <c r="DA29" s="6">
        <v>1</v>
      </c>
      <c r="DB29" s="6">
        <v>1</v>
      </c>
      <c r="DC29" s="6">
        <v>1</v>
      </c>
    </row>
    <row r="30" spans="1:108">
      <c r="A30" s="1" t="s">
        <v>856</v>
      </c>
      <c r="B30" s="6" t="s">
        <v>74</v>
      </c>
      <c r="C30" s="7"/>
      <c r="E30" s="6">
        <v>20</v>
      </c>
      <c r="G30" s="1"/>
      <c r="CB30" s="6" t="s">
        <v>436</v>
      </c>
      <c r="CV30" s="25" t="s">
        <v>394</v>
      </c>
      <c r="CZ30" s="1" t="s">
        <v>436</v>
      </c>
      <c r="DA30" s="6">
        <v>1</v>
      </c>
      <c r="DB30" s="6">
        <v>1</v>
      </c>
      <c r="DC30" s="6">
        <v>1</v>
      </c>
    </row>
    <row r="31" spans="1:108" s="23" customFormat="1" ht="15">
      <c r="A31" s="23" t="s">
        <v>80</v>
      </c>
      <c r="C31" s="23" t="s">
        <v>71</v>
      </c>
      <c r="D31" s="23">
        <v>1</v>
      </c>
      <c r="F31" s="23" t="s">
        <v>72</v>
      </c>
      <c r="H31" s="23">
        <v>3</v>
      </c>
      <c r="I31" s="23">
        <v>4</v>
      </c>
      <c r="J31" s="23">
        <v>2</v>
      </c>
      <c r="K31" s="23">
        <v>5</v>
      </c>
      <c r="L31" s="23">
        <v>1000</v>
      </c>
      <c r="M31" s="23">
        <v>0</v>
      </c>
      <c r="N31" s="23">
        <v>1</v>
      </c>
      <c r="O31" s="23">
        <v>0</v>
      </c>
      <c r="P31" s="23">
        <v>0</v>
      </c>
      <c r="Q31" s="23">
        <v>0</v>
      </c>
      <c r="R31" s="23">
        <v>0</v>
      </c>
      <c r="S31" s="23">
        <v>0</v>
      </c>
      <c r="T31" s="23">
        <v>0</v>
      </c>
      <c r="U31" s="23">
        <v>0</v>
      </c>
      <c r="V31" s="23">
        <v>0</v>
      </c>
      <c r="W31" s="23">
        <v>0</v>
      </c>
      <c r="BX31" s="24"/>
      <c r="BY31" s="24"/>
      <c r="BZ31" s="24"/>
      <c r="CA31" s="24"/>
      <c r="CC31" s="23" t="s">
        <v>695</v>
      </c>
      <c r="CD31" s="42" t="s">
        <v>821</v>
      </c>
      <c r="CE31" s="23" t="s">
        <v>1049</v>
      </c>
      <c r="DD31" s="23">
        <v>0</v>
      </c>
    </row>
    <row r="32" spans="1:108" s="1" customFormat="1">
      <c r="A32" s="1" t="s">
        <v>752</v>
      </c>
      <c r="B32" s="6" t="s">
        <v>80</v>
      </c>
      <c r="E32" s="6">
        <v>1</v>
      </c>
      <c r="G32" s="1" t="s">
        <v>762</v>
      </c>
      <c r="H32" s="1">
        <v>3</v>
      </c>
      <c r="I32" s="6"/>
      <c r="K32" s="1">
        <v>5</v>
      </c>
      <c r="BX32" s="18"/>
      <c r="BY32" s="18"/>
      <c r="BZ32" s="18"/>
      <c r="CA32" s="18"/>
      <c r="CB32" s="6" t="s">
        <v>258</v>
      </c>
      <c r="CV32" s="25" t="s">
        <v>655</v>
      </c>
    </row>
    <row r="33" spans="1:108" s="1" customFormat="1">
      <c r="A33" s="1" t="s">
        <v>753</v>
      </c>
      <c r="B33" s="6" t="s">
        <v>80</v>
      </c>
      <c r="E33" s="6">
        <v>1</v>
      </c>
      <c r="G33" s="1" t="s">
        <v>759</v>
      </c>
      <c r="H33" s="1">
        <v>3</v>
      </c>
      <c r="I33" s="6"/>
      <c r="K33" s="1">
        <v>5.0999999999999996</v>
      </c>
      <c r="BX33" s="18"/>
      <c r="BY33" s="18"/>
      <c r="BZ33" s="18"/>
      <c r="CA33" s="18"/>
      <c r="CB33" s="6" t="s">
        <v>258</v>
      </c>
      <c r="CV33" s="25" t="s">
        <v>656</v>
      </c>
    </row>
    <row r="34" spans="1:108" s="1" customFormat="1">
      <c r="A34" s="1" t="s">
        <v>754</v>
      </c>
      <c r="B34" s="6" t="s">
        <v>80</v>
      </c>
      <c r="E34" s="6">
        <v>1</v>
      </c>
      <c r="G34" s="1" t="s">
        <v>759</v>
      </c>
      <c r="H34" s="1">
        <v>4</v>
      </c>
      <c r="I34" s="6"/>
      <c r="K34" s="1">
        <v>5.2</v>
      </c>
      <c r="BX34" s="18"/>
      <c r="BY34" s="18"/>
      <c r="BZ34" s="18"/>
      <c r="CA34" s="18"/>
      <c r="CB34" s="6" t="s">
        <v>258</v>
      </c>
      <c r="CV34" s="25" t="s">
        <v>657</v>
      </c>
    </row>
    <row r="35" spans="1:108" s="45" customFormat="1">
      <c r="A35" s="45" t="s">
        <v>755</v>
      </c>
      <c r="B35" s="46" t="s">
        <v>80</v>
      </c>
      <c r="E35" s="46">
        <v>1</v>
      </c>
      <c r="G35" s="45" t="s">
        <v>759</v>
      </c>
      <c r="H35" s="45">
        <v>4</v>
      </c>
      <c r="I35" s="46"/>
      <c r="K35" s="45">
        <v>5.3</v>
      </c>
      <c r="BX35" s="58"/>
      <c r="BY35" s="58"/>
      <c r="BZ35" s="58"/>
      <c r="CA35" s="74"/>
      <c r="CB35" s="46" t="s">
        <v>258</v>
      </c>
      <c r="CV35" s="47" t="s">
        <v>395</v>
      </c>
    </row>
    <row r="36" spans="1:108" s="33" customFormat="1" ht="15">
      <c r="A36" s="33" t="s">
        <v>686</v>
      </c>
      <c r="B36" s="33" t="s">
        <v>80</v>
      </c>
      <c r="E36" s="33">
        <v>1</v>
      </c>
      <c r="G36" s="33" t="s">
        <v>762</v>
      </c>
      <c r="H36" s="33">
        <v>3</v>
      </c>
      <c r="I36" s="33">
        <v>3</v>
      </c>
      <c r="K36" s="33">
        <v>5</v>
      </c>
      <c r="BX36" s="41"/>
      <c r="BY36" s="41"/>
      <c r="BZ36" s="41"/>
      <c r="CA36" s="41"/>
      <c r="CB36" s="33" t="s">
        <v>258</v>
      </c>
      <c r="CE36" s="33" t="s">
        <v>1041</v>
      </c>
      <c r="CV36" s="33" t="s">
        <v>767</v>
      </c>
    </row>
    <row r="37" spans="1:108" s="33" customFormat="1" ht="15">
      <c r="A37" s="33" t="s">
        <v>1119</v>
      </c>
      <c r="B37" s="33" t="s">
        <v>80</v>
      </c>
      <c r="E37" s="33">
        <v>16</v>
      </c>
      <c r="G37" s="33" t="s">
        <v>1121</v>
      </c>
      <c r="H37" s="33">
        <v>4</v>
      </c>
      <c r="K37" s="33">
        <v>6</v>
      </c>
      <c r="L37" s="33">
        <v>800</v>
      </c>
      <c r="M37" s="33">
        <v>0</v>
      </c>
      <c r="N37" s="33">
        <v>1</v>
      </c>
      <c r="O37" s="33">
        <v>5</v>
      </c>
      <c r="P37" s="33">
        <v>5</v>
      </c>
      <c r="Q37" s="33">
        <v>5</v>
      </c>
      <c r="R37" s="33">
        <v>5</v>
      </c>
      <c r="S37" s="33">
        <v>0</v>
      </c>
      <c r="AQ37" s="33">
        <v>1</v>
      </c>
      <c r="AT37" s="33">
        <v>1</v>
      </c>
      <c r="BX37" s="64"/>
      <c r="BY37" s="64"/>
      <c r="BZ37" s="18" t="s">
        <v>223</v>
      </c>
      <c r="CA37" s="18"/>
      <c r="CB37" s="33" t="s">
        <v>258</v>
      </c>
      <c r="DD37" s="33">
        <v>1</v>
      </c>
    </row>
    <row r="38" spans="1:108">
      <c r="A38" s="6" t="s">
        <v>81</v>
      </c>
      <c r="B38" s="6" t="s">
        <v>80</v>
      </c>
      <c r="C38" s="7"/>
      <c r="E38" s="6">
        <v>1</v>
      </c>
      <c r="G38" s="71" t="str">
        <f>CONCATENATE("Dexterity ",MIN(MAX(ROUND(SQRT((5)*(E38/1.4))+1,0),5),15))</f>
        <v>Dexterity 5</v>
      </c>
      <c r="BX38" s="48"/>
      <c r="BY38" s="48"/>
      <c r="BZ38" s="48"/>
      <c r="CA38" s="73"/>
      <c r="CB38" s="6" t="s">
        <v>258</v>
      </c>
      <c r="CV38" s="25" t="s">
        <v>655</v>
      </c>
    </row>
    <row r="39" spans="1:108">
      <c r="A39" s="26" t="s">
        <v>353</v>
      </c>
      <c r="B39" s="6" t="s">
        <v>80</v>
      </c>
      <c r="C39" s="7"/>
      <c r="E39" s="6">
        <v>2</v>
      </c>
      <c r="G39" s="71" t="str">
        <f t="shared" ref="G39:G57" si="0">CONCATENATE("Dexterity ",MIN(MAX(ROUND(SQRT((5)*(E39/1.4))+1,0),5),15))</f>
        <v>Dexterity 5</v>
      </c>
      <c r="CB39" s="6" t="s">
        <v>258</v>
      </c>
      <c r="CV39" s="25" t="s">
        <v>655</v>
      </c>
      <c r="CZ39" s="1" t="s">
        <v>938</v>
      </c>
      <c r="DA39" s="6">
        <v>1</v>
      </c>
      <c r="DB39" s="6">
        <v>1</v>
      </c>
      <c r="DC39" s="6">
        <v>1</v>
      </c>
    </row>
    <row r="40" spans="1:108">
      <c r="A40" s="26" t="s">
        <v>354</v>
      </c>
      <c r="B40" s="6" t="s">
        <v>80</v>
      </c>
      <c r="C40" s="7"/>
      <c r="E40" s="6">
        <v>3</v>
      </c>
      <c r="G40" s="71" t="str">
        <f t="shared" si="0"/>
        <v>Dexterity 5</v>
      </c>
      <c r="CB40" s="6" t="s">
        <v>258</v>
      </c>
      <c r="CV40" s="25" t="s">
        <v>655</v>
      </c>
      <c r="CZ40" s="1" t="s">
        <v>938</v>
      </c>
      <c r="DA40" s="6">
        <v>1</v>
      </c>
      <c r="DB40" s="6">
        <v>1</v>
      </c>
      <c r="DC40" s="6">
        <v>1</v>
      </c>
    </row>
    <row r="41" spans="1:108">
      <c r="A41" s="26" t="s">
        <v>421</v>
      </c>
      <c r="B41" s="6" t="s">
        <v>80</v>
      </c>
      <c r="C41" s="7"/>
      <c r="E41" s="6">
        <v>4</v>
      </c>
      <c r="G41" s="71" t="str">
        <f t="shared" si="0"/>
        <v>Dexterity 5</v>
      </c>
      <c r="CB41" s="6" t="s">
        <v>258</v>
      </c>
      <c r="CV41" s="25" t="s">
        <v>656</v>
      </c>
      <c r="CZ41" s="1" t="s">
        <v>938</v>
      </c>
      <c r="DA41" s="6">
        <v>1</v>
      </c>
      <c r="DB41" s="6">
        <v>1</v>
      </c>
      <c r="DC41" s="6">
        <v>1</v>
      </c>
    </row>
    <row r="42" spans="1:108">
      <c r="A42" s="26" t="s">
        <v>422</v>
      </c>
      <c r="B42" s="6" t="s">
        <v>80</v>
      </c>
      <c r="C42" s="7"/>
      <c r="E42" s="6">
        <v>5</v>
      </c>
      <c r="G42" s="71" t="str">
        <f t="shared" si="0"/>
        <v>Dexterity 5</v>
      </c>
      <c r="CB42" s="6" t="s">
        <v>258</v>
      </c>
      <c r="CV42" s="25" t="s">
        <v>656</v>
      </c>
      <c r="CZ42" s="1" t="s">
        <v>938</v>
      </c>
      <c r="DA42" s="6">
        <v>1</v>
      </c>
      <c r="DB42" s="6">
        <v>1</v>
      </c>
      <c r="DC42" s="6">
        <v>1</v>
      </c>
    </row>
    <row r="43" spans="1:108">
      <c r="A43" s="26" t="s">
        <v>433</v>
      </c>
      <c r="B43" s="6" t="s">
        <v>80</v>
      </c>
      <c r="C43" s="7"/>
      <c r="E43" s="6">
        <v>6</v>
      </c>
      <c r="G43" s="71" t="str">
        <f t="shared" si="0"/>
        <v>Dexterity 6</v>
      </c>
      <c r="CB43" s="6" t="s">
        <v>258</v>
      </c>
      <c r="CV43" s="25" t="s">
        <v>656</v>
      </c>
      <c r="CZ43" s="1" t="s">
        <v>938</v>
      </c>
      <c r="DA43" s="6">
        <v>1</v>
      </c>
      <c r="DB43" s="6">
        <v>1</v>
      </c>
      <c r="DC43" s="6">
        <v>1</v>
      </c>
    </row>
    <row r="44" spans="1:108">
      <c r="A44" s="26" t="s">
        <v>512</v>
      </c>
      <c r="B44" s="6" t="s">
        <v>80</v>
      </c>
      <c r="C44" s="7"/>
      <c r="E44" s="6">
        <v>7</v>
      </c>
      <c r="G44" s="71" t="str">
        <f t="shared" si="0"/>
        <v>Dexterity 6</v>
      </c>
      <c r="CB44" s="6" t="s">
        <v>258</v>
      </c>
      <c r="CV44" s="25" t="s">
        <v>656</v>
      </c>
      <c r="CZ44" s="1" t="s">
        <v>938</v>
      </c>
      <c r="DA44" s="6">
        <v>1</v>
      </c>
      <c r="DB44" s="6">
        <v>1</v>
      </c>
      <c r="DC44" s="6">
        <v>1</v>
      </c>
    </row>
    <row r="45" spans="1:108">
      <c r="A45" s="1" t="s">
        <v>82</v>
      </c>
      <c r="B45" s="6" t="s">
        <v>80</v>
      </c>
      <c r="C45" s="7"/>
      <c r="E45" s="6">
        <v>8</v>
      </c>
      <c r="G45" s="71" t="str">
        <f t="shared" si="0"/>
        <v>Dexterity 6</v>
      </c>
      <c r="CB45" s="6" t="s">
        <v>258</v>
      </c>
      <c r="CV45" s="25" t="s">
        <v>657</v>
      </c>
      <c r="CZ45" s="1" t="s">
        <v>938</v>
      </c>
      <c r="DA45" s="6">
        <v>1</v>
      </c>
      <c r="DB45" s="6">
        <v>1</v>
      </c>
      <c r="DC45" s="6">
        <v>1</v>
      </c>
    </row>
    <row r="46" spans="1:108">
      <c r="A46" s="26" t="s">
        <v>513</v>
      </c>
      <c r="B46" s="6" t="s">
        <v>80</v>
      </c>
      <c r="C46" s="7"/>
      <c r="E46" s="6">
        <v>9</v>
      </c>
      <c r="G46" s="71" t="str">
        <f t="shared" si="0"/>
        <v>Dexterity 7</v>
      </c>
      <c r="CB46" s="6" t="s">
        <v>258</v>
      </c>
      <c r="CV46" s="25" t="s">
        <v>657</v>
      </c>
      <c r="CZ46" s="1" t="s">
        <v>938</v>
      </c>
      <c r="DA46" s="6">
        <v>1</v>
      </c>
      <c r="DB46" s="6">
        <v>1</v>
      </c>
      <c r="DC46" s="6">
        <v>1</v>
      </c>
    </row>
    <row r="47" spans="1:108">
      <c r="A47" s="6" t="s">
        <v>83</v>
      </c>
      <c r="B47" s="6" t="s">
        <v>80</v>
      </c>
      <c r="C47" s="7"/>
      <c r="E47" s="6">
        <v>10</v>
      </c>
      <c r="G47" s="71" t="str">
        <f t="shared" si="0"/>
        <v>Dexterity 7</v>
      </c>
      <c r="CA47" s="1"/>
      <c r="CB47" s="6" t="s">
        <v>258</v>
      </c>
      <c r="CV47" s="25" t="s">
        <v>657</v>
      </c>
      <c r="CZ47" s="1" t="s">
        <v>938</v>
      </c>
      <c r="DA47" s="6">
        <v>1</v>
      </c>
      <c r="DB47" s="6">
        <v>1</v>
      </c>
      <c r="DC47" s="6">
        <v>1</v>
      </c>
    </row>
    <row r="48" spans="1:108">
      <c r="A48" s="26" t="s">
        <v>514</v>
      </c>
      <c r="B48" s="6" t="s">
        <v>80</v>
      </c>
      <c r="C48" s="7"/>
      <c r="E48" s="6">
        <v>11</v>
      </c>
      <c r="G48" s="71" t="str">
        <f t="shared" si="0"/>
        <v>Dexterity 7</v>
      </c>
      <c r="CA48" s="6"/>
      <c r="CB48" s="6" t="s">
        <v>258</v>
      </c>
      <c r="CV48" s="25" t="s">
        <v>395</v>
      </c>
      <c r="CZ48" s="1" t="s">
        <v>938</v>
      </c>
      <c r="DA48" s="6">
        <v>1</v>
      </c>
      <c r="DB48" s="6">
        <v>1</v>
      </c>
      <c r="DC48" s="6">
        <v>1</v>
      </c>
    </row>
    <row r="49" spans="1:107">
      <c r="A49" s="26" t="s">
        <v>515</v>
      </c>
      <c r="B49" s="6" t="s">
        <v>80</v>
      </c>
      <c r="C49" s="7"/>
      <c r="E49" s="6">
        <v>12</v>
      </c>
      <c r="G49" s="71" t="str">
        <f t="shared" si="0"/>
        <v>Dexterity 8</v>
      </c>
      <c r="CA49" s="1"/>
      <c r="CB49" s="6" t="s">
        <v>258</v>
      </c>
      <c r="CV49" s="25" t="s">
        <v>395</v>
      </c>
      <c r="CZ49" s="1" t="s">
        <v>938</v>
      </c>
      <c r="DA49" s="6">
        <v>1</v>
      </c>
      <c r="DB49" s="6">
        <v>1</v>
      </c>
      <c r="DC49" s="6">
        <v>1</v>
      </c>
    </row>
    <row r="50" spans="1:107">
      <c r="A50" s="26" t="s">
        <v>516</v>
      </c>
      <c r="B50" s="6" t="s">
        <v>80</v>
      </c>
      <c r="C50" s="7"/>
      <c r="E50" s="6">
        <v>13</v>
      </c>
      <c r="G50" s="71" t="str">
        <f t="shared" si="0"/>
        <v>Dexterity 8</v>
      </c>
      <c r="CB50" s="6" t="s">
        <v>258</v>
      </c>
      <c r="CV50" s="25" t="s">
        <v>395</v>
      </c>
      <c r="CZ50" s="1" t="s">
        <v>938</v>
      </c>
      <c r="DA50" s="6">
        <v>1</v>
      </c>
      <c r="DB50" s="6">
        <v>1</v>
      </c>
      <c r="DC50" s="6">
        <v>1</v>
      </c>
    </row>
    <row r="51" spans="1:107">
      <c r="A51" s="26" t="s">
        <v>517</v>
      </c>
      <c r="B51" s="6" t="s">
        <v>80</v>
      </c>
      <c r="C51" s="7"/>
      <c r="E51" s="6">
        <v>14</v>
      </c>
      <c r="G51" s="71" t="str">
        <f t="shared" si="0"/>
        <v>Dexterity 8</v>
      </c>
      <c r="CB51" s="6" t="s">
        <v>258</v>
      </c>
      <c r="CV51" s="25" t="s">
        <v>395</v>
      </c>
      <c r="CZ51" s="1" t="s">
        <v>938</v>
      </c>
      <c r="DA51" s="6">
        <v>1</v>
      </c>
      <c r="DB51" s="6">
        <v>1</v>
      </c>
      <c r="DC51" s="6">
        <v>1</v>
      </c>
    </row>
    <row r="52" spans="1:107">
      <c r="A52" s="26" t="s">
        <v>518</v>
      </c>
      <c r="B52" s="6" t="s">
        <v>80</v>
      </c>
      <c r="C52" s="7"/>
      <c r="E52" s="6">
        <v>15</v>
      </c>
      <c r="G52" s="71" t="str">
        <f t="shared" si="0"/>
        <v>Dexterity 8</v>
      </c>
      <c r="CB52" s="6" t="s">
        <v>258</v>
      </c>
      <c r="CV52" s="25" t="s">
        <v>395</v>
      </c>
      <c r="CZ52" s="1" t="s">
        <v>938</v>
      </c>
      <c r="DA52" s="6">
        <v>1</v>
      </c>
      <c r="DB52" s="6">
        <v>1</v>
      </c>
      <c r="DC52" s="6">
        <v>1</v>
      </c>
    </row>
    <row r="53" spans="1:107">
      <c r="A53" s="26" t="s">
        <v>858</v>
      </c>
      <c r="B53" s="6" t="s">
        <v>80</v>
      </c>
      <c r="C53" s="7"/>
      <c r="E53" s="6">
        <v>16</v>
      </c>
      <c r="G53" s="71" t="str">
        <f t="shared" si="0"/>
        <v>Dexterity 9</v>
      </c>
      <c r="CB53" s="6" t="s">
        <v>258</v>
      </c>
      <c r="CV53" s="25" t="s">
        <v>656</v>
      </c>
      <c r="CZ53" s="1" t="s">
        <v>938</v>
      </c>
      <c r="DA53" s="6">
        <v>1</v>
      </c>
      <c r="DB53" s="6">
        <v>1</v>
      </c>
      <c r="DC53" s="6">
        <v>1</v>
      </c>
    </row>
    <row r="54" spans="1:107">
      <c r="A54" s="26" t="s">
        <v>859</v>
      </c>
      <c r="B54" s="6" t="s">
        <v>80</v>
      </c>
      <c r="C54" s="7"/>
      <c r="E54" s="6">
        <v>17</v>
      </c>
      <c r="G54" s="71" t="str">
        <f t="shared" si="0"/>
        <v>Dexterity 9</v>
      </c>
      <c r="CB54" s="6" t="s">
        <v>258</v>
      </c>
      <c r="CV54" s="25" t="s">
        <v>656</v>
      </c>
      <c r="CZ54" s="1" t="s">
        <v>938</v>
      </c>
      <c r="DA54" s="6">
        <v>1</v>
      </c>
      <c r="DB54" s="6">
        <v>1</v>
      </c>
      <c r="DC54" s="6">
        <v>1</v>
      </c>
    </row>
    <row r="55" spans="1:107">
      <c r="A55" s="26" t="s">
        <v>860</v>
      </c>
      <c r="B55" s="6" t="s">
        <v>80</v>
      </c>
      <c r="C55" s="7"/>
      <c r="E55" s="6">
        <v>18</v>
      </c>
      <c r="G55" s="71" t="str">
        <f t="shared" si="0"/>
        <v>Dexterity 9</v>
      </c>
      <c r="CB55" s="6" t="s">
        <v>258</v>
      </c>
      <c r="CV55" s="25" t="s">
        <v>395</v>
      </c>
      <c r="CZ55" s="1" t="s">
        <v>938</v>
      </c>
      <c r="DA55" s="6">
        <v>1</v>
      </c>
      <c r="DB55" s="6">
        <v>1</v>
      </c>
      <c r="DC55" s="6">
        <v>1</v>
      </c>
    </row>
    <row r="56" spans="1:107">
      <c r="A56" s="26" t="s">
        <v>861</v>
      </c>
      <c r="B56" s="6" t="s">
        <v>80</v>
      </c>
      <c r="C56" s="7"/>
      <c r="E56" s="6">
        <v>19</v>
      </c>
      <c r="G56" s="71" t="str">
        <f t="shared" si="0"/>
        <v>Dexterity 9</v>
      </c>
      <c r="CB56" s="6" t="s">
        <v>258</v>
      </c>
      <c r="CV56" s="25" t="s">
        <v>857</v>
      </c>
      <c r="CZ56" s="1" t="s">
        <v>938</v>
      </c>
      <c r="DA56" s="6">
        <v>1</v>
      </c>
      <c r="DB56" s="6">
        <v>1</v>
      </c>
      <c r="DC56" s="6">
        <v>1</v>
      </c>
    </row>
    <row r="57" spans="1:107">
      <c r="A57" s="26" t="s">
        <v>862</v>
      </c>
      <c r="B57" s="6" t="s">
        <v>80</v>
      </c>
      <c r="C57" s="7"/>
      <c r="E57" s="6">
        <v>20</v>
      </c>
      <c r="G57" s="71" t="str">
        <f t="shared" si="0"/>
        <v>Dexterity 9</v>
      </c>
      <c r="CB57" s="6" t="s">
        <v>258</v>
      </c>
      <c r="CV57" s="25" t="s">
        <v>857</v>
      </c>
      <c r="CZ57" s="1" t="s">
        <v>938</v>
      </c>
      <c r="DA57" s="6">
        <v>1</v>
      </c>
      <c r="DB57" s="6">
        <v>1</v>
      </c>
      <c r="DC57" s="6">
        <v>1</v>
      </c>
    </row>
    <row r="58" spans="1:107" s="23" customFormat="1">
      <c r="A58" s="23" t="s">
        <v>663</v>
      </c>
      <c r="C58" s="23" t="s">
        <v>71</v>
      </c>
      <c r="D58" s="23">
        <v>1</v>
      </c>
      <c r="F58" s="23" t="s">
        <v>72</v>
      </c>
      <c r="H58" s="23">
        <v>6</v>
      </c>
      <c r="I58" s="23">
        <v>5</v>
      </c>
      <c r="J58" s="23">
        <v>2</v>
      </c>
      <c r="K58" s="23">
        <v>6</v>
      </c>
      <c r="L58" s="23">
        <v>4000</v>
      </c>
      <c r="M58" s="23">
        <v>-1</v>
      </c>
      <c r="N58" s="23">
        <v>0</v>
      </c>
      <c r="O58" s="23">
        <v>0</v>
      </c>
      <c r="P58" s="23">
        <v>0</v>
      </c>
      <c r="Q58" s="23">
        <v>0</v>
      </c>
      <c r="R58" s="23">
        <v>0</v>
      </c>
      <c r="S58" s="23">
        <v>0</v>
      </c>
      <c r="T58" s="23">
        <v>0</v>
      </c>
      <c r="U58" s="23">
        <v>0</v>
      </c>
      <c r="V58" s="23">
        <v>0</v>
      </c>
      <c r="W58" s="23">
        <v>0</v>
      </c>
      <c r="BX58" s="24"/>
      <c r="BY58" s="24"/>
      <c r="BZ58" s="24"/>
      <c r="CA58" s="24"/>
      <c r="CC58" s="23" t="s">
        <v>695</v>
      </c>
      <c r="CD58" s="23" t="s">
        <v>820</v>
      </c>
      <c r="CE58" s="23" t="s">
        <v>1049</v>
      </c>
    </row>
    <row r="59" spans="1:107">
      <c r="A59" s="1" t="s">
        <v>769</v>
      </c>
      <c r="B59" s="1" t="s">
        <v>663</v>
      </c>
      <c r="C59" s="7"/>
      <c r="E59" s="6">
        <v>1</v>
      </c>
      <c r="G59" s="1" t="str">
        <f>CONCATENATE("Strength ",MIN(MAX(ROUND(SQRT((6)*(E59/1.4))+1,0),5),15))</f>
        <v>Strength 5</v>
      </c>
      <c r="H59" s="6">
        <v>5</v>
      </c>
      <c r="CB59" s="6" t="s">
        <v>259</v>
      </c>
      <c r="CE59" s="6" t="s">
        <v>1041</v>
      </c>
      <c r="CV59" s="25" t="s">
        <v>768</v>
      </c>
    </row>
    <row r="60" spans="1:107">
      <c r="A60" s="1" t="s">
        <v>646</v>
      </c>
      <c r="B60" s="1" t="s">
        <v>663</v>
      </c>
      <c r="C60" s="7"/>
      <c r="E60" s="6">
        <v>2</v>
      </c>
      <c r="G60" s="1" t="str">
        <f t="shared" ref="G60:G78" si="1">CONCATENATE("Strength ",MIN(MAX(ROUND(SQRT((6)*(E60/1.4))+1,0),5),15))</f>
        <v>Strength 5</v>
      </c>
      <c r="CB60" s="6" t="s">
        <v>259</v>
      </c>
      <c r="CV60" s="25" t="s">
        <v>658</v>
      </c>
      <c r="CZ60" s="1" t="s">
        <v>937</v>
      </c>
      <c r="DA60" s="6">
        <v>1</v>
      </c>
      <c r="DB60" s="6">
        <v>1</v>
      </c>
      <c r="DC60" s="6">
        <v>1</v>
      </c>
    </row>
    <row r="61" spans="1:107">
      <c r="A61" s="1" t="s">
        <v>665</v>
      </c>
      <c r="B61" s="1" t="s">
        <v>663</v>
      </c>
      <c r="C61" s="7"/>
      <c r="E61" s="6">
        <v>3</v>
      </c>
      <c r="G61" s="1" t="str">
        <f t="shared" si="1"/>
        <v>Strength 5</v>
      </c>
      <c r="CB61" s="6" t="s">
        <v>259</v>
      </c>
      <c r="CV61" s="25" t="s">
        <v>658</v>
      </c>
      <c r="CZ61" s="1" t="s">
        <v>937</v>
      </c>
      <c r="DA61" s="6">
        <v>1</v>
      </c>
      <c r="DB61" s="6">
        <v>1</v>
      </c>
      <c r="DC61" s="6">
        <v>1</v>
      </c>
    </row>
    <row r="62" spans="1:107">
      <c r="A62" s="1" t="s">
        <v>684</v>
      </c>
      <c r="B62" s="1" t="s">
        <v>663</v>
      </c>
      <c r="C62" s="7"/>
      <c r="E62" s="6">
        <v>4</v>
      </c>
      <c r="G62" s="1" t="str">
        <f t="shared" si="1"/>
        <v>Strength 5</v>
      </c>
      <c r="CB62" s="6" t="s">
        <v>259</v>
      </c>
      <c r="CV62" s="25" t="s">
        <v>658</v>
      </c>
      <c r="CZ62" s="1" t="s">
        <v>937</v>
      </c>
      <c r="DA62" s="6">
        <v>1</v>
      </c>
      <c r="DB62" s="6">
        <v>1</v>
      </c>
      <c r="DC62" s="6">
        <v>1</v>
      </c>
    </row>
    <row r="63" spans="1:107">
      <c r="A63" s="1" t="s">
        <v>666</v>
      </c>
      <c r="B63" s="1" t="s">
        <v>663</v>
      </c>
      <c r="C63" s="7"/>
      <c r="E63" s="6">
        <v>5</v>
      </c>
      <c r="G63" s="1" t="str">
        <f t="shared" si="1"/>
        <v>Strength 6</v>
      </c>
      <c r="CB63" s="6" t="s">
        <v>259</v>
      </c>
      <c r="CV63" s="25" t="s">
        <v>658</v>
      </c>
      <c r="CZ63" s="1" t="s">
        <v>937</v>
      </c>
      <c r="DA63" s="6">
        <v>1</v>
      </c>
      <c r="DB63" s="6">
        <v>1</v>
      </c>
      <c r="DC63" s="6">
        <v>1</v>
      </c>
    </row>
    <row r="64" spans="1:107">
      <c r="A64" s="1" t="s">
        <v>667</v>
      </c>
      <c r="B64" s="1" t="s">
        <v>663</v>
      </c>
      <c r="C64" s="7"/>
      <c r="E64" s="6">
        <v>6</v>
      </c>
      <c r="G64" s="1" t="str">
        <f t="shared" si="1"/>
        <v>Strength 6</v>
      </c>
      <c r="CB64" s="6" t="s">
        <v>259</v>
      </c>
      <c r="CV64" s="25" t="s">
        <v>658</v>
      </c>
      <c r="CZ64" s="1" t="s">
        <v>937</v>
      </c>
      <c r="DA64" s="6">
        <v>1</v>
      </c>
      <c r="DB64" s="6">
        <v>1</v>
      </c>
      <c r="DC64" s="6">
        <v>1</v>
      </c>
    </row>
    <row r="65" spans="1:107">
      <c r="A65" s="1" t="s">
        <v>668</v>
      </c>
      <c r="B65" s="1" t="s">
        <v>663</v>
      </c>
      <c r="C65" s="7"/>
      <c r="E65" s="6">
        <v>7</v>
      </c>
      <c r="G65" s="1" t="str">
        <f t="shared" si="1"/>
        <v>Strength 6</v>
      </c>
      <c r="CB65" s="6" t="s">
        <v>259</v>
      </c>
      <c r="CV65" s="25" t="s">
        <v>659</v>
      </c>
      <c r="CZ65" s="1" t="s">
        <v>937</v>
      </c>
      <c r="DA65" s="6">
        <v>1</v>
      </c>
      <c r="DB65" s="6">
        <v>1</v>
      </c>
      <c r="DC65" s="6">
        <v>1</v>
      </c>
    </row>
    <row r="66" spans="1:107">
      <c r="A66" s="1" t="s">
        <v>669</v>
      </c>
      <c r="B66" s="1" t="s">
        <v>663</v>
      </c>
      <c r="C66" s="7"/>
      <c r="E66" s="6">
        <v>8</v>
      </c>
      <c r="G66" s="1" t="str">
        <f t="shared" si="1"/>
        <v>Strength 7</v>
      </c>
      <c r="CB66" s="6" t="s">
        <v>259</v>
      </c>
      <c r="CV66" s="25" t="s">
        <v>659</v>
      </c>
      <c r="CZ66" s="1" t="s">
        <v>937</v>
      </c>
      <c r="DA66" s="6">
        <v>1</v>
      </c>
      <c r="DB66" s="6">
        <v>1</v>
      </c>
      <c r="DC66" s="6">
        <v>1</v>
      </c>
    </row>
    <row r="67" spans="1:107">
      <c r="A67" s="1" t="s">
        <v>84</v>
      </c>
      <c r="B67" s="1" t="s">
        <v>663</v>
      </c>
      <c r="C67" s="7"/>
      <c r="E67" s="6">
        <v>9</v>
      </c>
      <c r="G67" s="1" t="str">
        <f t="shared" si="1"/>
        <v>Strength 7</v>
      </c>
      <c r="CB67" s="6" t="s">
        <v>259</v>
      </c>
      <c r="CV67" s="25" t="s">
        <v>659</v>
      </c>
      <c r="CZ67" s="1" t="s">
        <v>937</v>
      </c>
      <c r="DA67" s="6">
        <v>1</v>
      </c>
      <c r="DB67" s="6">
        <v>1</v>
      </c>
      <c r="DC67" s="6">
        <v>1</v>
      </c>
    </row>
    <row r="68" spans="1:107">
      <c r="A68" s="1" t="s">
        <v>644</v>
      </c>
      <c r="B68" s="1" t="s">
        <v>663</v>
      </c>
      <c r="C68" s="7"/>
      <c r="E68" s="6">
        <v>10</v>
      </c>
      <c r="G68" s="1" t="str">
        <f t="shared" si="1"/>
        <v>Strength 8</v>
      </c>
      <c r="CB68" s="6" t="s">
        <v>259</v>
      </c>
      <c r="CV68" s="25" t="s">
        <v>659</v>
      </c>
      <c r="CZ68" s="1" t="s">
        <v>937</v>
      </c>
      <c r="DA68" s="6">
        <v>1</v>
      </c>
      <c r="DB68" s="6">
        <v>1</v>
      </c>
      <c r="DC68" s="6">
        <v>1</v>
      </c>
    </row>
    <row r="69" spans="1:107">
      <c r="A69" s="6" t="s">
        <v>85</v>
      </c>
      <c r="B69" s="1" t="s">
        <v>663</v>
      </c>
      <c r="C69" s="7"/>
      <c r="E69" s="6">
        <v>11</v>
      </c>
      <c r="G69" s="1" t="str">
        <f t="shared" si="1"/>
        <v>Strength 8</v>
      </c>
      <c r="CB69" s="6" t="s">
        <v>259</v>
      </c>
      <c r="CV69" s="25" t="s">
        <v>659</v>
      </c>
      <c r="CZ69" s="1" t="s">
        <v>937</v>
      </c>
      <c r="DA69" s="6">
        <v>1</v>
      </c>
      <c r="DB69" s="6">
        <v>1</v>
      </c>
      <c r="DC69" s="6">
        <v>1</v>
      </c>
    </row>
    <row r="70" spans="1:107">
      <c r="A70" s="1" t="s">
        <v>645</v>
      </c>
      <c r="B70" s="1" t="s">
        <v>663</v>
      </c>
      <c r="C70" s="7"/>
      <c r="E70" s="6">
        <v>12</v>
      </c>
      <c r="G70" s="1" t="str">
        <f t="shared" si="1"/>
        <v>Strength 8</v>
      </c>
      <c r="CB70" s="6" t="s">
        <v>259</v>
      </c>
      <c r="CV70" s="25" t="s">
        <v>396</v>
      </c>
      <c r="CZ70" s="1" t="s">
        <v>937</v>
      </c>
      <c r="DA70" s="6">
        <v>1</v>
      </c>
      <c r="DB70" s="6">
        <v>1</v>
      </c>
      <c r="DC70" s="6">
        <v>1</v>
      </c>
    </row>
    <row r="71" spans="1:107">
      <c r="A71" s="6" t="s">
        <v>86</v>
      </c>
      <c r="B71" s="1" t="s">
        <v>663</v>
      </c>
      <c r="C71" s="7"/>
      <c r="E71" s="6">
        <v>13</v>
      </c>
      <c r="G71" s="1" t="str">
        <f t="shared" si="1"/>
        <v>Strength 8</v>
      </c>
      <c r="CB71" s="6" t="s">
        <v>259</v>
      </c>
      <c r="CV71" s="25" t="s">
        <v>396</v>
      </c>
      <c r="CZ71" s="1" t="s">
        <v>937</v>
      </c>
      <c r="DA71" s="6">
        <v>1</v>
      </c>
      <c r="DB71" s="6">
        <v>1</v>
      </c>
      <c r="DC71" s="6">
        <v>1</v>
      </c>
    </row>
    <row r="72" spans="1:107">
      <c r="A72" s="1" t="s">
        <v>664</v>
      </c>
      <c r="B72" s="1" t="s">
        <v>663</v>
      </c>
      <c r="C72" s="7"/>
      <c r="E72" s="6">
        <v>14</v>
      </c>
      <c r="G72" s="1" t="str">
        <f t="shared" si="1"/>
        <v>Strength 9</v>
      </c>
      <c r="CB72" s="6" t="s">
        <v>259</v>
      </c>
      <c r="CV72" s="25" t="s">
        <v>396</v>
      </c>
      <c r="CZ72" s="1" t="s">
        <v>937</v>
      </c>
      <c r="DA72" s="6">
        <v>1</v>
      </c>
      <c r="DB72" s="6">
        <v>1</v>
      </c>
      <c r="DC72" s="6">
        <v>1</v>
      </c>
    </row>
    <row r="73" spans="1:107">
      <c r="A73" s="6" t="s">
        <v>87</v>
      </c>
      <c r="B73" s="1" t="s">
        <v>663</v>
      </c>
      <c r="C73" s="7"/>
      <c r="E73" s="6">
        <v>15</v>
      </c>
      <c r="G73" s="1" t="str">
        <f t="shared" si="1"/>
        <v>Strength 9</v>
      </c>
      <c r="BQ73" s="7"/>
      <c r="CB73" s="6" t="s">
        <v>259</v>
      </c>
      <c r="CV73" s="25" t="s">
        <v>396</v>
      </c>
      <c r="CZ73" s="1" t="s">
        <v>937</v>
      </c>
      <c r="DA73" s="6">
        <v>1</v>
      </c>
      <c r="DB73" s="6">
        <v>1</v>
      </c>
      <c r="DC73" s="6">
        <v>1</v>
      </c>
    </row>
    <row r="74" spans="1:107">
      <c r="A74" s="1" t="s">
        <v>863</v>
      </c>
      <c r="B74" s="1" t="s">
        <v>663</v>
      </c>
      <c r="C74" s="7"/>
      <c r="E74" s="6">
        <v>16</v>
      </c>
      <c r="G74" s="1" t="str">
        <f t="shared" si="1"/>
        <v>Strength 9</v>
      </c>
      <c r="BQ74" s="7"/>
      <c r="CB74" s="6" t="s">
        <v>259</v>
      </c>
      <c r="CV74" s="25" t="s">
        <v>658</v>
      </c>
      <c r="CZ74" s="1" t="s">
        <v>937</v>
      </c>
      <c r="DA74" s="6">
        <v>1</v>
      </c>
      <c r="DB74" s="6">
        <v>1</v>
      </c>
      <c r="DC74" s="6">
        <v>1</v>
      </c>
    </row>
    <row r="75" spans="1:107">
      <c r="A75" s="1" t="s">
        <v>864</v>
      </c>
      <c r="B75" s="1" t="s">
        <v>663</v>
      </c>
      <c r="C75" s="7"/>
      <c r="E75" s="6">
        <v>17</v>
      </c>
      <c r="G75" s="1" t="str">
        <f t="shared" si="1"/>
        <v>Strength 10</v>
      </c>
      <c r="BQ75" s="7"/>
      <c r="CB75" s="6" t="s">
        <v>259</v>
      </c>
      <c r="CV75" s="25" t="s">
        <v>659</v>
      </c>
      <c r="CZ75" s="1" t="s">
        <v>937</v>
      </c>
      <c r="DA75" s="6">
        <v>1</v>
      </c>
      <c r="DB75" s="6">
        <v>1</v>
      </c>
      <c r="DC75" s="6">
        <v>1</v>
      </c>
    </row>
    <row r="76" spans="1:107">
      <c r="A76" s="1" t="s">
        <v>865</v>
      </c>
      <c r="B76" s="1" t="s">
        <v>663</v>
      </c>
      <c r="C76" s="7"/>
      <c r="E76" s="6">
        <v>18</v>
      </c>
      <c r="G76" s="1" t="str">
        <f t="shared" si="1"/>
        <v>Strength 10</v>
      </c>
      <c r="BQ76" s="7"/>
      <c r="CB76" s="6" t="s">
        <v>259</v>
      </c>
      <c r="CV76" s="25" t="s">
        <v>659</v>
      </c>
      <c r="CZ76" s="1" t="s">
        <v>937</v>
      </c>
      <c r="DA76" s="6">
        <v>1</v>
      </c>
      <c r="DB76" s="6">
        <v>1</v>
      </c>
      <c r="DC76" s="6">
        <v>1</v>
      </c>
    </row>
    <row r="77" spans="1:107">
      <c r="A77" s="1" t="s">
        <v>866</v>
      </c>
      <c r="B77" s="1" t="s">
        <v>663</v>
      </c>
      <c r="C77" s="7"/>
      <c r="E77" s="6">
        <v>19</v>
      </c>
      <c r="G77" s="1" t="str">
        <f t="shared" si="1"/>
        <v>Strength 10</v>
      </c>
      <c r="BQ77" s="7"/>
      <c r="CB77" s="6" t="s">
        <v>259</v>
      </c>
      <c r="CV77" s="25" t="s">
        <v>396</v>
      </c>
      <c r="CZ77" s="1" t="s">
        <v>937</v>
      </c>
      <c r="DA77" s="6">
        <v>1</v>
      </c>
      <c r="DB77" s="6">
        <v>1</v>
      </c>
      <c r="DC77" s="6">
        <v>1</v>
      </c>
    </row>
    <row r="78" spans="1:107">
      <c r="A78" s="1" t="s">
        <v>867</v>
      </c>
      <c r="B78" s="1" t="s">
        <v>663</v>
      </c>
      <c r="C78" s="7"/>
      <c r="E78" s="6">
        <v>20</v>
      </c>
      <c r="G78" s="1" t="str">
        <f t="shared" si="1"/>
        <v>Strength 10</v>
      </c>
      <c r="BQ78" s="7"/>
      <c r="CB78" s="6" t="s">
        <v>259</v>
      </c>
      <c r="CV78" s="25" t="s">
        <v>396</v>
      </c>
      <c r="CZ78" s="1" t="s">
        <v>937</v>
      </c>
      <c r="DA78" s="6">
        <v>1</v>
      </c>
      <c r="DB78" s="6">
        <v>1</v>
      </c>
      <c r="DC78" s="6">
        <v>1</v>
      </c>
    </row>
    <row r="79" spans="1:107" s="23" customFormat="1">
      <c r="A79" s="23" t="s">
        <v>424</v>
      </c>
      <c r="C79" s="23" t="s">
        <v>71</v>
      </c>
      <c r="D79" s="23">
        <v>1</v>
      </c>
      <c r="F79" s="23" t="s">
        <v>72</v>
      </c>
      <c r="H79" s="23">
        <v>10</v>
      </c>
      <c r="I79" s="23">
        <v>6</v>
      </c>
      <c r="J79" s="23">
        <v>2</v>
      </c>
      <c r="K79" s="23">
        <v>7</v>
      </c>
      <c r="L79" s="23">
        <v>4000</v>
      </c>
      <c r="M79" s="23">
        <v>-1</v>
      </c>
      <c r="N79" s="23">
        <v>0</v>
      </c>
      <c r="O79" s="23">
        <v>0</v>
      </c>
      <c r="P79" s="23">
        <v>0</v>
      </c>
      <c r="Q79" s="23">
        <v>0</v>
      </c>
      <c r="R79" s="23">
        <v>0</v>
      </c>
      <c r="S79" s="23">
        <v>0</v>
      </c>
      <c r="T79" s="23">
        <v>0</v>
      </c>
      <c r="U79" s="23">
        <v>0</v>
      </c>
      <c r="V79" s="23">
        <v>0</v>
      </c>
      <c r="W79" s="23">
        <v>0</v>
      </c>
      <c r="BX79" s="24"/>
      <c r="BY79" s="24"/>
      <c r="BZ79" s="24"/>
      <c r="CA79" s="24"/>
      <c r="CC79" s="23" t="s">
        <v>695</v>
      </c>
      <c r="CD79" s="23" t="s">
        <v>815</v>
      </c>
      <c r="CE79" s="23" t="s">
        <v>1049</v>
      </c>
    </row>
    <row r="80" spans="1:107" s="1" customFormat="1">
      <c r="A80" s="1" t="s">
        <v>756</v>
      </c>
      <c r="B80" s="1" t="s">
        <v>424</v>
      </c>
      <c r="E80" s="6">
        <v>1</v>
      </c>
      <c r="G80" s="1" t="s">
        <v>685</v>
      </c>
      <c r="K80" s="1">
        <v>7.1</v>
      </c>
      <c r="BX80" s="18"/>
      <c r="BY80" s="18"/>
      <c r="BZ80" s="18"/>
      <c r="CA80" s="18"/>
      <c r="CB80" s="6" t="s">
        <v>259</v>
      </c>
      <c r="CV80" s="25" t="s">
        <v>660</v>
      </c>
    </row>
    <row r="81" spans="1:107" s="1" customFormat="1">
      <c r="A81" s="1" t="s">
        <v>757</v>
      </c>
      <c r="B81" s="1" t="s">
        <v>424</v>
      </c>
      <c r="E81" s="6">
        <v>1</v>
      </c>
      <c r="G81" s="1" t="s">
        <v>685</v>
      </c>
      <c r="K81" s="1">
        <v>7.2</v>
      </c>
      <c r="BX81" s="18"/>
      <c r="BY81" s="18"/>
      <c r="BZ81" s="18"/>
      <c r="CA81" s="18"/>
      <c r="CB81" s="6" t="s">
        <v>259</v>
      </c>
      <c r="CV81" s="25" t="s">
        <v>661</v>
      </c>
    </row>
    <row r="82" spans="1:107" s="45" customFormat="1">
      <c r="A82" s="45" t="s">
        <v>758</v>
      </c>
      <c r="B82" s="45" t="s">
        <v>424</v>
      </c>
      <c r="E82" s="46">
        <v>1</v>
      </c>
      <c r="G82" s="45" t="s">
        <v>685</v>
      </c>
      <c r="K82" s="45">
        <v>7.3</v>
      </c>
      <c r="M82" s="45">
        <v>0</v>
      </c>
      <c r="BX82" s="58"/>
      <c r="BY82" s="58"/>
      <c r="BZ82" s="58"/>
      <c r="CA82" s="74"/>
      <c r="CB82" s="46" t="s">
        <v>259</v>
      </c>
      <c r="CV82" s="47" t="s">
        <v>397</v>
      </c>
    </row>
    <row r="83" spans="1:107" s="33" customFormat="1" ht="15">
      <c r="A83" s="33" t="s">
        <v>88</v>
      </c>
      <c r="B83" s="33" t="s">
        <v>424</v>
      </c>
      <c r="E83" s="33">
        <v>1</v>
      </c>
      <c r="G83" s="33" t="s">
        <v>763</v>
      </c>
      <c r="H83" s="33">
        <v>6</v>
      </c>
      <c r="I83" s="33">
        <v>5</v>
      </c>
      <c r="K83" s="33">
        <v>6.5</v>
      </c>
      <c r="BX83" s="41"/>
      <c r="BY83" s="41"/>
      <c r="BZ83" s="41"/>
      <c r="CA83" s="41"/>
      <c r="CB83" s="33" t="s">
        <v>259</v>
      </c>
      <c r="CE83" s="33" t="s">
        <v>1041</v>
      </c>
      <c r="CV83" s="33" t="s">
        <v>770</v>
      </c>
    </row>
    <row r="84" spans="1:107">
      <c r="A84" s="1" t="s">
        <v>359</v>
      </c>
      <c r="B84" s="6" t="s">
        <v>424</v>
      </c>
      <c r="C84" s="7"/>
      <c r="E84" s="6">
        <v>2</v>
      </c>
      <c r="G84" s="1" t="str">
        <f>CONCATENATE("Strength ",MIN(MAX(ROUND(SQRT((11)*(E84/1.4))+1,0),5),15))</f>
        <v>Strength 5</v>
      </c>
      <c r="BX84" s="48"/>
      <c r="BY84" s="48"/>
      <c r="BZ84" s="48"/>
      <c r="CA84" s="73"/>
      <c r="CB84" s="6" t="s">
        <v>259</v>
      </c>
      <c r="CV84" s="25" t="s">
        <v>660</v>
      </c>
      <c r="CZ84" s="1" t="s">
        <v>936</v>
      </c>
      <c r="DA84" s="6">
        <v>1</v>
      </c>
      <c r="DB84" s="6">
        <v>1</v>
      </c>
      <c r="DC84" s="6">
        <v>1</v>
      </c>
    </row>
    <row r="85" spans="1:107">
      <c r="A85" s="1" t="s">
        <v>361</v>
      </c>
      <c r="B85" s="6" t="s">
        <v>424</v>
      </c>
      <c r="C85" s="7"/>
      <c r="E85" s="6">
        <v>3</v>
      </c>
      <c r="G85" s="1" t="str">
        <f t="shared" ref="G85:G92" si="2">CONCATENATE("Strength ",MIN(MAX(ROUND(SQRT((11)*(E85/1.4))+1,0),5),15))</f>
        <v>Strength 6</v>
      </c>
      <c r="CB85" s="6" t="s">
        <v>259</v>
      </c>
      <c r="CV85" s="25" t="s">
        <v>660</v>
      </c>
      <c r="CZ85" s="1" t="s">
        <v>936</v>
      </c>
      <c r="DA85" s="6">
        <v>1</v>
      </c>
      <c r="DB85" s="6">
        <v>1</v>
      </c>
      <c r="DC85" s="6">
        <v>1</v>
      </c>
    </row>
    <row r="86" spans="1:107">
      <c r="A86" s="1" t="s">
        <v>670</v>
      </c>
      <c r="B86" s="6" t="s">
        <v>424</v>
      </c>
      <c r="C86" s="7"/>
      <c r="E86" s="6">
        <v>4</v>
      </c>
      <c r="G86" s="1" t="str">
        <f t="shared" si="2"/>
        <v>Strength 7</v>
      </c>
      <c r="CB86" s="6" t="s">
        <v>259</v>
      </c>
      <c r="CV86" s="25" t="s">
        <v>660</v>
      </c>
      <c r="CZ86" s="1" t="s">
        <v>936</v>
      </c>
      <c r="DA86" s="6">
        <v>1</v>
      </c>
      <c r="DB86" s="6">
        <v>1</v>
      </c>
      <c r="DC86" s="6">
        <v>1</v>
      </c>
    </row>
    <row r="87" spans="1:107">
      <c r="A87" s="1" t="s">
        <v>671</v>
      </c>
      <c r="B87" s="6" t="s">
        <v>424</v>
      </c>
      <c r="C87" s="7"/>
      <c r="E87" s="6">
        <v>5</v>
      </c>
      <c r="G87" s="1" t="str">
        <f t="shared" si="2"/>
        <v>Strength 7</v>
      </c>
      <c r="CB87" s="6" t="s">
        <v>259</v>
      </c>
      <c r="CV87" s="25" t="s">
        <v>660</v>
      </c>
      <c r="CZ87" s="1" t="s">
        <v>936</v>
      </c>
      <c r="DA87" s="6">
        <v>1</v>
      </c>
      <c r="DB87" s="6">
        <v>1</v>
      </c>
      <c r="DC87" s="6">
        <v>1</v>
      </c>
    </row>
    <row r="88" spans="1:107">
      <c r="A88" s="1" t="s">
        <v>519</v>
      </c>
      <c r="B88" s="6" t="s">
        <v>424</v>
      </c>
      <c r="C88" s="7"/>
      <c r="E88" s="6">
        <v>6</v>
      </c>
      <c r="G88" s="1" t="str">
        <f t="shared" si="2"/>
        <v>Strength 8</v>
      </c>
      <c r="CB88" s="6" t="s">
        <v>259</v>
      </c>
      <c r="CV88" s="25" t="s">
        <v>661</v>
      </c>
      <c r="CZ88" s="1" t="s">
        <v>936</v>
      </c>
      <c r="DA88" s="6">
        <v>1</v>
      </c>
      <c r="DB88" s="6">
        <v>1</v>
      </c>
      <c r="DC88" s="6">
        <v>1</v>
      </c>
    </row>
    <row r="89" spans="1:107">
      <c r="A89" s="1" t="s">
        <v>520</v>
      </c>
      <c r="B89" s="6" t="s">
        <v>424</v>
      </c>
      <c r="C89" s="7"/>
      <c r="E89" s="6">
        <v>7</v>
      </c>
      <c r="G89" s="1" t="str">
        <f t="shared" si="2"/>
        <v>Strength 8</v>
      </c>
      <c r="CB89" s="6" t="s">
        <v>259</v>
      </c>
      <c r="CV89" s="25" t="s">
        <v>661</v>
      </c>
      <c r="CZ89" s="1" t="s">
        <v>936</v>
      </c>
      <c r="DA89" s="6">
        <v>1</v>
      </c>
      <c r="DB89" s="6">
        <v>1</v>
      </c>
      <c r="DC89" s="6">
        <v>1</v>
      </c>
    </row>
    <row r="90" spans="1:107">
      <c r="A90" s="1" t="s">
        <v>521</v>
      </c>
      <c r="B90" s="6" t="s">
        <v>424</v>
      </c>
      <c r="C90" s="7"/>
      <c r="E90" s="6">
        <v>8</v>
      </c>
      <c r="G90" s="1" t="str">
        <f t="shared" si="2"/>
        <v>Strength 9</v>
      </c>
      <c r="CB90" s="6" t="s">
        <v>259</v>
      </c>
      <c r="CV90" s="25" t="s">
        <v>661</v>
      </c>
      <c r="CZ90" s="1" t="s">
        <v>936</v>
      </c>
      <c r="DA90" s="6">
        <v>1</v>
      </c>
      <c r="DB90" s="6">
        <v>1</v>
      </c>
      <c r="DC90" s="6">
        <v>1</v>
      </c>
    </row>
    <row r="91" spans="1:107">
      <c r="A91" s="1" t="s">
        <v>643</v>
      </c>
      <c r="B91" s="6" t="s">
        <v>424</v>
      </c>
      <c r="C91" s="7"/>
      <c r="E91" s="6">
        <v>9</v>
      </c>
      <c r="G91" s="1" t="str">
        <f t="shared" si="2"/>
        <v>Strength 9</v>
      </c>
      <c r="CB91" s="6" t="s">
        <v>259</v>
      </c>
      <c r="CV91" s="25" t="s">
        <v>661</v>
      </c>
      <c r="CZ91" s="1" t="s">
        <v>936</v>
      </c>
      <c r="DA91" s="6">
        <v>1</v>
      </c>
      <c r="DB91" s="6">
        <v>1</v>
      </c>
      <c r="DC91" s="6">
        <v>1</v>
      </c>
    </row>
    <row r="92" spans="1:107">
      <c r="A92" s="6" t="s">
        <v>89</v>
      </c>
      <c r="B92" s="6" t="s">
        <v>424</v>
      </c>
      <c r="C92" s="7"/>
      <c r="E92" s="6">
        <v>10</v>
      </c>
      <c r="G92" s="1" t="str">
        <f t="shared" si="2"/>
        <v>Strength 10</v>
      </c>
      <c r="CB92" s="6" t="s">
        <v>259</v>
      </c>
      <c r="CV92" s="25" t="s">
        <v>661</v>
      </c>
      <c r="CZ92" s="1" t="s">
        <v>936</v>
      </c>
      <c r="DA92" s="6">
        <v>1</v>
      </c>
      <c r="DB92" s="6">
        <v>1</v>
      </c>
      <c r="DC92" s="6">
        <v>1</v>
      </c>
    </row>
    <row r="93" spans="1:107">
      <c r="A93" s="1" t="s">
        <v>642</v>
      </c>
      <c r="B93" s="6" t="s">
        <v>424</v>
      </c>
      <c r="C93" s="7"/>
      <c r="E93" s="6">
        <v>11</v>
      </c>
      <c r="G93" s="1" t="str">
        <f>CONCATENATE("Strength ",MIN(MAX(ROUND(SQRT((11)*(E93/1.4))+1,0),5),15))</f>
        <v>Strength 10</v>
      </c>
      <c r="CB93" s="6" t="s">
        <v>259</v>
      </c>
      <c r="CV93" s="25" t="s">
        <v>397</v>
      </c>
      <c r="CZ93" s="1" t="s">
        <v>936</v>
      </c>
      <c r="DA93" s="6">
        <v>1</v>
      </c>
      <c r="DB93" s="6">
        <v>1</v>
      </c>
      <c r="DC93" s="6">
        <v>1</v>
      </c>
    </row>
    <row r="94" spans="1:107">
      <c r="A94" s="1" t="s">
        <v>672</v>
      </c>
      <c r="B94" s="6" t="s">
        <v>424</v>
      </c>
      <c r="C94" s="7"/>
      <c r="E94" s="6">
        <v>12</v>
      </c>
      <c r="G94" s="6" t="str">
        <f>CONCATENATE("Strength ",MIN(MAX(ROUND(SQRT((11)*(E93/1.4))+1,0),5),15),";ArmorMastery 1")</f>
        <v>Strength 10;ArmorMastery 1</v>
      </c>
      <c r="CB94" s="6" t="s">
        <v>259</v>
      </c>
      <c r="CV94" s="25" t="s">
        <v>397</v>
      </c>
      <c r="CZ94" s="1" t="s">
        <v>936</v>
      </c>
      <c r="DA94" s="6">
        <v>1</v>
      </c>
      <c r="DB94" s="6">
        <v>1</v>
      </c>
      <c r="DC94" s="6">
        <v>1</v>
      </c>
    </row>
    <row r="95" spans="1:107">
      <c r="A95" s="1" t="s">
        <v>673</v>
      </c>
      <c r="B95" s="6" t="s">
        <v>424</v>
      </c>
      <c r="C95" s="7"/>
      <c r="E95" s="6">
        <v>13</v>
      </c>
      <c r="G95" s="6" t="str">
        <f t="shared" ref="G95:G96" si="3">CONCATENATE("Strength ",MIN(MAX(ROUND(SQRT((11)*(E94/1.4))+1,0),5),15),";ArmorMastery 1")</f>
        <v>Strength 11;ArmorMastery 1</v>
      </c>
      <c r="CB95" s="6" t="s">
        <v>259</v>
      </c>
      <c r="CV95" s="25" t="s">
        <v>397</v>
      </c>
      <c r="CZ95" s="1" t="s">
        <v>936</v>
      </c>
      <c r="DA95" s="6">
        <v>1</v>
      </c>
      <c r="DB95" s="6">
        <v>1</v>
      </c>
      <c r="DC95" s="6">
        <v>1</v>
      </c>
    </row>
    <row r="96" spans="1:107">
      <c r="A96" s="1" t="s">
        <v>674</v>
      </c>
      <c r="B96" s="6" t="s">
        <v>424</v>
      </c>
      <c r="C96" s="7"/>
      <c r="E96" s="6">
        <v>14</v>
      </c>
      <c r="G96" s="6" t="str">
        <f t="shared" si="3"/>
        <v>Strength 11;ArmorMastery 1</v>
      </c>
      <c r="CB96" s="6" t="s">
        <v>259</v>
      </c>
      <c r="CV96" s="25" t="s">
        <v>397</v>
      </c>
      <c r="CZ96" s="1" t="s">
        <v>936</v>
      </c>
      <c r="DA96" s="6">
        <v>1</v>
      </c>
      <c r="DB96" s="6">
        <v>1</v>
      </c>
      <c r="DC96" s="6">
        <v>1</v>
      </c>
    </row>
    <row r="97" spans="1:108">
      <c r="A97" s="1" t="s">
        <v>675</v>
      </c>
      <c r="B97" s="6" t="s">
        <v>424</v>
      </c>
      <c r="C97" s="7"/>
      <c r="E97" s="6">
        <v>15</v>
      </c>
      <c r="G97" s="6" t="str">
        <f>CONCATENATE("Strength ",MIN(MAX(ROUND(SQRT((11)*(E96/1.4))+1,0),5),15),";ArmorMastery 2")</f>
        <v>Strength 11;ArmorMastery 2</v>
      </c>
      <c r="BQ97" s="7"/>
      <c r="CB97" s="6" t="s">
        <v>259</v>
      </c>
      <c r="CV97" s="25" t="s">
        <v>397</v>
      </c>
      <c r="CZ97" s="1" t="s">
        <v>936</v>
      </c>
      <c r="DA97" s="6">
        <v>1</v>
      </c>
      <c r="DB97" s="6">
        <v>1</v>
      </c>
      <c r="DC97" s="6">
        <v>1</v>
      </c>
    </row>
    <row r="98" spans="1:108">
      <c r="A98" s="1" t="s">
        <v>868</v>
      </c>
      <c r="B98" s="6" t="s">
        <v>424</v>
      </c>
      <c r="C98" s="7"/>
      <c r="E98" s="6">
        <v>16</v>
      </c>
      <c r="G98" s="6" t="str">
        <f t="shared" ref="G98:G99" si="4">CONCATENATE("Strength ",MIN(MAX(ROUND(SQRT((11)*(E97/1.4))+1,0),5),15),";ArmorMastery 2")</f>
        <v>Strength 12;ArmorMastery 2</v>
      </c>
      <c r="BQ98" s="7"/>
      <c r="CB98" s="6" t="s">
        <v>259</v>
      </c>
      <c r="CV98" s="25" t="s">
        <v>397</v>
      </c>
      <c r="CZ98" s="1" t="s">
        <v>936</v>
      </c>
      <c r="DA98" s="6">
        <v>1</v>
      </c>
      <c r="DB98" s="6">
        <v>1</v>
      </c>
      <c r="DC98" s="6">
        <v>1</v>
      </c>
    </row>
    <row r="99" spans="1:108">
      <c r="A99" s="1" t="s">
        <v>869</v>
      </c>
      <c r="B99" s="6" t="s">
        <v>424</v>
      </c>
      <c r="C99" s="7"/>
      <c r="E99" s="6">
        <v>17</v>
      </c>
      <c r="G99" s="6" t="str">
        <f t="shared" si="4"/>
        <v>Strength 12;ArmorMastery 2</v>
      </c>
      <c r="BQ99" s="7"/>
      <c r="CB99" s="6" t="s">
        <v>259</v>
      </c>
      <c r="CV99" s="25" t="s">
        <v>397</v>
      </c>
      <c r="CZ99" s="1" t="s">
        <v>936</v>
      </c>
      <c r="DA99" s="6">
        <v>1</v>
      </c>
      <c r="DB99" s="6">
        <v>1</v>
      </c>
      <c r="DC99" s="6">
        <v>1</v>
      </c>
    </row>
    <row r="100" spans="1:108">
      <c r="A100" s="1" t="s">
        <v>870</v>
      </c>
      <c r="B100" s="6" t="s">
        <v>424</v>
      </c>
      <c r="C100" s="7"/>
      <c r="E100" s="6">
        <v>18</v>
      </c>
      <c r="G100" s="6" t="str">
        <f>CONCATENATE("Strength ",MIN(MAX(ROUND(SQRT((11)*(E99/1.4))+1,0),5),15),";ArmorMastery 3")</f>
        <v>Strength 13;ArmorMastery 3</v>
      </c>
      <c r="BQ100" s="7"/>
      <c r="CB100" s="6" t="s">
        <v>259</v>
      </c>
      <c r="CV100" s="25" t="s">
        <v>397</v>
      </c>
      <c r="CZ100" s="1" t="s">
        <v>936</v>
      </c>
      <c r="DA100" s="6">
        <v>1</v>
      </c>
      <c r="DB100" s="6">
        <v>1</v>
      </c>
      <c r="DC100" s="6">
        <v>1</v>
      </c>
    </row>
    <row r="101" spans="1:108">
      <c r="A101" s="1" t="s">
        <v>871</v>
      </c>
      <c r="B101" s="6" t="s">
        <v>424</v>
      </c>
      <c r="C101" s="7"/>
      <c r="E101" s="6">
        <v>19</v>
      </c>
      <c r="G101" s="6" t="str">
        <f t="shared" ref="G101:G102" si="5">CONCATENATE("Strength ",MIN(MAX(ROUND(SQRT((11)*(E100/1.4))+1,0),5),15),";ArmorMastery 3")</f>
        <v>Strength 13;ArmorMastery 3</v>
      </c>
      <c r="BQ101" s="7"/>
      <c r="CB101" s="6" t="s">
        <v>259</v>
      </c>
      <c r="CV101" s="25" t="s">
        <v>397</v>
      </c>
      <c r="CZ101" s="1" t="s">
        <v>936</v>
      </c>
      <c r="DA101" s="6">
        <v>1</v>
      </c>
      <c r="DB101" s="6">
        <v>1</v>
      </c>
      <c r="DC101" s="6">
        <v>1</v>
      </c>
    </row>
    <row r="102" spans="1:108">
      <c r="A102" s="1" t="s">
        <v>872</v>
      </c>
      <c r="B102" s="6" t="s">
        <v>424</v>
      </c>
      <c r="C102" s="7"/>
      <c r="E102" s="6">
        <v>20</v>
      </c>
      <c r="G102" s="6" t="str">
        <f t="shared" si="5"/>
        <v>Strength 13;ArmorMastery 3</v>
      </c>
      <c r="BQ102" s="7"/>
      <c r="CB102" s="6" t="s">
        <v>259</v>
      </c>
      <c r="CV102" s="25" t="s">
        <v>397</v>
      </c>
      <c r="CZ102" s="1" t="s">
        <v>936</v>
      </c>
      <c r="DA102" s="6">
        <v>1</v>
      </c>
      <c r="DB102" s="6">
        <v>1</v>
      </c>
      <c r="DC102" s="6">
        <v>1</v>
      </c>
    </row>
    <row r="103" spans="1:108" s="23" customFormat="1">
      <c r="A103" s="23" t="s">
        <v>91</v>
      </c>
      <c r="C103" s="23" t="s">
        <v>71</v>
      </c>
      <c r="D103" s="23">
        <v>1</v>
      </c>
      <c r="F103" s="23" t="s">
        <v>72</v>
      </c>
      <c r="H103" s="23">
        <v>2</v>
      </c>
      <c r="I103" s="23">
        <v>3</v>
      </c>
      <c r="J103" s="23">
        <v>2</v>
      </c>
      <c r="K103" s="23">
        <v>6.7</v>
      </c>
      <c r="L103" s="23">
        <v>500</v>
      </c>
      <c r="M103" s="23">
        <v>0</v>
      </c>
      <c r="N103" s="23">
        <v>0</v>
      </c>
      <c r="O103" s="23">
        <v>0</v>
      </c>
      <c r="P103" s="23">
        <v>0</v>
      </c>
      <c r="Q103" s="23">
        <v>0</v>
      </c>
      <c r="R103" s="23">
        <v>0</v>
      </c>
      <c r="S103" s="23">
        <v>0</v>
      </c>
      <c r="T103" s="23">
        <v>0</v>
      </c>
      <c r="U103" s="23">
        <v>0</v>
      </c>
      <c r="V103" s="23">
        <v>0</v>
      </c>
      <c r="W103" s="23">
        <v>0</v>
      </c>
      <c r="BX103" s="24"/>
      <c r="BY103" s="24"/>
      <c r="BZ103" s="24"/>
      <c r="CA103" s="24"/>
      <c r="CC103" s="23" t="s">
        <v>695</v>
      </c>
      <c r="CD103" s="23" t="s">
        <v>93</v>
      </c>
      <c r="CE103" s="23" t="s">
        <v>1049</v>
      </c>
      <c r="DD103" s="23">
        <v>0</v>
      </c>
    </row>
    <row r="104" spans="1:108" s="45" customFormat="1">
      <c r="A104" s="45" t="s">
        <v>760</v>
      </c>
      <c r="B104" s="46" t="s">
        <v>91</v>
      </c>
      <c r="E104" s="46">
        <v>1</v>
      </c>
      <c r="G104" s="45" t="s">
        <v>761</v>
      </c>
      <c r="K104" s="45">
        <v>6.9</v>
      </c>
      <c r="BX104" s="57"/>
      <c r="BY104" s="57"/>
      <c r="BZ104" s="57"/>
      <c r="CA104" s="75"/>
      <c r="CB104" s="46" t="s">
        <v>437</v>
      </c>
      <c r="CV104" s="47" t="s">
        <v>398</v>
      </c>
    </row>
    <row r="105" spans="1:108" s="45" customFormat="1">
      <c r="A105" s="45" t="s">
        <v>1068</v>
      </c>
      <c r="B105" s="46" t="s">
        <v>91</v>
      </c>
      <c r="E105" s="46">
        <v>1</v>
      </c>
      <c r="G105" s="45" t="s">
        <v>761</v>
      </c>
      <c r="K105" s="45">
        <v>7.5</v>
      </c>
      <c r="O105" s="45">
        <v>3</v>
      </c>
      <c r="P105" s="45">
        <v>3</v>
      </c>
      <c r="Q105" s="45">
        <v>3</v>
      </c>
      <c r="R105" s="45">
        <v>3</v>
      </c>
      <c r="S105" s="45">
        <v>3</v>
      </c>
      <c r="T105" s="45">
        <v>3</v>
      </c>
      <c r="Z105" s="45">
        <v>1</v>
      </c>
      <c r="BX105" s="57"/>
      <c r="BY105" s="57"/>
      <c r="BZ105" s="57"/>
      <c r="CA105" s="75"/>
      <c r="CB105" s="46" t="s">
        <v>437</v>
      </c>
      <c r="CE105" s="45" t="s">
        <v>1053</v>
      </c>
      <c r="CV105" s="1" t="s">
        <v>1069</v>
      </c>
      <c r="DD105" s="45">
        <v>1</v>
      </c>
    </row>
    <row r="106" spans="1:108" s="33" customFormat="1" ht="15">
      <c r="A106" s="33" t="s">
        <v>772</v>
      </c>
      <c r="B106" s="33" t="s">
        <v>91</v>
      </c>
      <c r="E106" s="33">
        <v>1</v>
      </c>
      <c r="G106" s="33" t="s">
        <v>764</v>
      </c>
      <c r="H106" s="33">
        <v>1</v>
      </c>
      <c r="I106" s="33">
        <v>2</v>
      </c>
      <c r="K106" s="33">
        <v>6.5</v>
      </c>
      <c r="CB106" s="33" t="s">
        <v>437</v>
      </c>
      <c r="CE106" s="33" t="s">
        <v>1041</v>
      </c>
      <c r="CV106" s="33" t="s">
        <v>779</v>
      </c>
    </row>
    <row r="107" spans="1:108" s="33" customFormat="1" ht="15">
      <c r="A107" s="33" t="s">
        <v>775</v>
      </c>
      <c r="B107" s="33" t="s">
        <v>91</v>
      </c>
      <c r="E107" s="33">
        <v>1</v>
      </c>
      <c r="G107" s="33" t="s">
        <v>764</v>
      </c>
      <c r="H107" s="33">
        <v>1</v>
      </c>
      <c r="I107" s="33">
        <v>2</v>
      </c>
      <c r="K107" s="33">
        <v>6.5</v>
      </c>
      <c r="BX107" s="41"/>
      <c r="BY107" s="41"/>
      <c r="BZ107" s="41"/>
      <c r="CA107" s="41"/>
      <c r="CB107" s="33" t="s">
        <v>437</v>
      </c>
      <c r="CE107" s="33" t="s">
        <v>1041</v>
      </c>
      <c r="CV107" s="33" t="s">
        <v>782</v>
      </c>
    </row>
    <row r="108" spans="1:108" s="33" customFormat="1" ht="15">
      <c r="A108" s="33" t="s">
        <v>776</v>
      </c>
      <c r="B108" s="33" t="s">
        <v>91</v>
      </c>
      <c r="E108" s="33">
        <v>1</v>
      </c>
      <c r="G108" s="33" t="s">
        <v>764</v>
      </c>
      <c r="H108" s="33">
        <v>1</v>
      </c>
      <c r="I108" s="33">
        <v>2</v>
      </c>
      <c r="K108" s="33">
        <v>6.5</v>
      </c>
      <c r="BX108" s="41"/>
      <c r="BY108" s="41"/>
      <c r="BZ108" s="41"/>
      <c r="CA108" s="41"/>
      <c r="CB108" s="33" t="s">
        <v>437</v>
      </c>
      <c r="CE108" s="33" t="s">
        <v>1041</v>
      </c>
      <c r="CV108" s="33" t="s">
        <v>783</v>
      </c>
    </row>
    <row r="109" spans="1:108" s="33" customFormat="1" ht="15">
      <c r="A109" s="33" t="s">
        <v>777</v>
      </c>
      <c r="B109" s="33" t="s">
        <v>91</v>
      </c>
      <c r="E109" s="33">
        <v>1</v>
      </c>
      <c r="G109" s="33" t="s">
        <v>764</v>
      </c>
      <c r="H109" s="33">
        <v>1</v>
      </c>
      <c r="I109" s="33">
        <v>2</v>
      </c>
      <c r="K109" s="33">
        <v>6.5</v>
      </c>
      <c r="BX109" s="41"/>
      <c r="BY109" s="41"/>
      <c r="BZ109" s="41"/>
      <c r="CA109" s="41"/>
      <c r="CB109" s="33" t="s">
        <v>437</v>
      </c>
      <c r="CE109" s="33" t="s">
        <v>1041</v>
      </c>
      <c r="CV109" s="33" t="s">
        <v>784</v>
      </c>
    </row>
    <row r="110" spans="1:108" s="33" customFormat="1" ht="15">
      <c r="A110" s="33" t="s">
        <v>773</v>
      </c>
      <c r="B110" s="33" t="s">
        <v>91</v>
      </c>
      <c r="E110" s="33">
        <v>1</v>
      </c>
      <c r="G110" s="33" t="s">
        <v>764</v>
      </c>
      <c r="H110" s="33">
        <v>1</v>
      </c>
      <c r="I110" s="33">
        <v>2</v>
      </c>
      <c r="K110" s="33">
        <v>6.5</v>
      </c>
      <c r="BX110" s="41"/>
      <c r="BY110" s="41"/>
      <c r="BZ110" s="41"/>
      <c r="CA110" s="41"/>
      <c r="CB110" s="33" t="s">
        <v>437</v>
      </c>
      <c r="CE110" s="33" t="s">
        <v>1041</v>
      </c>
      <c r="CV110" s="33" t="s">
        <v>780</v>
      </c>
    </row>
    <row r="111" spans="1:108" s="33" customFormat="1" ht="15">
      <c r="A111" s="33" t="s">
        <v>774</v>
      </c>
      <c r="B111" s="33" t="s">
        <v>91</v>
      </c>
      <c r="E111" s="33">
        <v>1</v>
      </c>
      <c r="G111" s="33" t="s">
        <v>764</v>
      </c>
      <c r="H111" s="33">
        <v>1</v>
      </c>
      <c r="I111" s="33">
        <v>2</v>
      </c>
      <c r="K111" s="33">
        <v>6.5</v>
      </c>
      <c r="BX111" s="41"/>
      <c r="BY111" s="41"/>
      <c r="BZ111" s="41"/>
      <c r="CA111" s="41"/>
      <c r="CB111" s="33" t="s">
        <v>437</v>
      </c>
      <c r="CE111" s="33" t="s">
        <v>1041</v>
      </c>
      <c r="CV111" s="33" t="s">
        <v>781</v>
      </c>
    </row>
    <row r="112" spans="1:108" s="49" customFormat="1" ht="15">
      <c r="A112" s="49" t="s">
        <v>771</v>
      </c>
      <c r="B112" s="49" t="s">
        <v>91</v>
      </c>
      <c r="E112" s="49">
        <v>1</v>
      </c>
      <c r="G112" s="49" t="s">
        <v>764</v>
      </c>
      <c r="H112" s="49">
        <v>1</v>
      </c>
      <c r="I112" s="49">
        <v>2</v>
      </c>
      <c r="K112" s="33">
        <v>6.5</v>
      </c>
      <c r="CB112" s="49" t="s">
        <v>437</v>
      </c>
      <c r="CE112" s="49" t="s">
        <v>1041</v>
      </c>
      <c r="CV112" s="49" t="s">
        <v>778</v>
      </c>
    </row>
    <row r="113" spans="1:107">
      <c r="A113" s="6" t="s">
        <v>92</v>
      </c>
      <c r="B113" s="6" t="s">
        <v>91</v>
      </c>
      <c r="C113" s="7"/>
      <c r="E113" s="6">
        <v>1</v>
      </c>
      <c r="BX113" s="48"/>
      <c r="BY113" s="48"/>
      <c r="BZ113" s="48"/>
      <c r="CA113" s="73"/>
      <c r="CB113" s="6" t="s">
        <v>437</v>
      </c>
      <c r="CV113" s="25" t="s">
        <v>398</v>
      </c>
      <c r="CZ113" s="6" t="s">
        <v>93</v>
      </c>
      <c r="DA113" s="6">
        <v>1</v>
      </c>
      <c r="DB113" s="6">
        <v>1</v>
      </c>
      <c r="DC113" s="6">
        <v>1</v>
      </c>
    </row>
    <row r="114" spans="1:107">
      <c r="A114" s="6" t="s">
        <v>362</v>
      </c>
      <c r="B114" s="6" t="s">
        <v>91</v>
      </c>
      <c r="C114" s="7"/>
      <c r="E114" s="6">
        <v>2</v>
      </c>
      <c r="G114" s="6" t="str">
        <f>CONCATENATE("Intelligence ",MIN(MAX(ROUND(SQRT((5)*(E114/1.4))+1,0),5),15))</f>
        <v>Intelligence 5</v>
      </c>
      <c r="CB114" s="6" t="s">
        <v>437</v>
      </c>
      <c r="CE114" s="6" t="s">
        <v>1050</v>
      </c>
      <c r="CV114" s="1" t="s">
        <v>1058</v>
      </c>
      <c r="CZ114" s="6" t="s">
        <v>93</v>
      </c>
      <c r="DA114" s="6">
        <v>1</v>
      </c>
      <c r="DB114" s="6">
        <v>1</v>
      </c>
      <c r="DC114" s="6">
        <v>1</v>
      </c>
    </row>
    <row r="115" spans="1:107">
      <c r="A115" s="1" t="s">
        <v>425</v>
      </c>
      <c r="B115" s="6" t="s">
        <v>91</v>
      </c>
      <c r="C115" s="7"/>
      <c r="E115" s="6">
        <v>3</v>
      </c>
      <c r="G115" s="6" t="str">
        <f t="shared" ref="G115:G132" si="6">CONCATENATE("Intelligence ",MIN(MAX(ROUND(SQRT((5)*(E115/1.4))+1,0),5),15))</f>
        <v>Intelligence 5</v>
      </c>
      <c r="CB115" s="6" t="s">
        <v>437</v>
      </c>
      <c r="CE115" s="6" t="s">
        <v>1049</v>
      </c>
      <c r="CV115" s="1" t="s">
        <v>1059</v>
      </c>
      <c r="CZ115" s="6" t="s">
        <v>93</v>
      </c>
      <c r="DA115" s="6">
        <v>1</v>
      </c>
      <c r="DB115" s="6">
        <v>1</v>
      </c>
      <c r="DC115" s="6">
        <v>1</v>
      </c>
    </row>
    <row r="116" spans="1:107">
      <c r="A116" s="1" t="s">
        <v>426</v>
      </c>
      <c r="B116" s="6" t="s">
        <v>91</v>
      </c>
      <c r="C116" s="7"/>
      <c r="E116" s="6">
        <v>4</v>
      </c>
      <c r="G116" s="6" t="str">
        <f t="shared" si="6"/>
        <v>Intelligence 5</v>
      </c>
      <c r="CB116" s="6" t="s">
        <v>437</v>
      </c>
      <c r="CE116" s="6" t="s">
        <v>1047</v>
      </c>
      <c r="CV116" s="50" t="s">
        <v>1056</v>
      </c>
      <c r="CZ116" s="6" t="s">
        <v>93</v>
      </c>
      <c r="DA116" s="6">
        <v>1</v>
      </c>
      <c r="DB116" s="6">
        <v>1</v>
      </c>
      <c r="DC116" s="6">
        <v>1</v>
      </c>
    </row>
    <row r="117" spans="1:107">
      <c r="A117" s="1" t="s">
        <v>427</v>
      </c>
      <c r="B117" s="6" t="s">
        <v>91</v>
      </c>
      <c r="C117" s="7"/>
      <c r="E117" s="6">
        <v>5</v>
      </c>
      <c r="G117" s="6" t="str">
        <f t="shared" si="6"/>
        <v>Intelligence 5</v>
      </c>
      <c r="CB117" s="6" t="s">
        <v>437</v>
      </c>
      <c r="CV117" s="51" t="s">
        <v>398</v>
      </c>
      <c r="CZ117" s="6" t="s">
        <v>93</v>
      </c>
      <c r="DA117" s="6">
        <v>1</v>
      </c>
      <c r="DB117" s="6">
        <v>1</v>
      </c>
      <c r="DC117" s="6">
        <v>1</v>
      </c>
    </row>
    <row r="118" spans="1:107">
      <c r="A118" s="1" t="s">
        <v>428</v>
      </c>
      <c r="B118" s="6" t="s">
        <v>91</v>
      </c>
      <c r="C118" s="7"/>
      <c r="E118" s="6">
        <v>6</v>
      </c>
      <c r="G118" s="6" t="str">
        <f t="shared" si="6"/>
        <v>Intelligence 6</v>
      </c>
      <c r="CB118" s="6" t="s">
        <v>437</v>
      </c>
      <c r="CE118" s="6" t="s">
        <v>1046</v>
      </c>
      <c r="CV118" s="50" t="s">
        <v>1058</v>
      </c>
      <c r="CZ118" s="6" t="s">
        <v>93</v>
      </c>
      <c r="DA118" s="6">
        <v>1</v>
      </c>
      <c r="DB118" s="6">
        <v>1</v>
      </c>
      <c r="DC118" s="6">
        <v>1</v>
      </c>
    </row>
    <row r="119" spans="1:107">
      <c r="A119" s="1" t="s">
        <v>429</v>
      </c>
      <c r="B119" s="6" t="s">
        <v>91</v>
      </c>
      <c r="C119" s="7"/>
      <c r="E119" s="6">
        <v>7</v>
      </c>
      <c r="G119" s="6" t="str">
        <f t="shared" si="6"/>
        <v>Intelligence 6</v>
      </c>
      <c r="CB119" s="6" t="s">
        <v>437</v>
      </c>
      <c r="CE119" s="6" t="s">
        <v>1040</v>
      </c>
      <c r="CV119" s="50" t="s">
        <v>1059</v>
      </c>
      <c r="CZ119" s="6" t="s">
        <v>93</v>
      </c>
      <c r="DA119" s="6">
        <v>1</v>
      </c>
      <c r="DB119" s="6">
        <v>1</v>
      </c>
      <c r="DC119" s="6">
        <v>1</v>
      </c>
    </row>
    <row r="120" spans="1:107">
      <c r="A120" s="1" t="s">
        <v>430</v>
      </c>
      <c r="B120" s="6" t="s">
        <v>91</v>
      </c>
      <c r="C120" s="7"/>
      <c r="E120" s="6">
        <v>8</v>
      </c>
      <c r="G120" s="6" t="str">
        <f t="shared" si="6"/>
        <v>Intelligence 6</v>
      </c>
      <c r="CB120" s="6" t="s">
        <v>437</v>
      </c>
      <c r="CE120" s="6" t="s">
        <v>1048</v>
      </c>
      <c r="CV120" s="50" t="s">
        <v>1056</v>
      </c>
      <c r="CZ120" s="6" t="s">
        <v>93</v>
      </c>
      <c r="DA120" s="6">
        <v>1</v>
      </c>
      <c r="DB120" s="6">
        <v>1</v>
      </c>
      <c r="DC120" s="6">
        <v>1</v>
      </c>
    </row>
    <row r="121" spans="1:107">
      <c r="A121" s="1" t="s">
        <v>522</v>
      </c>
      <c r="B121" s="6" t="s">
        <v>91</v>
      </c>
      <c r="C121" s="7"/>
      <c r="E121" s="6">
        <v>9</v>
      </c>
      <c r="G121" s="6" t="str">
        <f t="shared" si="6"/>
        <v>Intelligence 7</v>
      </c>
      <c r="CB121" s="6" t="s">
        <v>437</v>
      </c>
      <c r="CV121" s="51" t="s">
        <v>398</v>
      </c>
      <c r="CZ121" s="6" t="s">
        <v>93</v>
      </c>
      <c r="DA121" s="6">
        <v>1</v>
      </c>
      <c r="DB121" s="6">
        <v>1</v>
      </c>
      <c r="DC121" s="6">
        <v>1</v>
      </c>
    </row>
    <row r="122" spans="1:107">
      <c r="A122" s="1" t="s">
        <v>523</v>
      </c>
      <c r="B122" s="6" t="s">
        <v>91</v>
      </c>
      <c r="C122" s="7"/>
      <c r="E122" s="6">
        <v>10</v>
      </c>
      <c r="G122" s="6" t="str">
        <f t="shared" si="6"/>
        <v>Intelligence 7</v>
      </c>
      <c r="CB122" s="6" t="s">
        <v>437</v>
      </c>
      <c r="CE122" s="6" t="s">
        <v>1043</v>
      </c>
      <c r="CV122" s="50" t="s">
        <v>1058</v>
      </c>
      <c r="CZ122" s="6" t="s">
        <v>93</v>
      </c>
      <c r="DA122" s="6">
        <v>1</v>
      </c>
      <c r="DB122" s="6">
        <v>1</v>
      </c>
      <c r="DC122" s="6">
        <v>1</v>
      </c>
    </row>
    <row r="123" spans="1:107">
      <c r="A123" s="1" t="s">
        <v>524</v>
      </c>
      <c r="B123" s="6" t="s">
        <v>91</v>
      </c>
      <c r="C123" s="7"/>
      <c r="E123" s="6">
        <v>11</v>
      </c>
      <c r="G123" s="6" t="str">
        <f t="shared" si="6"/>
        <v>Intelligence 7</v>
      </c>
      <c r="CB123" s="6" t="s">
        <v>437</v>
      </c>
      <c r="CE123" s="6" t="s">
        <v>1045</v>
      </c>
      <c r="CV123" s="50" t="s">
        <v>1059</v>
      </c>
      <c r="CZ123" s="6" t="s">
        <v>93</v>
      </c>
      <c r="DA123" s="6">
        <v>1</v>
      </c>
      <c r="DB123" s="6">
        <v>1</v>
      </c>
      <c r="DC123" s="6">
        <v>1</v>
      </c>
    </row>
    <row r="124" spans="1:107">
      <c r="A124" s="1" t="s">
        <v>525</v>
      </c>
      <c r="B124" s="6" t="s">
        <v>91</v>
      </c>
      <c r="C124" s="7"/>
      <c r="E124" s="6">
        <v>12</v>
      </c>
      <c r="G124" s="6" t="str">
        <f t="shared" si="6"/>
        <v>Intelligence 8</v>
      </c>
      <c r="CB124" s="6" t="s">
        <v>437</v>
      </c>
      <c r="CE124" s="6" t="s">
        <v>1044</v>
      </c>
      <c r="CV124" s="50" t="s">
        <v>1056</v>
      </c>
      <c r="CZ124" s="6" t="s">
        <v>93</v>
      </c>
      <c r="DA124" s="6">
        <v>1</v>
      </c>
      <c r="DB124" s="6">
        <v>1</v>
      </c>
      <c r="DC124" s="6">
        <v>1</v>
      </c>
    </row>
    <row r="125" spans="1:107">
      <c r="A125" s="6" t="s">
        <v>526</v>
      </c>
      <c r="B125" s="6" t="s">
        <v>91</v>
      </c>
      <c r="C125" s="7"/>
      <c r="E125" s="6">
        <v>13</v>
      </c>
      <c r="G125" s="6" t="str">
        <f t="shared" si="6"/>
        <v>Intelligence 8</v>
      </c>
      <c r="CB125" s="6" t="s">
        <v>437</v>
      </c>
      <c r="CV125" s="51" t="s">
        <v>398</v>
      </c>
      <c r="CZ125" s="6" t="s">
        <v>93</v>
      </c>
      <c r="DA125" s="6">
        <v>1</v>
      </c>
      <c r="DB125" s="6">
        <v>1</v>
      </c>
      <c r="DC125" s="6">
        <v>1</v>
      </c>
    </row>
    <row r="126" spans="1:107">
      <c r="A126" s="6" t="s">
        <v>527</v>
      </c>
      <c r="B126" s="6" t="s">
        <v>91</v>
      </c>
      <c r="C126" s="7"/>
      <c r="E126" s="6">
        <v>14</v>
      </c>
      <c r="G126" s="6" t="str">
        <f t="shared" si="6"/>
        <v>Intelligence 8</v>
      </c>
      <c r="CB126" s="6" t="s">
        <v>437</v>
      </c>
      <c r="CE126" s="6" t="s">
        <v>1042</v>
      </c>
      <c r="CV126" s="50" t="s">
        <v>1058</v>
      </c>
      <c r="CZ126" s="6" t="s">
        <v>93</v>
      </c>
      <c r="DA126" s="6">
        <v>1</v>
      </c>
      <c r="DB126" s="6">
        <v>1</v>
      </c>
      <c r="DC126" s="6">
        <v>1</v>
      </c>
    </row>
    <row r="127" spans="1:107">
      <c r="A127" s="6" t="s">
        <v>539</v>
      </c>
      <c r="B127" s="6" t="s">
        <v>91</v>
      </c>
      <c r="C127" s="7"/>
      <c r="E127" s="6">
        <v>15</v>
      </c>
      <c r="G127" s="6" t="str">
        <f t="shared" si="6"/>
        <v>Intelligence 8</v>
      </c>
      <c r="CB127" s="6" t="s">
        <v>437</v>
      </c>
      <c r="CE127" s="6" t="s">
        <v>1053</v>
      </c>
      <c r="CV127" s="50" t="s">
        <v>1059</v>
      </c>
      <c r="CZ127" s="6" t="s">
        <v>93</v>
      </c>
      <c r="DA127" s="6">
        <v>1</v>
      </c>
      <c r="DB127" s="6">
        <v>1</v>
      </c>
      <c r="DC127" s="6">
        <v>1</v>
      </c>
    </row>
    <row r="128" spans="1:107">
      <c r="A128" s="1" t="s">
        <v>873</v>
      </c>
      <c r="B128" s="6" t="s">
        <v>91</v>
      </c>
      <c r="C128" s="7"/>
      <c r="E128" s="6">
        <v>16</v>
      </c>
      <c r="G128" s="6" t="str">
        <f t="shared" si="6"/>
        <v>Intelligence 9</v>
      </c>
      <c r="CB128" s="6" t="s">
        <v>437</v>
      </c>
      <c r="CE128" s="6" t="s">
        <v>1042</v>
      </c>
      <c r="CV128" s="50" t="s">
        <v>1056</v>
      </c>
      <c r="CZ128" s="6" t="s">
        <v>93</v>
      </c>
      <c r="DA128" s="6">
        <v>1</v>
      </c>
      <c r="DB128" s="6">
        <v>1</v>
      </c>
      <c r="DC128" s="6">
        <v>1</v>
      </c>
    </row>
    <row r="129" spans="1:108">
      <c r="A129" s="1" t="s">
        <v>874</v>
      </c>
      <c r="B129" s="6" t="s">
        <v>91</v>
      </c>
      <c r="C129" s="7"/>
      <c r="E129" s="6">
        <v>17</v>
      </c>
      <c r="G129" s="6" t="str">
        <f t="shared" si="6"/>
        <v>Intelligence 9</v>
      </c>
      <c r="CB129" s="6" t="s">
        <v>437</v>
      </c>
      <c r="CE129" s="6" t="s">
        <v>1041</v>
      </c>
      <c r="CV129" s="1" t="s">
        <v>1057</v>
      </c>
      <c r="CZ129" s="6" t="s">
        <v>93</v>
      </c>
      <c r="DA129" s="6">
        <v>1</v>
      </c>
      <c r="DB129" s="6">
        <v>1</v>
      </c>
      <c r="DC129" s="6">
        <v>1</v>
      </c>
    </row>
    <row r="130" spans="1:108">
      <c r="A130" s="1" t="s">
        <v>875</v>
      </c>
      <c r="B130" s="6" t="s">
        <v>91</v>
      </c>
      <c r="C130" s="7"/>
      <c r="E130" s="6">
        <v>18</v>
      </c>
      <c r="G130" s="6" t="str">
        <f t="shared" si="6"/>
        <v>Intelligence 9</v>
      </c>
      <c r="CB130" s="6" t="s">
        <v>437</v>
      </c>
      <c r="CE130" s="6" t="s">
        <v>1045</v>
      </c>
      <c r="CV130" s="1" t="s">
        <v>1057</v>
      </c>
      <c r="CZ130" s="6" t="s">
        <v>93</v>
      </c>
      <c r="DA130" s="6">
        <v>1</v>
      </c>
      <c r="DB130" s="6">
        <v>1</v>
      </c>
      <c r="DC130" s="6">
        <v>1</v>
      </c>
    </row>
    <row r="131" spans="1:108">
      <c r="A131" s="1" t="s">
        <v>876</v>
      </c>
      <c r="B131" s="6" t="s">
        <v>91</v>
      </c>
      <c r="C131" s="7"/>
      <c r="E131" s="6">
        <v>19</v>
      </c>
      <c r="G131" s="6" t="str">
        <f t="shared" si="6"/>
        <v>Intelligence 9</v>
      </c>
      <c r="CB131" s="6" t="s">
        <v>437</v>
      </c>
      <c r="CE131" s="6" t="s">
        <v>1050</v>
      </c>
      <c r="CV131" s="1" t="s">
        <v>1057</v>
      </c>
      <c r="CZ131" s="6" t="s">
        <v>93</v>
      </c>
      <c r="DA131" s="6">
        <v>1</v>
      </c>
      <c r="DB131" s="6">
        <v>1</v>
      </c>
      <c r="DC131" s="6">
        <v>1</v>
      </c>
    </row>
    <row r="132" spans="1:108">
      <c r="A132" s="1" t="s">
        <v>877</v>
      </c>
      <c r="B132" s="6" t="s">
        <v>91</v>
      </c>
      <c r="C132" s="7"/>
      <c r="E132" s="6">
        <v>20</v>
      </c>
      <c r="G132" s="6" t="str">
        <f t="shared" si="6"/>
        <v>Intelligence 9</v>
      </c>
      <c r="CB132" s="6" t="s">
        <v>437</v>
      </c>
      <c r="CE132" s="6" t="s">
        <v>1046</v>
      </c>
      <c r="CV132" s="1" t="s">
        <v>1060</v>
      </c>
      <c r="CZ132" s="6" t="s">
        <v>93</v>
      </c>
      <c r="DA132" s="6">
        <v>1</v>
      </c>
      <c r="DB132" s="6">
        <v>1</v>
      </c>
      <c r="DC132" s="6">
        <v>1</v>
      </c>
    </row>
    <row r="133" spans="1:108" s="60" customFormat="1">
      <c r="A133" s="60" t="s">
        <v>432</v>
      </c>
      <c r="C133" s="60" t="s">
        <v>71</v>
      </c>
      <c r="D133" s="60">
        <v>1</v>
      </c>
      <c r="F133" s="60" t="s">
        <v>90</v>
      </c>
      <c r="H133" s="60">
        <v>0</v>
      </c>
      <c r="I133" s="60">
        <v>2</v>
      </c>
      <c r="J133" s="60">
        <v>6</v>
      </c>
      <c r="K133" s="60">
        <v>5.8</v>
      </c>
      <c r="L133" s="60">
        <v>200</v>
      </c>
      <c r="M133" s="60">
        <v>0</v>
      </c>
      <c r="N133" s="60">
        <v>0</v>
      </c>
      <c r="O133" s="60">
        <v>0</v>
      </c>
      <c r="P133" s="60">
        <v>0</v>
      </c>
      <c r="Q133" s="60">
        <v>0</v>
      </c>
      <c r="R133" s="60">
        <v>0</v>
      </c>
      <c r="S133" s="60">
        <v>0</v>
      </c>
      <c r="T133" s="60">
        <v>0</v>
      </c>
      <c r="U133" s="60">
        <v>0</v>
      </c>
      <c r="V133" s="60">
        <v>0</v>
      </c>
      <c r="W133" s="60">
        <v>0</v>
      </c>
      <c r="BX133" s="57"/>
      <c r="BY133" s="57"/>
      <c r="BZ133" s="57"/>
      <c r="CA133" s="75"/>
      <c r="CC133" s="60" t="s">
        <v>695</v>
      </c>
      <c r="CE133" s="60" t="s">
        <v>1042</v>
      </c>
      <c r="DD133" s="60">
        <v>0</v>
      </c>
    </row>
    <row r="134" spans="1:108" s="49" customFormat="1" ht="15">
      <c r="A134" s="49" t="s">
        <v>785</v>
      </c>
      <c r="B134" s="49" t="s">
        <v>432</v>
      </c>
      <c r="E134" s="49">
        <v>1</v>
      </c>
      <c r="K134" s="49">
        <v>1</v>
      </c>
      <c r="BX134" s="59"/>
      <c r="BY134" s="59"/>
      <c r="BZ134" s="59"/>
      <c r="CB134" s="49" t="s">
        <v>431</v>
      </c>
      <c r="CE134" s="49" t="s">
        <v>1041</v>
      </c>
      <c r="CV134" s="49" t="s">
        <v>786</v>
      </c>
    </row>
    <row r="135" spans="1:108">
      <c r="A135" s="26" t="s">
        <v>371</v>
      </c>
      <c r="B135" s="6" t="s">
        <v>432</v>
      </c>
      <c r="C135" s="7"/>
      <c r="E135" s="6">
        <v>7</v>
      </c>
      <c r="K135" s="6">
        <v>3</v>
      </c>
      <c r="BX135" s="48"/>
      <c r="BY135" s="48"/>
      <c r="BZ135" s="48"/>
      <c r="CA135" s="73"/>
      <c r="CB135" s="9" t="s">
        <v>431</v>
      </c>
      <c r="CE135" s="6" t="s">
        <v>1050</v>
      </c>
      <c r="CV135" s="26" t="s">
        <v>372</v>
      </c>
      <c r="CZ135" s="6" t="s">
        <v>431</v>
      </c>
      <c r="DA135" s="6">
        <v>1</v>
      </c>
      <c r="DB135" s="6">
        <v>1</v>
      </c>
      <c r="DC135" s="6">
        <v>1</v>
      </c>
    </row>
    <row r="136" spans="1:108">
      <c r="A136" s="26" t="s">
        <v>530</v>
      </c>
      <c r="B136" s="6" t="s">
        <v>432</v>
      </c>
      <c r="C136" s="7"/>
      <c r="E136" s="6">
        <v>8</v>
      </c>
      <c r="CB136" s="9" t="s">
        <v>431</v>
      </c>
      <c r="CE136" s="6" t="s">
        <v>1048</v>
      </c>
      <c r="CV136" s="26" t="s">
        <v>372</v>
      </c>
      <c r="CZ136" s="6" t="s">
        <v>431</v>
      </c>
      <c r="DA136" s="6">
        <v>1</v>
      </c>
      <c r="DB136" s="6">
        <v>1</v>
      </c>
      <c r="DC136" s="6">
        <v>1</v>
      </c>
    </row>
    <row r="137" spans="1:108">
      <c r="A137" s="26" t="s">
        <v>416</v>
      </c>
      <c r="B137" s="6" t="s">
        <v>432</v>
      </c>
      <c r="C137" s="7"/>
      <c r="E137" s="6">
        <v>9</v>
      </c>
      <c r="CB137" s="9" t="s">
        <v>431</v>
      </c>
      <c r="CE137" s="6" t="s">
        <v>1047</v>
      </c>
      <c r="CV137" s="26" t="s">
        <v>372</v>
      </c>
      <c r="CZ137" s="6" t="s">
        <v>431</v>
      </c>
      <c r="DA137" s="6">
        <v>1</v>
      </c>
      <c r="DB137" s="6">
        <v>1</v>
      </c>
      <c r="DC137" s="6">
        <v>1</v>
      </c>
    </row>
    <row r="138" spans="1:108">
      <c r="A138" s="26" t="s">
        <v>417</v>
      </c>
      <c r="B138" s="6" t="s">
        <v>432</v>
      </c>
      <c r="C138" s="7"/>
      <c r="E138" s="6">
        <v>10</v>
      </c>
      <c r="CB138" s="9" t="s">
        <v>431</v>
      </c>
      <c r="CE138" s="6" t="s">
        <v>1046</v>
      </c>
      <c r="CV138" s="26" t="s">
        <v>372</v>
      </c>
      <c r="CZ138" s="6" t="s">
        <v>431</v>
      </c>
      <c r="DA138" s="6">
        <v>1</v>
      </c>
      <c r="DB138" s="6">
        <v>1</v>
      </c>
      <c r="DC138" s="6">
        <v>1</v>
      </c>
    </row>
    <row r="139" spans="1:108">
      <c r="A139" s="26" t="s">
        <v>418</v>
      </c>
      <c r="B139" s="6" t="s">
        <v>432</v>
      </c>
      <c r="C139" s="7"/>
      <c r="E139" s="6">
        <v>11</v>
      </c>
      <c r="CB139" s="9" t="s">
        <v>431</v>
      </c>
      <c r="CE139" s="6" t="s">
        <v>1045</v>
      </c>
      <c r="CV139" s="26" t="s">
        <v>372</v>
      </c>
      <c r="CZ139" s="6" t="s">
        <v>431</v>
      </c>
      <c r="DA139" s="6">
        <v>1</v>
      </c>
      <c r="DB139" s="6">
        <v>1</v>
      </c>
      <c r="DC139" s="6">
        <v>1</v>
      </c>
    </row>
    <row r="140" spans="1:108">
      <c r="A140" s="26" t="s">
        <v>419</v>
      </c>
      <c r="B140" s="6" t="s">
        <v>432</v>
      </c>
      <c r="C140" s="7"/>
      <c r="E140" s="6">
        <v>12</v>
      </c>
      <c r="CB140" s="9" t="s">
        <v>431</v>
      </c>
      <c r="CE140" s="6" t="s">
        <v>1044</v>
      </c>
      <c r="CV140" s="26" t="s">
        <v>372</v>
      </c>
      <c r="CZ140" s="6" t="s">
        <v>431</v>
      </c>
      <c r="DA140" s="6">
        <v>1</v>
      </c>
      <c r="DB140" s="6">
        <v>1</v>
      </c>
      <c r="DC140" s="6">
        <v>1</v>
      </c>
    </row>
    <row r="141" spans="1:108">
      <c r="A141" s="26" t="s">
        <v>420</v>
      </c>
      <c r="B141" s="6" t="s">
        <v>432</v>
      </c>
      <c r="C141" s="7"/>
      <c r="E141" s="6">
        <v>13</v>
      </c>
      <c r="CB141" s="9" t="s">
        <v>431</v>
      </c>
      <c r="CE141" s="6" t="s">
        <v>1041</v>
      </c>
      <c r="CV141" s="26" t="s">
        <v>372</v>
      </c>
      <c r="CZ141" s="6" t="s">
        <v>431</v>
      </c>
      <c r="DA141" s="6">
        <v>1</v>
      </c>
      <c r="DB141" s="6">
        <v>1</v>
      </c>
      <c r="DC141" s="6">
        <v>1</v>
      </c>
    </row>
    <row r="142" spans="1:108">
      <c r="A142" s="26" t="s">
        <v>528</v>
      </c>
      <c r="B142" s="6" t="s">
        <v>432</v>
      </c>
      <c r="C142" s="7"/>
      <c r="E142" s="6">
        <v>14</v>
      </c>
      <c r="CB142" s="9" t="s">
        <v>431</v>
      </c>
      <c r="CE142" s="6" t="s">
        <v>1050</v>
      </c>
      <c r="CV142" s="26" t="s">
        <v>1055</v>
      </c>
      <c r="CZ142" s="6" t="s">
        <v>431</v>
      </c>
      <c r="DA142" s="6">
        <v>1</v>
      </c>
      <c r="DB142" s="6">
        <v>1</v>
      </c>
      <c r="DC142" s="6">
        <v>1</v>
      </c>
    </row>
    <row r="143" spans="1:108">
      <c r="A143" s="26" t="s">
        <v>529</v>
      </c>
      <c r="B143" s="6" t="s">
        <v>432</v>
      </c>
      <c r="C143" s="7"/>
      <c r="E143" s="6">
        <v>15</v>
      </c>
      <c r="CB143" s="9" t="s">
        <v>431</v>
      </c>
      <c r="CE143" s="6" t="s">
        <v>1048</v>
      </c>
      <c r="CV143" s="26" t="s">
        <v>1055</v>
      </c>
      <c r="CZ143" s="6" t="s">
        <v>431</v>
      </c>
      <c r="DA143" s="6">
        <v>1</v>
      </c>
      <c r="DB143" s="6">
        <v>1</v>
      </c>
      <c r="DC143" s="6">
        <v>1</v>
      </c>
    </row>
    <row r="144" spans="1:108">
      <c r="A144" s="26" t="s">
        <v>1023</v>
      </c>
      <c r="B144" s="6" t="s">
        <v>432</v>
      </c>
      <c r="C144" s="7"/>
      <c r="E144" s="6">
        <v>16</v>
      </c>
      <c r="CB144" s="9" t="s">
        <v>431</v>
      </c>
      <c r="CE144" s="6" t="s">
        <v>1047</v>
      </c>
      <c r="CV144" s="26" t="s">
        <v>1055</v>
      </c>
      <c r="CZ144" s="6" t="s">
        <v>431</v>
      </c>
      <c r="DA144" s="6">
        <v>1</v>
      </c>
      <c r="DB144" s="6">
        <v>1</v>
      </c>
      <c r="DC144" s="6">
        <v>1</v>
      </c>
    </row>
    <row r="145" spans="1:108">
      <c r="A145" s="26" t="s">
        <v>1024</v>
      </c>
      <c r="B145" s="6" t="s">
        <v>432</v>
      </c>
      <c r="C145" s="7"/>
      <c r="E145" s="6">
        <v>17</v>
      </c>
      <c r="CB145" s="9" t="s">
        <v>431</v>
      </c>
      <c r="CE145" s="6" t="s">
        <v>1046</v>
      </c>
      <c r="CV145" s="26" t="s">
        <v>1055</v>
      </c>
      <c r="CZ145" s="6" t="s">
        <v>431</v>
      </c>
      <c r="DA145" s="6">
        <v>1</v>
      </c>
      <c r="DB145" s="6">
        <v>1</v>
      </c>
      <c r="DC145" s="6">
        <v>1</v>
      </c>
    </row>
    <row r="146" spans="1:108">
      <c r="A146" s="26" t="s">
        <v>1025</v>
      </c>
      <c r="B146" s="6" t="s">
        <v>432</v>
      </c>
      <c r="C146" s="7"/>
      <c r="E146" s="6">
        <v>18</v>
      </c>
      <c r="CB146" s="9" t="s">
        <v>431</v>
      </c>
      <c r="CE146" s="6" t="s">
        <v>1045</v>
      </c>
      <c r="CV146" s="26" t="s">
        <v>1055</v>
      </c>
      <c r="CZ146" s="6" t="s">
        <v>431</v>
      </c>
      <c r="DA146" s="6">
        <v>1</v>
      </c>
      <c r="DB146" s="6">
        <v>1</v>
      </c>
      <c r="DC146" s="6">
        <v>1</v>
      </c>
    </row>
    <row r="147" spans="1:108">
      <c r="A147" s="26" t="s">
        <v>1026</v>
      </c>
      <c r="B147" s="6" t="s">
        <v>432</v>
      </c>
      <c r="C147" s="7"/>
      <c r="E147" s="6">
        <v>19</v>
      </c>
      <c r="CB147" s="9" t="s">
        <v>431</v>
      </c>
      <c r="CE147" s="6" t="s">
        <v>1044</v>
      </c>
      <c r="CV147" s="26" t="s">
        <v>1055</v>
      </c>
      <c r="CZ147" s="6" t="s">
        <v>431</v>
      </c>
      <c r="DA147" s="6">
        <v>1</v>
      </c>
      <c r="DB147" s="6">
        <v>1</v>
      </c>
      <c r="DC147" s="6">
        <v>1</v>
      </c>
    </row>
    <row r="148" spans="1:108">
      <c r="A148" s="26" t="s">
        <v>1027</v>
      </c>
      <c r="B148" s="6" t="s">
        <v>432</v>
      </c>
      <c r="C148" s="7"/>
      <c r="E148" s="6">
        <v>20</v>
      </c>
      <c r="CB148" s="9" t="s">
        <v>431</v>
      </c>
      <c r="CE148" s="6" t="s">
        <v>1041</v>
      </c>
      <c r="CV148" s="26" t="s">
        <v>1055</v>
      </c>
      <c r="CZ148" s="6" t="s">
        <v>431</v>
      </c>
      <c r="DA148" s="6">
        <v>1</v>
      </c>
      <c r="DB148" s="6">
        <v>1</v>
      </c>
      <c r="DC148" s="6">
        <v>1</v>
      </c>
    </row>
    <row r="149" spans="1:108" s="23" customFormat="1">
      <c r="A149" s="23" t="s">
        <v>94</v>
      </c>
      <c r="C149" s="23" t="s">
        <v>71</v>
      </c>
      <c r="D149" s="23">
        <v>1</v>
      </c>
      <c r="F149" s="23" t="s">
        <v>95</v>
      </c>
      <c r="H149" s="23">
        <v>2</v>
      </c>
      <c r="I149" s="23">
        <v>3</v>
      </c>
      <c r="J149" s="23">
        <v>7</v>
      </c>
      <c r="K149" s="23">
        <v>3.1</v>
      </c>
      <c r="L149" s="23">
        <v>300</v>
      </c>
      <c r="M149" s="23">
        <v>0</v>
      </c>
      <c r="N149" s="23">
        <v>0</v>
      </c>
      <c r="O149" s="23">
        <v>0</v>
      </c>
      <c r="P149" s="23">
        <v>0</v>
      </c>
      <c r="Q149" s="23">
        <v>0</v>
      </c>
      <c r="R149" s="23">
        <v>0</v>
      </c>
      <c r="S149" s="23">
        <v>0</v>
      </c>
      <c r="T149" s="23">
        <v>0</v>
      </c>
      <c r="U149" s="23">
        <v>0</v>
      </c>
      <c r="V149" s="23">
        <v>0</v>
      </c>
      <c r="W149" s="23">
        <v>0</v>
      </c>
      <c r="BX149" s="24"/>
      <c r="BY149" s="24"/>
      <c r="BZ149" s="24"/>
      <c r="CA149" s="24"/>
      <c r="CC149" s="23" t="s">
        <v>695</v>
      </c>
      <c r="CE149" s="23" t="s">
        <v>1049</v>
      </c>
      <c r="DD149" s="23">
        <v>0</v>
      </c>
    </row>
    <row r="150" spans="1:108" s="36" customFormat="1">
      <c r="A150" s="36" t="s">
        <v>739</v>
      </c>
      <c r="B150" s="6" t="s">
        <v>94</v>
      </c>
      <c r="E150" s="36">
        <v>1</v>
      </c>
      <c r="H150" s="36">
        <v>2</v>
      </c>
      <c r="K150" s="36">
        <v>3.1</v>
      </c>
      <c r="L150" s="36">
        <v>200</v>
      </c>
      <c r="BX150" s="18"/>
      <c r="BY150" s="18"/>
      <c r="BZ150" s="18"/>
      <c r="CA150" s="18"/>
      <c r="CB150" s="6" t="s">
        <v>260</v>
      </c>
      <c r="CD150" s="56"/>
      <c r="CV150" s="25" t="s">
        <v>377</v>
      </c>
    </row>
    <row r="151" spans="1:108" s="36" customFormat="1">
      <c r="A151" s="36" t="s">
        <v>740</v>
      </c>
      <c r="B151" s="6" t="s">
        <v>94</v>
      </c>
      <c r="E151" s="36">
        <v>1</v>
      </c>
      <c r="H151" s="36">
        <v>2</v>
      </c>
      <c r="K151" s="36">
        <v>3.2</v>
      </c>
      <c r="L151" s="36">
        <v>200</v>
      </c>
      <c r="BX151" s="18"/>
      <c r="BY151" s="18"/>
      <c r="BZ151" s="18"/>
      <c r="CA151" s="18"/>
      <c r="CB151" s="6" t="s">
        <v>260</v>
      </c>
      <c r="CD151" s="56"/>
      <c r="CV151" s="25" t="s">
        <v>377</v>
      </c>
    </row>
    <row r="152" spans="1:108" s="36" customFormat="1">
      <c r="A152" s="36" t="s">
        <v>741</v>
      </c>
      <c r="B152" s="6" t="s">
        <v>94</v>
      </c>
      <c r="E152" s="36">
        <v>1</v>
      </c>
      <c r="H152" s="36">
        <v>2</v>
      </c>
      <c r="K152" s="36">
        <v>3.1</v>
      </c>
      <c r="BX152" s="18"/>
      <c r="BY152" s="18"/>
      <c r="BZ152" s="18"/>
      <c r="CA152" s="18"/>
      <c r="CB152" s="6" t="s">
        <v>260</v>
      </c>
      <c r="CV152" s="25" t="s">
        <v>380</v>
      </c>
    </row>
    <row r="153" spans="1:108" s="36" customFormat="1">
      <c r="A153" s="36" t="s">
        <v>742</v>
      </c>
      <c r="B153" s="6" t="s">
        <v>94</v>
      </c>
      <c r="E153" s="36">
        <v>1</v>
      </c>
      <c r="H153" s="36">
        <v>2</v>
      </c>
      <c r="K153" s="36">
        <v>3.2</v>
      </c>
      <c r="BX153" s="18"/>
      <c r="BY153" s="18"/>
      <c r="BZ153" s="18"/>
      <c r="CA153" s="18"/>
      <c r="CB153" s="6" t="s">
        <v>260</v>
      </c>
      <c r="CV153" s="25" t="s">
        <v>380</v>
      </c>
    </row>
    <row r="154" spans="1:108" s="36" customFormat="1">
      <c r="A154" s="36" t="s">
        <v>743</v>
      </c>
      <c r="B154" s="6" t="s">
        <v>94</v>
      </c>
      <c r="E154" s="36">
        <v>1</v>
      </c>
      <c r="H154" s="36">
        <v>3</v>
      </c>
      <c r="K154" s="36">
        <v>3.3</v>
      </c>
      <c r="BX154" s="18"/>
      <c r="BY154" s="18"/>
      <c r="BZ154" s="18"/>
      <c r="CA154" s="18"/>
      <c r="CB154" s="6" t="s">
        <v>260</v>
      </c>
      <c r="CV154" s="25" t="s">
        <v>380</v>
      </c>
    </row>
    <row r="155" spans="1:108" s="36" customFormat="1">
      <c r="A155" s="36" t="s">
        <v>744</v>
      </c>
      <c r="B155" s="6" t="s">
        <v>94</v>
      </c>
      <c r="E155" s="36">
        <v>1</v>
      </c>
      <c r="G155" s="1" t="s">
        <v>1203</v>
      </c>
      <c r="H155" s="36">
        <v>4</v>
      </c>
      <c r="I155" s="36">
        <v>4</v>
      </c>
      <c r="K155" s="36">
        <v>4.0999999999999996</v>
      </c>
      <c r="L155" s="36">
        <v>800</v>
      </c>
      <c r="BX155" s="18"/>
      <c r="BY155" s="18"/>
      <c r="BZ155" s="18"/>
      <c r="CA155" s="18"/>
      <c r="CB155" s="6" t="s">
        <v>260</v>
      </c>
      <c r="CV155" s="25" t="s">
        <v>381</v>
      </c>
    </row>
    <row r="156" spans="1:108" s="36" customFormat="1">
      <c r="A156" s="36" t="s">
        <v>745</v>
      </c>
      <c r="B156" s="6" t="s">
        <v>94</v>
      </c>
      <c r="E156" s="36">
        <v>1</v>
      </c>
      <c r="G156" s="1" t="s">
        <v>1203</v>
      </c>
      <c r="H156" s="36">
        <v>4</v>
      </c>
      <c r="I156" s="36">
        <v>4</v>
      </c>
      <c r="K156" s="36">
        <v>4.0999999999999996</v>
      </c>
      <c r="L156" s="36">
        <v>800</v>
      </c>
      <c r="BX156" s="18"/>
      <c r="BY156" s="18"/>
      <c r="BZ156" s="18"/>
      <c r="CA156" s="18"/>
      <c r="CB156" s="6" t="s">
        <v>260</v>
      </c>
      <c r="CV156" s="25" t="s">
        <v>381</v>
      </c>
    </row>
    <row r="157" spans="1:108" s="52" customFormat="1">
      <c r="A157" s="52" t="s">
        <v>746</v>
      </c>
      <c r="B157" s="46" t="s">
        <v>94</v>
      </c>
      <c r="E157" s="52">
        <v>1</v>
      </c>
      <c r="G157" s="1" t="s">
        <v>1203</v>
      </c>
      <c r="H157" s="52">
        <v>4</v>
      </c>
      <c r="I157" s="52">
        <v>4</v>
      </c>
      <c r="K157" s="52">
        <v>4.2</v>
      </c>
      <c r="L157" s="52">
        <v>800</v>
      </c>
      <c r="BX157" s="58"/>
      <c r="BY157" s="58"/>
      <c r="BZ157" s="58"/>
      <c r="CA157" s="74"/>
      <c r="CB157" s="46" t="s">
        <v>260</v>
      </c>
      <c r="CV157" s="47" t="s">
        <v>381</v>
      </c>
    </row>
    <row r="158" spans="1:108" s="33" customFormat="1" ht="15">
      <c r="A158" s="33" t="s">
        <v>1116</v>
      </c>
      <c r="B158" s="33" t="s">
        <v>94</v>
      </c>
      <c r="E158" s="33">
        <v>16</v>
      </c>
      <c r="G158" s="33" t="s">
        <v>1121</v>
      </c>
      <c r="H158" s="33">
        <v>3</v>
      </c>
      <c r="K158" s="33">
        <v>6</v>
      </c>
      <c r="L158" s="33">
        <v>200</v>
      </c>
      <c r="AB158" s="33">
        <v>2</v>
      </c>
      <c r="AZ158" s="33">
        <v>1</v>
      </c>
      <c r="BN158" s="33">
        <v>8</v>
      </c>
      <c r="BX158" s="64"/>
      <c r="BY158" s="64"/>
      <c r="BZ158" s="18" t="s">
        <v>633</v>
      </c>
      <c r="CA158" s="18"/>
      <c r="CB158" s="33" t="s">
        <v>260</v>
      </c>
      <c r="DD158" s="33">
        <v>1</v>
      </c>
    </row>
    <row r="159" spans="1:108">
      <c r="A159" s="6" t="s">
        <v>96</v>
      </c>
      <c r="B159" s="6" t="s">
        <v>94</v>
      </c>
      <c r="C159" s="7"/>
      <c r="E159" s="6">
        <v>1</v>
      </c>
      <c r="I159" s="67">
        <v>2</v>
      </c>
      <c r="K159" s="67">
        <v>3</v>
      </c>
      <c r="L159" s="6">
        <v>200</v>
      </c>
      <c r="BX159" s="48"/>
      <c r="BY159" s="48"/>
      <c r="BZ159" s="48"/>
      <c r="CA159" s="73"/>
      <c r="CB159" s="6" t="s">
        <v>260</v>
      </c>
      <c r="CE159" s="6" t="s">
        <v>1042</v>
      </c>
      <c r="CV159" s="6" t="s">
        <v>97</v>
      </c>
    </row>
    <row r="160" spans="1:108">
      <c r="A160" s="26" t="s">
        <v>882</v>
      </c>
      <c r="B160" s="6" t="s">
        <v>94</v>
      </c>
      <c r="C160" s="7"/>
      <c r="E160" s="6">
        <v>2</v>
      </c>
      <c r="L160" s="6">
        <v>200</v>
      </c>
      <c r="CB160" s="6" t="s">
        <v>260</v>
      </c>
      <c r="CD160" s="1" t="s">
        <v>821</v>
      </c>
      <c r="CV160" s="25" t="s">
        <v>378</v>
      </c>
      <c r="CW160" s="2"/>
      <c r="CX160" s="2"/>
      <c r="CY160" s="2"/>
      <c r="CZ160" s="6" t="s">
        <v>98</v>
      </c>
      <c r="DA160" s="6">
        <v>1</v>
      </c>
      <c r="DB160" s="6">
        <v>1</v>
      </c>
      <c r="DC160" s="6">
        <v>1</v>
      </c>
    </row>
    <row r="161" spans="1:107">
      <c r="A161" s="27" t="s">
        <v>346</v>
      </c>
      <c r="B161" s="6" t="s">
        <v>94</v>
      </c>
      <c r="C161" s="7"/>
      <c r="E161" s="6">
        <v>3</v>
      </c>
      <c r="L161" s="6">
        <v>200</v>
      </c>
      <c r="CB161" s="6" t="s">
        <v>260</v>
      </c>
      <c r="CD161" s="1" t="s">
        <v>821</v>
      </c>
      <c r="CV161" s="25" t="s">
        <v>377</v>
      </c>
      <c r="CW161" s="2"/>
      <c r="CX161" s="2"/>
      <c r="CY161" s="2"/>
      <c r="CZ161" s="6" t="s">
        <v>98</v>
      </c>
      <c r="DA161" s="6">
        <v>1</v>
      </c>
      <c r="DB161" s="6">
        <v>1</v>
      </c>
      <c r="DC161" s="6">
        <v>1</v>
      </c>
    </row>
    <row r="162" spans="1:107">
      <c r="A162" s="27" t="s">
        <v>350</v>
      </c>
      <c r="B162" s="6" t="s">
        <v>94</v>
      </c>
      <c r="E162" s="6">
        <v>4</v>
      </c>
      <c r="L162" s="6">
        <v>200</v>
      </c>
      <c r="CB162" s="6" t="s">
        <v>260</v>
      </c>
      <c r="CD162" s="1" t="s">
        <v>821</v>
      </c>
      <c r="CV162" s="25" t="s">
        <v>377</v>
      </c>
      <c r="CZ162" s="6" t="s">
        <v>98</v>
      </c>
      <c r="DA162" s="6">
        <v>1</v>
      </c>
      <c r="DB162" s="6">
        <v>1</v>
      </c>
      <c r="DC162" s="6">
        <v>1</v>
      </c>
    </row>
    <row r="163" spans="1:107">
      <c r="A163" s="27" t="s">
        <v>881</v>
      </c>
      <c r="B163" s="6" t="s">
        <v>94</v>
      </c>
      <c r="E163" s="6">
        <v>5</v>
      </c>
      <c r="L163" s="6">
        <v>200</v>
      </c>
      <c r="CB163" s="6" t="s">
        <v>260</v>
      </c>
      <c r="CD163" s="1" t="s">
        <v>821</v>
      </c>
      <c r="CV163" s="25" t="s">
        <v>377</v>
      </c>
      <c r="CZ163" s="6" t="s">
        <v>98</v>
      </c>
      <c r="DA163" s="6">
        <v>1</v>
      </c>
      <c r="DB163" s="6">
        <v>1</v>
      </c>
      <c r="DC163" s="6">
        <v>1</v>
      </c>
    </row>
    <row r="164" spans="1:107">
      <c r="A164" s="26" t="s">
        <v>352</v>
      </c>
      <c r="B164" s="6" t="s">
        <v>94</v>
      </c>
      <c r="C164" s="7"/>
      <c r="E164" s="6">
        <v>6</v>
      </c>
      <c r="CB164" s="6" t="s">
        <v>260</v>
      </c>
      <c r="CD164" s="1" t="s">
        <v>821</v>
      </c>
      <c r="CV164" s="25" t="s">
        <v>379</v>
      </c>
      <c r="CW164" s="2"/>
      <c r="CX164" s="2"/>
      <c r="CY164" s="2"/>
      <c r="CZ164" s="6" t="s">
        <v>98</v>
      </c>
      <c r="DA164" s="6">
        <v>1</v>
      </c>
      <c r="DB164" s="6">
        <v>1</v>
      </c>
      <c r="DC164" s="6">
        <v>1</v>
      </c>
    </row>
    <row r="165" spans="1:107">
      <c r="A165" s="26" t="s">
        <v>355</v>
      </c>
      <c r="B165" s="6" t="s">
        <v>94</v>
      </c>
      <c r="C165" s="7"/>
      <c r="E165" s="6">
        <v>7</v>
      </c>
      <c r="CB165" s="6" t="s">
        <v>260</v>
      </c>
      <c r="CD165" s="1" t="s">
        <v>821</v>
      </c>
      <c r="CV165" s="25" t="s">
        <v>379</v>
      </c>
      <c r="CZ165" s="6" t="s">
        <v>98</v>
      </c>
      <c r="DA165" s="6">
        <v>1</v>
      </c>
      <c r="DB165" s="6">
        <v>1</v>
      </c>
      <c r="DC165" s="6">
        <v>1</v>
      </c>
    </row>
    <row r="166" spans="1:107">
      <c r="A166" s="1" t="s">
        <v>99</v>
      </c>
      <c r="B166" s="6" t="s">
        <v>94</v>
      </c>
      <c r="C166" s="7"/>
      <c r="E166" s="6">
        <v>8</v>
      </c>
      <c r="CB166" s="6" t="s">
        <v>260</v>
      </c>
      <c r="CD166" s="1" t="s">
        <v>821</v>
      </c>
      <c r="CV166" s="25" t="s">
        <v>380</v>
      </c>
      <c r="CW166" s="2"/>
      <c r="CX166" s="2"/>
      <c r="CY166" s="2"/>
      <c r="CZ166" s="6" t="s">
        <v>98</v>
      </c>
      <c r="DA166" s="6">
        <v>1</v>
      </c>
      <c r="DB166" s="6">
        <v>1</v>
      </c>
      <c r="DC166" s="6">
        <v>1</v>
      </c>
    </row>
    <row r="167" spans="1:107">
      <c r="A167" s="6" t="s">
        <v>531</v>
      </c>
      <c r="B167" s="6" t="s">
        <v>94</v>
      </c>
      <c r="C167" s="7"/>
      <c r="E167" s="6">
        <v>9</v>
      </c>
      <c r="CB167" s="6" t="s">
        <v>260</v>
      </c>
      <c r="CD167" s="1" t="s">
        <v>821</v>
      </c>
      <c r="CV167" s="25" t="s">
        <v>380</v>
      </c>
      <c r="CW167" s="2"/>
      <c r="CX167" s="2"/>
      <c r="CY167" s="2"/>
      <c r="CZ167" s="6" t="s">
        <v>98</v>
      </c>
      <c r="DA167" s="6">
        <v>1</v>
      </c>
      <c r="DB167" s="6">
        <v>1</v>
      </c>
      <c r="DC167" s="6">
        <v>1</v>
      </c>
    </row>
    <row r="168" spans="1:107">
      <c r="A168" s="1" t="s">
        <v>1005</v>
      </c>
      <c r="B168" s="6" t="s">
        <v>94</v>
      </c>
      <c r="C168" s="7"/>
      <c r="E168" s="6">
        <v>10</v>
      </c>
      <c r="CB168" s="6" t="s">
        <v>260</v>
      </c>
      <c r="CD168" s="1" t="s">
        <v>821</v>
      </c>
      <c r="CV168" s="25" t="s">
        <v>380</v>
      </c>
      <c r="CW168" s="2"/>
      <c r="CX168" s="2"/>
      <c r="CY168" s="2"/>
      <c r="CZ168" s="6" t="s">
        <v>98</v>
      </c>
      <c r="DA168" s="6">
        <v>1</v>
      </c>
      <c r="DB168" s="6">
        <v>1</v>
      </c>
      <c r="DC168" s="6">
        <v>1</v>
      </c>
    </row>
    <row r="169" spans="1:107">
      <c r="A169" s="1" t="s">
        <v>1006</v>
      </c>
      <c r="B169" s="6" t="s">
        <v>94</v>
      </c>
      <c r="C169" s="7"/>
      <c r="E169" s="6">
        <v>11</v>
      </c>
      <c r="CB169" s="6" t="s">
        <v>260</v>
      </c>
      <c r="CD169" s="1" t="s">
        <v>821</v>
      </c>
      <c r="CV169" s="25" t="s">
        <v>380</v>
      </c>
      <c r="CW169" s="2"/>
      <c r="CX169" s="2"/>
      <c r="CY169" s="2"/>
      <c r="CZ169" s="6" t="s">
        <v>98</v>
      </c>
      <c r="DA169" s="6">
        <v>1</v>
      </c>
      <c r="DB169" s="6">
        <v>1</v>
      </c>
      <c r="DC169" s="6">
        <v>1</v>
      </c>
    </row>
    <row r="170" spans="1:107">
      <c r="A170" s="1" t="s">
        <v>1007</v>
      </c>
      <c r="B170" s="6" t="s">
        <v>94</v>
      </c>
      <c r="C170" s="7"/>
      <c r="E170" s="6">
        <v>12</v>
      </c>
      <c r="CB170" s="6" t="s">
        <v>260</v>
      </c>
      <c r="CD170" s="1" t="s">
        <v>821</v>
      </c>
      <c r="CV170" s="25" t="s">
        <v>380</v>
      </c>
      <c r="CW170" s="2"/>
      <c r="CX170" s="2"/>
      <c r="CY170" s="2"/>
      <c r="CZ170" s="6" t="s">
        <v>98</v>
      </c>
      <c r="DA170" s="6">
        <v>1</v>
      </c>
      <c r="DB170" s="6">
        <v>1</v>
      </c>
      <c r="DC170" s="6">
        <v>1</v>
      </c>
    </row>
    <row r="171" spans="1:107">
      <c r="A171" s="1" t="s">
        <v>1008</v>
      </c>
      <c r="B171" s="6" t="s">
        <v>94</v>
      </c>
      <c r="C171" s="7"/>
      <c r="E171" s="6">
        <v>13</v>
      </c>
      <c r="CB171" s="6" t="s">
        <v>260</v>
      </c>
      <c r="CD171" s="1" t="s">
        <v>821</v>
      </c>
      <c r="CV171" s="25" t="s">
        <v>380</v>
      </c>
      <c r="CW171" s="2"/>
      <c r="CX171" s="2"/>
      <c r="CY171" s="2"/>
      <c r="CZ171" s="6" t="s">
        <v>98</v>
      </c>
      <c r="DA171" s="6">
        <v>1</v>
      </c>
      <c r="DB171" s="6">
        <v>1</v>
      </c>
      <c r="DC171" s="6">
        <v>1</v>
      </c>
    </row>
    <row r="172" spans="1:107">
      <c r="A172" s="26" t="s">
        <v>1051</v>
      </c>
      <c r="B172" s="6" t="s">
        <v>94</v>
      </c>
      <c r="C172" s="7"/>
      <c r="E172" s="6">
        <v>11</v>
      </c>
      <c r="H172" s="6">
        <v>1</v>
      </c>
      <c r="I172" s="6">
        <v>4</v>
      </c>
      <c r="K172" s="6">
        <v>3</v>
      </c>
      <c r="BZ172" s="18" t="s">
        <v>1054</v>
      </c>
      <c r="CB172" s="6" t="s">
        <v>260</v>
      </c>
      <c r="CD172" s="1" t="s">
        <v>821</v>
      </c>
      <c r="CE172" s="6" t="s">
        <v>1042</v>
      </c>
      <c r="CV172" s="25" t="s">
        <v>378</v>
      </c>
      <c r="CW172" s="2"/>
      <c r="CX172" s="2"/>
      <c r="CY172" s="2"/>
    </row>
    <row r="173" spans="1:107">
      <c r="A173" s="1" t="s">
        <v>1009</v>
      </c>
      <c r="B173" s="6" t="s">
        <v>94</v>
      </c>
      <c r="C173" s="7"/>
      <c r="E173" s="6">
        <v>14</v>
      </c>
      <c r="CB173" s="6" t="s">
        <v>260</v>
      </c>
      <c r="CD173" s="1" t="s">
        <v>821</v>
      </c>
      <c r="CV173" s="25" t="s">
        <v>380</v>
      </c>
      <c r="CW173" s="2"/>
      <c r="CX173" s="2"/>
      <c r="CY173" s="2"/>
      <c r="CZ173" s="6" t="s">
        <v>98</v>
      </c>
      <c r="DA173" s="6">
        <v>1</v>
      </c>
      <c r="DB173" s="6">
        <v>1</v>
      </c>
      <c r="DC173" s="6">
        <v>1</v>
      </c>
    </row>
    <row r="174" spans="1:107">
      <c r="A174" s="1" t="s">
        <v>1010</v>
      </c>
      <c r="B174" s="6" t="s">
        <v>94</v>
      </c>
      <c r="C174" s="7"/>
      <c r="E174" s="6">
        <v>15</v>
      </c>
      <c r="CB174" s="6" t="s">
        <v>260</v>
      </c>
      <c r="CD174" s="1" t="s">
        <v>821</v>
      </c>
      <c r="CV174" s="25" t="s">
        <v>380</v>
      </c>
      <c r="CW174" s="2"/>
      <c r="CX174" s="2"/>
      <c r="CY174" s="2"/>
      <c r="CZ174" s="6" t="s">
        <v>98</v>
      </c>
      <c r="DA174" s="6">
        <v>1</v>
      </c>
      <c r="DB174" s="6">
        <v>1</v>
      </c>
      <c r="DC174" s="6">
        <v>1</v>
      </c>
    </row>
    <row r="175" spans="1:107">
      <c r="A175" s="1" t="s">
        <v>1011</v>
      </c>
      <c r="B175" s="6" t="s">
        <v>94</v>
      </c>
      <c r="C175" s="7"/>
      <c r="E175" s="6">
        <v>16</v>
      </c>
      <c r="CB175" s="6" t="s">
        <v>260</v>
      </c>
      <c r="CD175" s="1" t="s">
        <v>821</v>
      </c>
      <c r="CV175" s="25" t="s">
        <v>380</v>
      </c>
      <c r="CW175" s="2"/>
      <c r="CX175" s="2"/>
      <c r="CY175" s="2"/>
      <c r="CZ175" s="6" t="s">
        <v>98</v>
      </c>
      <c r="DA175" s="6">
        <v>1</v>
      </c>
      <c r="DB175" s="6">
        <v>1</v>
      </c>
      <c r="DC175" s="6">
        <v>1</v>
      </c>
    </row>
    <row r="176" spans="1:107">
      <c r="A176" s="1" t="s">
        <v>1012</v>
      </c>
      <c r="B176" s="6" t="s">
        <v>94</v>
      </c>
      <c r="C176" s="7"/>
      <c r="E176" s="6">
        <v>17</v>
      </c>
      <c r="CB176" s="6" t="s">
        <v>260</v>
      </c>
      <c r="CD176" s="1" t="s">
        <v>821</v>
      </c>
      <c r="CV176" s="25" t="s">
        <v>380</v>
      </c>
      <c r="CW176" s="2"/>
      <c r="CX176" s="2"/>
      <c r="CY176" s="2"/>
      <c r="CZ176" s="6" t="s">
        <v>98</v>
      </c>
      <c r="DA176" s="6">
        <v>1</v>
      </c>
      <c r="DB176" s="6">
        <v>1</v>
      </c>
      <c r="DC176" s="6">
        <v>1</v>
      </c>
    </row>
    <row r="177" spans="1:108">
      <c r="A177" s="1" t="s">
        <v>1013</v>
      </c>
      <c r="B177" s="6" t="s">
        <v>94</v>
      </c>
      <c r="C177" s="7"/>
      <c r="E177" s="6">
        <v>18</v>
      </c>
      <c r="CB177" s="6" t="s">
        <v>260</v>
      </c>
      <c r="CD177" s="1" t="s">
        <v>821</v>
      </c>
      <c r="CV177" s="25" t="s">
        <v>380</v>
      </c>
      <c r="CW177" s="2"/>
      <c r="CX177" s="2"/>
      <c r="CY177" s="2"/>
      <c r="CZ177" s="6" t="s">
        <v>98</v>
      </c>
      <c r="DA177" s="6">
        <v>1</v>
      </c>
      <c r="DB177" s="6">
        <v>1</v>
      </c>
      <c r="DC177" s="6">
        <v>1</v>
      </c>
    </row>
    <row r="178" spans="1:108">
      <c r="A178" s="1" t="s">
        <v>1014</v>
      </c>
      <c r="B178" s="6" t="s">
        <v>94</v>
      </c>
      <c r="C178" s="7"/>
      <c r="E178" s="6">
        <v>19</v>
      </c>
      <c r="CB178" s="6" t="s">
        <v>260</v>
      </c>
      <c r="CD178" s="1" t="s">
        <v>821</v>
      </c>
      <c r="CV178" s="25" t="s">
        <v>380</v>
      </c>
      <c r="CW178" s="2"/>
      <c r="CX178" s="2"/>
      <c r="CY178" s="2"/>
      <c r="CZ178" s="6" t="s">
        <v>98</v>
      </c>
      <c r="DA178" s="6">
        <v>1</v>
      </c>
      <c r="DB178" s="6">
        <v>1</v>
      </c>
      <c r="DC178" s="6">
        <v>1</v>
      </c>
    </row>
    <row r="179" spans="1:108">
      <c r="A179" s="1" t="s">
        <v>1015</v>
      </c>
      <c r="B179" s="6" t="s">
        <v>94</v>
      </c>
      <c r="C179" s="7"/>
      <c r="E179" s="6">
        <v>20</v>
      </c>
      <c r="CB179" s="6" t="s">
        <v>260</v>
      </c>
      <c r="CD179" s="1" t="s">
        <v>821</v>
      </c>
      <c r="CV179" s="25" t="s">
        <v>380</v>
      </c>
      <c r="CW179" s="2"/>
      <c r="CX179" s="2"/>
      <c r="CY179" s="2"/>
      <c r="CZ179" s="6" t="s">
        <v>98</v>
      </c>
      <c r="DA179" s="6">
        <v>1</v>
      </c>
      <c r="DB179" s="6">
        <v>1</v>
      </c>
      <c r="DC179" s="6">
        <v>1</v>
      </c>
    </row>
    <row r="180" spans="1:108">
      <c r="A180" s="6" t="s">
        <v>100</v>
      </c>
      <c r="B180" s="6" t="s">
        <v>94</v>
      </c>
      <c r="C180" s="7"/>
      <c r="E180" s="6">
        <v>10</v>
      </c>
      <c r="G180" s="6" t="str">
        <f>CONCATENATE("Strength ",MIN(MAX(ROUND(SQRT((5)*(E180/1.4))+1,0),5),15))</f>
        <v>Strength 7</v>
      </c>
      <c r="H180" s="6">
        <v>3</v>
      </c>
      <c r="I180" s="6">
        <v>4</v>
      </c>
      <c r="K180" s="6">
        <v>4.0999999999999996</v>
      </c>
      <c r="L180" s="6">
        <v>500</v>
      </c>
      <c r="CB180" s="6" t="s">
        <v>260</v>
      </c>
      <c r="CD180" s="1" t="s">
        <v>820</v>
      </c>
      <c r="CV180" s="25" t="s">
        <v>381</v>
      </c>
      <c r="CW180" s="2"/>
      <c r="CX180" s="2"/>
      <c r="CY180" s="2"/>
      <c r="CZ180" s="6" t="s">
        <v>98</v>
      </c>
      <c r="DA180" s="6">
        <v>1</v>
      </c>
      <c r="DB180" s="6">
        <v>1</v>
      </c>
      <c r="DC180" s="6">
        <v>1</v>
      </c>
    </row>
    <row r="181" spans="1:108">
      <c r="A181" s="6" t="s">
        <v>533</v>
      </c>
      <c r="B181" s="6" t="s">
        <v>94</v>
      </c>
      <c r="C181" s="7"/>
      <c r="E181" s="6">
        <v>11</v>
      </c>
      <c r="G181" s="6" t="str">
        <f t="shared" ref="G181:G190" si="7">CONCATENATE("Strength ",MIN(MAX(ROUND(SQRT((5)*(E181/1.4))+1,0),5),15))</f>
        <v>Strength 7</v>
      </c>
      <c r="H181" s="6">
        <v>3</v>
      </c>
      <c r="I181" s="6">
        <v>4</v>
      </c>
      <c r="K181" s="6">
        <v>4.0999999999999996</v>
      </c>
      <c r="L181" s="6">
        <v>500</v>
      </c>
      <c r="CB181" s="6" t="s">
        <v>260</v>
      </c>
      <c r="CD181" s="1" t="s">
        <v>820</v>
      </c>
      <c r="CV181" s="25" t="s">
        <v>381</v>
      </c>
      <c r="CW181" s="2"/>
      <c r="CX181" s="2"/>
      <c r="CY181" s="2"/>
      <c r="CZ181" s="6" t="s">
        <v>98</v>
      </c>
      <c r="DA181" s="6">
        <v>1</v>
      </c>
      <c r="DB181" s="6">
        <v>1</v>
      </c>
      <c r="DC181" s="6">
        <v>1</v>
      </c>
    </row>
    <row r="182" spans="1:108">
      <c r="A182" s="1" t="s">
        <v>879</v>
      </c>
      <c r="B182" s="6" t="s">
        <v>94</v>
      </c>
      <c r="C182" s="7"/>
      <c r="E182" s="6">
        <v>12</v>
      </c>
      <c r="G182" s="6" t="str">
        <f t="shared" si="7"/>
        <v>Strength 8</v>
      </c>
      <c r="H182" s="6">
        <v>3</v>
      </c>
      <c r="I182" s="6">
        <v>4</v>
      </c>
      <c r="K182" s="6">
        <v>4.0999999999999996</v>
      </c>
      <c r="L182" s="6">
        <v>500</v>
      </c>
      <c r="CB182" s="6" t="s">
        <v>260</v>
      </c>
      <c r="CD182" s="1" t="s">
        <v>820</v>
      </c>
      <c r="CV182" s="25" t="s">
        <v>381</v>
      </c>
      <c r="CW182" s="2"/>
      <c r="CX182" s="2"/>
      <c r="CY182" s="2"/>
      <c r="CZ182" s="6" t="s">
        <v>98</v>
      </c>
      <c r="DA182" s="6">
        <v>1</v>
      </c>
      <c r="DB182" s="6">
        <v>1</v>
      </c>
      <c r="DC182" s="6">
        <v>1</v>
      </c>
    </row>
    <row r="183" spans="1:108">
      <c r="A183" s="1" t="s">
        <v>880</v>
      </c>
      <c r="B183" s="6" t="s">
        <v>94</v>
      </c>
      <c r="C183" s="7"/>
      <c r="E183" s="6">
        <v>13</v>
      </c>
      <c r="G183" s="6" t="str">
        <f t="shared" si="7"/>
        <v>Strength 8</v>
      </c>
      <c r="H183" s="6">
        <v>3</v>
      </c>
      <c r="I183" s="6">
        <v>4</v>
      </c>
      <c r="K183" s="6">
        <v>4.0999999999999996</v>
      </c>
      <c r="L183" s="6">
        <v>500</v>
      </c>
      <c r="CB183" s="6" t="s">
        <v>260</v>
      </c>
      <c r="CD183" s="1" t="s">
        <v>820</v>
      </c>
      <c r="CV183" s="25" t="s">
        <v>381</v>
      </c>
      <c r="CW183" s="2"/>
      <c r="CX183" s="2"/>
      <c r="CY183" s="2"/>
      <c r="CZ183" s="6" t="s">
        <v>98</v>
      </c>
      <c r="DA183" s="6">
        <v>1</v>
      </c>
      <c r="DB183" s="6">
        <v>1</v>
      </c>
      <c r="DC183" s="6">
        <v>1</v>
      </c>
    </row>
    <row r="184" spans="1:108">
      <c r="A184" s="26" t="s">
        <v>356</v>
      </c>
      <c r="B184" s="6" t="s">
        <v>94</v>
      </c>
      <c r="C184" s="7"/>
      <c r="E184" s="6">
        <v>14</v>
      </c>
      <c r="G184" s="6" t="str">
        <f t="shared" si="7"/>
        <v>Strength 8</v>
      </c>
      <c r="H184" s="6">
        <v>3</v>
      </c>
      <c r="I184" s="6">
        <v>4</v>
      </c>
      <c r="K184" s="6">
        <v>4.0999999999999996</v>
      </c>
      <c r="L184" s="6">
        <v>800</v>
      </c>
      <c r="CB184" s="6" t="s">
        <v>260</v>
      </c>
      <c r="CD184" s="1" t="s">
        <v>820</v>
      </c>
      <c r="CV184" s="25" t="s">
        <v>381</v>
      </c>
      <c r="CW184" s="2"/>
      <c r="CX184" s="2"/>
      <c r="CY184" s="2"/>
      <c r="CZ184" s="6" t="s">
        <v>98</v>
      </c>
      <c r="DA184" s="6">
        <v>1</v>
      </c>
      <c r="DB184" s="6">
        <v>1</v>
      </c>
      <c r="DC184" s="6">
        <v>1</v>
      </c>
    </row>
    <row r="185" spans="1:108">
      <c r="A185" s="26" t="s">
        <v>360</v>
      </c>
      <c r="B185" s="6" t="s">
        <v>94</v>
      </c>
      <c r="C185" s="7"/>
      <c r="E185" s="6">
        <v>15</v>
      </c>
      <c r="G185" s="6" t="str">
        <f t="shared" si="7"/>
        <v>Strength 8</v>
      </c>
      <c r="H185" s="6">
        <v>3</v>
      </c>
      <c r="I185" s="6">
        <v>4</v>
      </c>
      <c r="K185" s="6">
        <v>4.0999999999999996</v>
      </c>
      <c r="L185" s="6">
        <v>800</v>
      </c>
      <c r="CB185" s="6" t="s">
        <v>260</v>
      </c>
      <c r="CD185" s="1" t="s">
        <v>820</v>
      </c>
      <c r="CV185" s="25" t="s">
        <v>381</v>
      </c>
      <c r="CW185" s="2"/>
      <c r="CX185" s="2"/>
      <c r="CY185" s="2"/>
      <c r="CZ185" s="6" t="s">
        <v>98</v>
      </c>
      <c r="DA185" s="6">
        <v>1</v>
      </c>
      <c r="DB185" s="6">
        <v>1</v>
      </c>
      <c r="DC185" s="6">
        <v>1</v>
      </c>
    </row>
    <row r="186" spans="1:108">
      <c r="A186" s="26" t="s">
        <v>532</v>
      </c>
      <c r="B186" s="6" t="s">
        <v>94</v>
      </c>
      <c r="C186" s="7"/>
      <c r="E186" s="6">
        <v>16</v>
      </c>
      <c r="G186" s="6" t="str">
        <f t="shared" si="7"/>
        <v>Strength 9</v>
      </c>
      <c r="H186" s="6">
        <v>3</v>
      </c>
      <c r="I186" s="6">
        <v>4</v>
      </c>
      <c r="K186" s="6">
        <v>4.0999999999999996</v>
      </c>
      <c r="L186" s="6">
        <v>800</v>
      </c>
      <c r="CB186" s="6" t="s">
        <v>260</v>
      </c>
      <c r="CD186" s="1" t="s">
        <v>820</v>
      </c>
      <c r="CV186" s="25" t="s">
        <v>382</v>
      </c>
      <c r="CW186" s="2"/>
      <c r="CX186" s="2"/>
      <c r="CY186" s="2"/>
      <c r="CZ186" s="6" t="s">
        <v>98</v>
      </c>
      <c r="DA186" s="6">
        <v>1</v>
      </c>
      <c r="DB186" s="6">
        <v>1</v>
      </c>
      <c r="DC186" s="6">
        <v>1</v>
      </c>
    </row>
    <row r="187" spans="1:108">
      <c r="A187" s="26" t="s">
        <v>534</v>
      </c>
      <c r="B187" s="6" t="s">
        <v>94</v>
      </c>
      <c r="C187" s="7"/>
      <c r="E187" s="6">
        <v>17</v>
      </c>
      <c r="G187" s="6" t="str">
        <f t="shared" si="7"/>
        <v>Strength 9</v>
      </c>
      <c r="H187" s="6">
        <v>3</v>
      </c>
      <c r="I187" s="6">
        <v>4</v>
      </c>
      <c r="K187" s="6">
        <v>4.0999999999999996</v>
      </c>
      <c r="L187" s="6">
        <v>800</v>
      </c>
      <c r="CB187" s="6" t="s">
        <v>260</v>
      </c>
      <c r="CD187" s="1" t="s">
        <v>820</v>
      </c>
      <c r="CV187" s="25" t="s">
        <v>382</v>
      </c>
      <c r="CW187" s="2"/>
      <c r="CX187" s="2"/>
      <c r="CY187" s="2"/>
      <c r="CZ187" s="6" t="s">
        <v>98</v>
      </c>
      <c r="DA187" s="6">
        <v>1</v>
      </c>
      <c r="DB187" s="6">
        <v>1</v>
      </c>
      <c r="DC187" s="6">
        <v>1</v>
      </c>
    </row>
    <row r="188" spans="1:108">
      <c r="A188" s="6" t="s">
        <v>101</v>
      </c>
      <c r="B188" s="6" t="s">
        <v>94</v>
      </c>
      <c r="C188" s="7"/>
      <c r="E188" s="6">
        <v>18</v>
      </c>
      <c r="G188" s="6" t="str">
        <f t="shared" si="7"/>
        <v>Strength 9</v>
      </c>
      <c r="H188" s="6">
        <v>3</v>
      </c>
      <c r="I188" s="7">
        <v>4</v>
      </c>
      <c r="K188" s="6">
        <v>4.0999999999999996</v>
      </c>
      <c r="L188" s="6">
        <v>1000</v>
      </c>
      <c r="BQ188" s="7"/>
      <c r="CB188" s="6" t="s">
        <v>260</v>
      </c>
      <c r="CD188" s="1" t="s">
        <v>820</v>
      </c>
      <c r="CV188" s="25" t="s">
        <v>382</v>
      </c>
      <c r="CW188" s="2"/>
      <c r="CX188" s="2"/>
      <c r="CY188" s="2"/>
      <c r="CZ188" s="6" t="s">
        <v>98</v>
      </c>
      <c r="DA188" s="6">
        <v>1</v>
      </c>
      <c r="DB188" s="6">
        <v>1</v>
      </c>
      <c r="DC188" s="6">
        <v>1</v>
      </c>
    </row>
    <row r="189" spans="1:108">
      <c r="A189" s="6" t="s">
        <v>535</v>
      </c>
      <c r="B189" s="6" t="s">
        <v>94</v>
      </c>
      <c r="C189" s="7"/>
      <c r="E189" s="6">
        <v>19</v>
      </c>
      <c r="G189" s="6" t="str">
        <f t="shared" si="7"/>
        <v>Strength 9</v>
      </c>
      <c r="H189" s="6">
        <v>3</v>
      </c>
      <c r="I189" s="7">
        <v>4</v>
      </c>
      <c r="K189" s="6">
        <v>4.0999999999999996</v>
      </c>
      <c r="L189" s="6">
        <v>1000</v>
      </c>
      <c r="BQ189" s="7"/>
      <c r="CB189" s="6" t="s">
        <v>260</v>
      </c>
      <c r="CD189" s="1" t="s">
        <v>820</v>
      </c>
      <c r="CV189" s="25" t="s">
        <v>382</v>
      </c>
      <c r="CW189" s="2"/>
      <c r="CX189" s="2"/>
      <c r="CY189" s="2"/>
      <c r="CZ189" s="6" t="s">
        <v>98</v>
      </c>
      <c r="DA189" s="6">
        <v>1</v>
      </c>
      <c r="DB189" s="6">
        <v>1</v>
      </c>
      <c r="DC189" s="6">
        <v>1</v>
      </c>
    </row>
    <row r="190" spans="1:108">
      <c r="A190" s="1" t="s">
        <v>878</v>
      </c>
      <c r="B190" s="6" t="s">
        <v>94</v>
      </c>
      <c r="C190" s="7"/>
      <c r="E190" s="6">
        <v>20</v>
      </c>
      <c r="G190" s="6" t="str">
        <f t="shared" si="7"/>
        <v>Strength 9</v>
      </c>
      <c r="H190" s="6">
        <v>3</v>
      </c>
      <c r="I190" s="7">
        <v>4</v>
      </c>
      <c r="K190" s="6">
        <v>4.0999999999999996</v>
      </c>
      <c r="L190" s="6">
        <v>1000</v>
      </c>
      <c r="BQ190" s="7"/>
      <c r="CB190" s="6" t="s">
        <v>260</v>
      </c>
      <c r="CD190" s="1" t="s">
        <v>820</v>
      </c>
      <c r="CV190" s="25" t="s">
        <v>382</v>
      </c>
      <c r="CW190" s="2"/>
      <c r="CX190" s="2"/>
      <c r="CY190" s="2"/>
      <c r="CZ190" s="6" t="s">
        <v>98</v>
      </c>
      <c r="DA190" s="6">
        <v>1</v>
      </c>
      <c r="DB190" s="6">
        <v>1</v>
      </c>
      <c r="DC190" s="6">
        <v>1</v>
      </c>
    </row>
    <row r="191" spans="1:108" s="23" customFormat="1">
      <c r="A191" s="23" t="s">
        <v>102</v>
      </c>
      <c r="C191" s="23" t="s">
        <v>71</v>
      </c>
      <c r="D191" s="23">
        <v>1</v>
      </c>
      <c r="F191" s="23" t="s">
        <v>103</v>
      </c>
      <c r="H191" s="23">
        <v>4</v>
      </c>
      <c r="I191" s="23">
        <v>2</v>
      </c>
      <c r="J191" s="23">
        <v>4</v>
      </c>
      <c r="K191" s="23">
        <v>2.4</v>
      </c>
      <c r="L191" s="23">
        <v>300</v>
      </c>
      <c r="M191" s="23">
        <v>0</v>
      </c>
      <c r="N191" s="23">
        <v>0</v>
      </c>
      <c r="O191" s="23">
        <v>0</v>
      </c>
      <c r="P191" s="23">
        <v>0</v>
      </c>
      <c r="Q191" s="23">
        <v>0</v>
      </c>
      <c r="R191" s="23">
        <v>0</v>
      </c>
      <c r="S191" s="23">
        <v>0</v>
      </c>
      <c r="T191" s="23">
        <v>0</v>
      </c>
      <c r="U191" s="23">
        <v>0</v>
      </c>
      <c r="V191" s="23">
        <v>0</v>
      </c>
      <c r="W191" s="23">
        <v>0</v>
      </c>
      <c r="BX191" s="24"/>
      <c r="BY191" s="24"/>
      <c r="BZ191" s="24"/>
      <c r="CA191" s="24"/>
      <c r="CC191" s="23" t="s">
        <v>695</v>
      </c>
      <c r="CE191" s="23" t="s">
        <v>1049</v>
      </c>
      <c r="DD191" s="23">
        <v>0</v>
      </c>
    </row>
    <row r="192" spans="1:108">
      <c r="A192" s="1" t="s">
        <v>1167</v>
      </c>
      <c r="B192" s="6" t="s">
        <v>102</v>
      </c>
      <c r="E192" s="6">
        <v>6</v>
      </c>
      <c r="L192" s="28">
        <v>100</v>
      </c>
      <c r="CB192" s="6" t="s">
        <v>263</v>
      </c>
      <c r="CV192" s="6" t="s">
        <v>104</v>
      </c>
      <c r="CZ192" s="6" t="s">
        <v>103</v>
      </c>
      <c r="DA192" s="6">
        <v>1</v>
      </c>
      <c r="DB192" s="6">
        <v>1</v>
      </c>
      <c r="DC192" s="6">
        <v>1</v>
      </c>
    </row>
    <row r="193" spans="1:108">
      <c r="A193" s="1" t="s">
        <v>1168</v>
      </c>
      <c r="B193" s="6" t="s">
        <v>102</v>
      </c>
      <c r="E193" s="6">
        <v>7</v>
      </c>
      <c r="L193" s="28">
        <v>100</v>
      </c>
      <c r="CB193" s="6" t="s">
        <v>263</v>
      </c>
      <c r="CV193" s="6" t="s">
        <v>104</v>
      </c>
      <c r="CZ193" s="6" t="s">
        <v>103</v>
      </c>
      <c r="DA193" s="6">
        <v>1</v>
      </c>
      <c r="DB193" s="6">
        <v>1</v>
      </c>
      <c r="DC193" s="6">
        <v>1</v>
      </c>
    </row>
    <row r="194" spans="1:108">
      <c r="A194" s="6" t="s">
        <v>105</v>
      </c>
      <c r="B194" s="6" t="s">
        <v>102</v>
      </c>
      <c r="E194" s="6">
        <v>8</v>
      </c>
      <c r="L194" s="28"/>
      <c r="CB194" s="6" t="s">
        <v>263</v>
      </c>
      <c r="CV194" s="6" t="s">
        <v>104</v>
      </c>
      <c r="CZ194" s="6" t="s">
        <v>103</v>
      </c>
      <c r="DA194" s="6">
        <v>1</v>
      </c>
      <c r="DB194" s="6">
        <v>1</v>
      </c>
      <c r="DC194" s="6">
        <v>1</v>
      </c>
    </row>
    <row r="195" spans="1:108">
      <c r="A195" s="1" t="s">
        <v>1169</v>
      </c>
      <c r="B195" s="6" t="s">
        <v>102</v>
      </c>
      <c r="E195" s="6">
        <v>9</v>
      </c>
      <c r="L195" s="28"/>
      <c r="CB195" s="6" t="s">
        <v>263</v>
      </c>
      <c r="CV195" s="6" t="s">
        <v>104</v>
      </c>
      <c r="CZ195" s="6" t="s">
        <v>103</v>
      </c>
      <c r="DA195" s="6">
        <v>1</v>
      </c>
      <c r="DB195" s="6">
        <v>1</v>
      </c>
      <c r="DC195" s="6">
        <v>1</v>
      </c>
    </row>
    <row r="196" spans="1:108">
      <c r="A196" s="1" t="s">
        <v>1170</v>
      </c>
      <c r="B196" s="6" t="s">
        <v>102</v>
      </c>
      <c r="E196" s="6">
        <v>10</v>
      </c>
      <c r="L196" s="28"/>
      <c r="CB196" s="6" t="s">
        <v>263</v>
      </c>
      <c r="CV196" s="6" t="s">
        <v>104</v>
      </c>
      <c r="CZ196" s="6" t="s">
        <v>103</v>
      </c>
      <c r="DA196" s="6">
        <v>1</v>
      </c>
      <c r="DB196" s="6">
        <v>1</v>
      </c>
      <c r="DC196" s="6">
        <v>1</v>
      </c>
    </row>
    <row r="197" spans="1:108">
      <c r="A197" s="6" t="s">
        <v>106</v>
      </c>
      <c r="B197" s="6" t="s">
        <v>102</v>
      </c>
      <c r="E197" s="6">
        <v>11</v>
      </c>
      <c r="L197" s="28"/>
      <c r="CB197" s="6" t="s">
        <v>263</v>
      </c>
      <c r="CV197" s="6" t="s">
        <v>104</v>
      </c>
      <c r="CZ197" s="6" t="s">
        <v>103</v>
      </c>
      <c r="DA197" s="6">
        <v>1</v>
      </c>
      <c r="DB197" s="6">
        <v>1</v>
      </c>
      <c r="DC197" s="6">
        <v>1</v>
      </c>
    </row>
    <row r="198" spans="1:108">
      <c r="A198" s="6" t="s">
        <v>107</v>
      </c>
      <c r="B198" s="6" t="s">
        <v>102</v>
      </c>
      <c r="E198" s="6">
        <v>12</v>
      </c>
      <c r="L198" s="28"/>
      <c r="CB198" s="6" t="s">
        <v>263</v>
      </c>
      <c r="CV198" s="6" t="s">
        <v>108</v>
      </c>
      <c r="CZ198" s="6" t="s">
        <v>103</v>
      </c>
      <c r="DA198" s="6">
        <v>1</v>
      </c>
      <c r="DB198" s="6">
        <v>1</v>
      </c>
      <c r="DC198" s="6">
        <v>1</v>
      </c>
    </row>
    <row r="199" spans="1:108">
      <c r="A199" s="6" t="s">
        <v>109</v>
      </c>
      <c r="B199" s="6" t="s">
        <v>102</v>
      </c>
      <c r="E199" s="6">
        <v>13</v>
      </c>
      <c r="L199" s="28"/>
      <c r="CB199" s="6" t="s">
        <v>263</v>
      </c>
      <c r="CV199" s="6" t="s">
        <v>108</v>
      </c>
      <c r="CZ199" s="6" t="s">
        <v>103</v>
      </c>
      <c r="DA199" s="6">
        <v>1</v>
      </c>
      <c r="DB199" s="6">
        <v>1</v>
      </c>
      <c r="DC199" s="6">
        <v>1</v>
      </c>
    </row>
    <row r="200" spans="1:108">
      <c r="A200" s="6" t="s">
        <v>536</v>
      </c>
      <c r="B200" s="6" t="s">
        <v>102</v>
      </c>
      <c r="E200" s="6">
        <v>14</v>
      </c>
      <c r="L200" s="28"/>
      <c r="CB200" s="6" t="s">
        <v>263</v>
      </c>
      <c r="CV200" s="6" t="s">
        <v>108</v>
      </c>
      <c r="CZ200" s="6" t="s">
        <v>103</v>
      </c>
      <c r="DA200" s="6">
        <v>1</v>
      </c>
      <c r="DB200" s="6">
        <v>1</v>
      </c>
      <c r="DC200" s="6">
        <v>1</v>
      </c>
    </row>
    <row r="201" spans="1:108">
      <c r="A201" s="6" t="s">
        <v>111</v>
      </c>
      <c r="B201" s="6" t="s">
        <v>102</v>
      </c>
      <c r="E201" s="6">
        <v>15</v>
      </c>
      <c r="L201" s="28"/>
      <c r="CB201" s="6" t="s">
        <v>263</v>
      </c>
      <c r="CV201" s="6" t="s">
        <v>110</v>
      </c>
      <c r="CZ201" s="6" t="s">
        <v>103</v>
      </c>
      <c r="DA201" s="6">
        <v>1</v>
      </c>
      <c r="DB201" s="6">
        <v>1</v>
      </c>
      <c r="DC201" s="6">
        <v>1</v>
      </c>
    </row>
    <row r="202" spans="1:108">
      <c r="A202" s="1" t="s">
        <v>883</v>
      </c>
      <c r="B202" s="6" t="s">
        <v>102</v>
      </c>
      <c r="E202" s="6">
        <v>16</v>
      </c>
      <c r="L202" s="28"/>
      <c r="CB202" s="6" t="s">
        <v>263</v>
      </c>
      <c r="CV202" s="6" t="s">
        <v>110</v>
      </c>
      <c r="CZ202" s="6" t="s">
        <v>103</v>
      </c>
      <c r="DA202" s="6">
        <v>1</v>
      </c>
      <c r="DB202" s="6">
        <v>1</v>
      </c>
      <c r="DC202" s="6">
        <v>1</v>
      </c>
    </row>
    <row r="203" spans="1:108">
      <c r="A203" s="1" t="s">
        <v>884</v>
      </c>
      <c r="B203" s="6" t="s">
        <v>102</v>
      </c>
      <c r="E203" s="6">
        <v>17</v>
      </c>
      <c r="L203" s="28"/>
      <c r="CB203" s="6" t="s">
        <v>263</v>
      </c>
      <c r="CV203" s="6" t="s">
        <v>110</v>
      </c>
      <c r="CZ203" s="6" t="s">
        <v>103</v>
      </c>
      <c r="DA203" s="6">
        <v>1</v>
      </c>
      <c r="DB203" s="6">
        <v>1</v>
      </c>
      <c r="DC203" s="6">
        <v>1</v>
      </c>
    </row>
    <row r="204" spans="1:108">
      <c r="A204" s="1" t="s">
        <v>885</v>
      </c>
      <c r="B204" s="6" t="s">
        <v>102</v>
      </c>
      <c r="E204" s="6">
        <v>18</v>
      </c>
      <c r="L204" s="28"/>
      <c r="CB204" s="6" t="s">
        <v>263</v>
      </c>
      <c r="CV204" s="6" t="s">
        <v>110</v>
      </c>
      <c r="CZ204" s="6" t="s">
        <v>103</v>
      </c>
      <c r="DA204" s="6">
        <v>1</v>
      </c>
      <c r="DB204" s="6">
        <v>1</v>
      </c>
      <c r="DC204" s="6">
        <v>1</v>
      </c>
    </row>
    <row r="205" spans="1:108">
      <c r="A205" s="1" t="s">
        <v>886</v>
      </c>
      <c r="B205" s="6" t="s">
        <v>102</v>
      </c>
      <c r="E205" s="6">
        <v>19</v>
      </c>
      <c r="L205" s="28"/>
      <c r="CB205" s="6" t="s">
        <v>263</v>
      </c>
      <c r="CV205" s="6" t="s">
        <v>110</v>
      </c>
      <c r="CZ205" s="6" t="s">
        <v>103</v>
      </c>
      <c r="DA205" s="6">
        <v>1</v>
      </c>
      <c r="DB205" s="6">
        <v>1</v>
      </c>
      <c r="DC205" s="6">
        <v>1</v>
      </c>
    </row>
    <row r="206" spans="1:108">
      <c r="A206" s="1" t="s">
        <v>887</v>
      </c>
      <c r="B206" s="6" t="s">
        <v>102</v>
      </c>
      <c r="E206" s="6">
        <v>20</v>
      </c>
      <c r="L206" s="28"/>
      <c r="CB206" s="6" t="s">
        <v>263</v>
      </c>
      <c r="CV206" s="6" t="s">
        <v>110</v>
      </c>
      <c r="CZ206" s="6" t="s">
        <v>103</v>
      </c>
      <c r="DA206" s="6">
        <v>1</v>
      </c>
      <c r="DB206" s="6">
        <v>1</v>
      </c>
      <c r="DC206" s="6">
        <v>1</v>
      </c>
    </row>
    <row r="207" spans="1:108" s="60" customFormat="1">
      <c r="A207" s="60" t="s">
        <v>112</v>
      </c>
      <c r="C207" s="60" t="s">
        <v>71</v>
      </c>
      <c r="D207" s="60">
        <v>1</v>
      </c>
      <c r="F207" s="60" t="s">
        <v>113</v>
      </c>
      <c r="H207" s="60">
        <v>2</v>
      </c>
      <c r="I207" s="60">
        <v>3</v>
      </c>
      <c r="J207" s="60">
        <v>5</v>
      </c>
      <c r="K207" s="60">
        <v>3.4</v>
      </c>
      <c r="L207" s="60">
        <v>200</v>
      </c>
      <c r="M207" s="60">
        <v>0</v>
      </c>
      <c r="N207" s="60">
        <v>0</v>
      </c>
      <c r="O207" s="60">
        <v>0</v>
      </c>
      <c r="P207" s="60">
        <v>0</v>
      </c>
      <c r="Q207" s="60">
        <v>0</v>
      </c>
      <c r="R207" s="60">
        <v>0</v>
      </c>
      <c r="S207" s="60">
        <v>0</v>
      </c>
      <c r="T207" s="60">
        <v>0</v>
      </c>
      <c r="U207" s="60">
        <v>0</v>
      </c>
      <c r="V207" s="60">
        <v>0</v>
      </c>
      <c r="W207" s="60">
        <v>0</v>
      </c>
      <c r="BX207" s="57"/>
      <c r="BY207" s="57"/>
      <c r="BZ207" s="57"/>
      <c r="CA207" s="75"/>
      <c r="CC207" s="60" t="s">
        <v>695</v>
      </c>
      <c r="CE207" s="60" t="s">
        <v>1049</v>
      </c>
      <c r="DD207" s="60">
        <v>0</v>
      </c>
    </row>
    <row r="208" spans="1:108" s="49" customFormat="1" ht="15">
      <c r="A208" s="49" t="s">
        <v>114</v>
      </c>
      <c r="B208" s="49" t="s">
        <v>112</v>
      </c>
      <c r="E208" s="49">
        <v>1</v>
      </c>
      <c r="I208" s="49">
        <v>2</v>
      </c>
      <c r="K208" s="49">
        <v>3</v>
      </c>
      <c r="CB208" s="49" t="s">
        <v>261</v>
      </c>
      <c r="CE208" s="49" t="s">
        <v>1049</v>
      </c>
      <c r="CV208" s="49" t="s">
        <v>115</v>
      </c>
    </row>
    <row r="209" spans="1:108" s="33" customFormat="1" ht="15">
      <c r="A209" s="33" t="s">
        <v>1117</v>
      </c>
      <c r="B209" s="33" t="s">
        <v>112</v>
      </c>
      <c r="E209" s="33">
        <v>16</v>
      </c>
      <c r="G209" s="33" t="s">
        <v>1121</v>
      </c>
      <c r="H209" s="33">
        <v>3</v>
      </c>
      <c r="K209" s="33">
        <v>5</v>
      </c>
      <c r="L209" s="33">
        <v>100</v>
      </c>
      <c r="N209" s="33">
        <v>2</v>
      </c>
      <c r="S209" s="33">
        <v>5</v>
      </c>
      <c r="Y209" s="33">
        <v>2</v>
      </c>
      <c r="BD209" s="33">
        <v>1</v>
      </c>
      <c r="BX209" s="64"/>
      <c r="BY209" s="64"/>
      <c r="BZ209" s="64"/>
      <c r="CA209" s="41"/>
      <c r="CB209" s="33" t="s">
        <v>261</v>
      </c>
      <c r="CD209" s="33" t="s">
        <v>821</v>
      </c>
      <c r="DD209" s="33">
        <v>1</v>
      </c>
    </row>
    <row r="210" spans="1:108">
      <c r="A210" s="26" t="s">
        <v>347</v>
      </c>
      <c r="B210" s="6" t="s">
        <v>112</v>
      </c>
      <c r="E210" s="6">
        <v>1</v>
      </c>
      <c r="L210" s="28"/>
      <c r="BX210" s="48"/>
      <c r="BY210" s="48"/>
      <c r="BZ210" s="48"/>
      <c r="CA210" s="73"/>
      <c r="CB210" s="6" t="s">
        <v>261</v>
      </c>
      <c r="CD210" s="1" t="s">
        <v>821</v>
      </c>
      <c r="CV210" s="25" t="s">
        <v>383</v>
      </c>
      <c r="CZ210" s="6" t="s">
        <v>116</v>
      </c>
      <c r="DA210" s="6">
        <v>1</v>
      </c>
      <c r="DB210" s="6">
        <v>1</v>
      </c>
      <c r="DC210" s="6">
        <v>1</v>
      </c>
    </row>
    <row r="211" spans="1:108">
      <c r="A211" s="26" t="s">
        <v>363</v>
      </c>
      <c r="B211" s="6" t="s">
        <v>112</v>
      </c>
      <c r="E211" s="6">
        <v>2</v>
      </c>
      <c r="L211" s="28"/>
      <c r="BX211" s="48"/>
      <c r="BY211" s="48"/>
      <c r="BZ211" s="48"/>
      <c r="CA211" s="73"/>
      <c r="CB211" s="6" t="s">
        <v>261</v>
      </c>
      <c r="CD211" s="1" t="s">
        <v>821</v>
      </c>
      <c r="CV211" s="25" t="s">
        <v>383</v>
      </c>
      <c r="CZ211" s="6" t="s">
        <v>116</v>
      </c>
      <c r="DA211" s="6">
        <v>1</v>
      </c>
      <c r="DB211" s="6">
        <v>1</v>
      </c>
      <c r="DC211" s="6">
        <v>1</v>
      </c>
    </row>
    <row r="212" spans="1:108">
      <c r="A212" s="26" t="s">
        <v>1166</v>
      </c>
      <c r="B212" s="6" t="s">
        <v>112</v>
      </c>
      <c r="E212" s="6">
        <v>3</v>
      </c>
      <c r="H212" s="1"/>
      <c r="L212" s="28"/>
      <c r="CB212" s="6" t="s">
        <v>261</v>
      </c>
      <c r="CD212" s="1" t="s">
        <v>821</v>
      </c>
      <c r="CV212" s="25" t="s">
        <v>384</v>
      </c>
      <c r="CZ212" s="6" t="s">
        <v>116</v>
      </c>
      <c r="DA212" s="6">
        <v>1</v>
      </c>
      <c r="DB212" s="6">
        <v>1</v>
      </c>
      <c r="DC212" s="6">
        <v>1</v>
      </c>
    </row>
    <row r="213" spans="1:108">
      <c r="A213" s="6" t="s">
        <v>117</v>
      </c>
      <c r="B213" s="6" t="s">
        <v>112</v>
      </c>
      <c r="E213" s="6">
        <v>4</v>
      </c>
      <c r="H213" s="1"/>
      <c r="L213" s="28"/>
      <c r="CB213" s="6" t="s">
        <v>261</v>
      </c>
      <c r="CD213" s="1" t="s">
        <v>821</v>
      </c>
      <c r="CV213" s="25" t="s">
        <v>385</v>
      </c>
      <c r="CZ213" s="6" t="s">
        <v>116</v>
      </c>
      <c r="DA213" s="6">
        <v>1</v>
      </c>
      <c r="DB213" s="6">
        <v>1</v>
      </c>
      <c r="DC213" s="6">
        <v>1</v>
      </c>
    </row>
    <row r="214" spans="1:108">
      <c r="A214" s="26" t="s">
        <v>365</v>
      </c>
      <c r="B214" s="6" t="s">
        <v>112</v>
      </c>
      <c r="E214" s="6">
        <v>5</v>
      </c>
      <c r="H214" s="1"/>
      <c r="L214" s="28"/>
      <c r="CB214" s="6" t="s">
        <v>261</v>
      </c>
      <c r="CD214" s="1" t="s">
        <v>821</v>
      </c>
      <c r="CV214" s="25" t="s">
        <v>386</v>
      </c>
      <c r="CZ214" s="6" t="s">
        <v>116</v>
      </c>
      <c r="DA214" s="6">
        <v>1</v>
      </c>
      <c r="DB214" s="6">
        <v>1</v>
      </c>
      <c r="DC214" s="6">
        <v>1</v>
      </c>
    </row>
    <row r="215" spans="1:108">
      <c r="A215" s="26" t="s">
        <v>367</v>
      </c>
      <c r="B215" s="6" t="s">
        <v>112</v>
      </c>
      <c r="E215" s="6">
        <v>6</v>
      </c>
      <c r="H215" s="1"/>
      <c r="L215" s="28"/>
      <c r="CB215" s="6" t="s">
        <v>261</v>
      </c>
      <c r="CD215" s="1" t="s">
        <v>821</v>
      </c>
      <c r="CV215" s="25" t="s">
        <v>385</v>
      </c>
      <c r="CZ215" s="6" t="s">
        <v>116</v>
      </c>
      <c r="DA215" s="6">
        <v>1</v>
      </c>
      <c r="DB215" s="6">
        <v>1</v>
      </c>
      <c r="DC215" s="6">
        <v>1</v>
      </c>
    </row>
    <row r="216" spans="1:108">
      <c r="A216" s="26" t="s">
        <v>538</v>
      </c>
      <c r="B216" s="6" t="s">
        <v>112</v>
      </c>
      <c r="E216" s="6">
        <v>7</v>
      </c>
      <c r="H216" s="1"/>
      <c r="L216" s="28"/>
      <c r="CB216" s="6" t="s">
        <v>261</v>
      </c>
      <c r="CD216" s="1" t="s">
        <v>821</v>
      </c>
      <c r="CV216" s="25" t="s">
        <v>386</v>
      </c>
      <c r="CZ216" s="6" t="s">
        <v>116</v>
      </c>
      <c r="DA216" s="6">
        <v>1</v>
      </c>
      <c r="DB216" s="6">
        <v>1</v>
      </c>
      <c r="DC216" s="6">
        <v>1</v>
      </c>
    </row>
    <row r="217" spans="1:108">
      <c r="A217" s="26" t="s">
        <v>888</v>
      </c>
      <c r="B217" s="6" t="s">
        <v>112</v>
      </c>
      <c r="E217" s="6">
        <v>8</v>
      </c>
      <c r="H217" s="1"/>
      <c r="I217" s="7"/>
      <c r="K217" s="7"/>
      <c r="L217" s="28"/>
      <c r="BQ217" s="7"/>
      <c r="CB217" s="6" t="s">
        <v>261</v>
      </c>
      <c r="CD217" s="1" t="s">
        <v>821</v>
      </c>
      <c r="CV217" s="25" t="s">
        <v>385</v>
      </c>
      <c r="CZ217" s="6" t="s">
        <v>116</v>
      </c>
      <c r="DA217" s="6">
        <v>1</v>
      </c>
      <c r="DB217" s="6">
        <v>1</v>
      </c>
      <c r="DC217" s="6">
        <v>1</v>
      </c>
    </row>
    <row r="218" spans="1:108">
      <c r="A218" s="26" t="s">
        <v>1016</v>
      </c>
      <c r="B218" s="6" t="s">
        <v>112</v>
      </c>
      <c r="E218" s="6">
        <v>9</v>
      </c>
      <c r="H218" s="1"/>
      <c r="I218" s="7"/>
      <c r="K218" s="7"/>
      <c r="L218" s="28"/>
      <c r="BQ218" s="7"/>
      <c r="CB218" s="6" t="s">
        <v>261</v>
      </c>
      <c r="CD218" s="1" t="s">
        <v>821</v>
      </c>
      <c r="CV218" s="25" t="s">
        <v>386</v>
      </c>
      <c r="CZ218" s="6" t="s">
        <v>116</v>
      </c>
      <c r="DA218" s="6">
        <v>1</v>
      </c>
      <c r="DB218" s="6">
        <v>1</v>
      </c>
      <c r="DC218" s="6">
        <v>1</v>
      </c>
    </row>
    <row r="219" spans="1:108">
      <c r="A219" s="26" t="s">
        <v>1017</v>
      </c>
      <c r="B219" s="6" t="s">
        <v>112</v>
      </c>
      <c r="E219" s="6">
        <v>10</v>
      </c>
      <c r="H219" s="1"/>
      <c r="I219" s="7"/>
      <c r="K219" s="7"/>
      <c r="L219" s="28"/>
      <c r="BQ219" s="7"/>
      <c r="CB219" s="6" t="s">
        <v>261</v>
      </c>
      <c r="CD219" s="1" t="s">
        <v>821</v>
      </c>
      <c r="CV219" s="25" t="s">
        <v>385</v>
      </c>
      <c r="CZ219" s="6" t="s">
        <v>116</v>
      </c>
      <c r="DA219" s="6">
        <v>1</v>
      </c>
      <c r="DB219" s="6">
        <v>1</v>
      </c>
      <c r="DC219" s="6">
        <v>1</v>
      </c>
    </row>
    <row r="220" spans="1:108">
      <c r="A220" s="26" t="s">
        <v>1028</v>
      </c>
      <c r="B220" s="6" t="s">
        <v>112</v>
      </c>
      <c r="E220" s="6">
        <v>11</v>
      </c>
      <c r="H220" s="1"/>
      <c r="L220" s="28"/>
      <c r="CB220" s="6" t="s">
        <v>261</v>
      </c>
      <c r="CD220" s="1" t="s">
        <v>821</v>
      </c>
      <c r="CV220" s="25" t="s">
        <v>386</v>
      </c>
      <c r="CZ220" s="6" t="s">
        <v>116</v>
      </c>
      <c r="DA220" s="6">
        <v>1</v>
      </c>
      <c r="DB220" s="6">
        <v>1</v>
      </c>
      <c r="DC220" s="6">
        <v>1</v>
      </c>
    </row>
    <row r="221" spans="1:108">
      <c r="A221" s="26" t="s">
        <v>1029</v>
      </c>
      <c r="B221" s="6" t="s">
        <v>112</v>
      </c>
      <c r="E221" s="6">
        <v>12</v>
      </c>
      <c r="H221" s="1"/>
      <c r="L221" s="28"/>
      <c r="CB221" s="6" t="s">
        <v>261</v>
      </c>
      <c r="CD221" s="1" t="s">
        <v>821</v>
      </c>
      <c r="CV221" s="25" t="s">
        <v>385</v>
      </c>
      <c r="CZ221" s="6" t="s">
        <v>116</v>
      </c>
      <c r="DA221" s="6">
        <v>1</v>
      </c>
      <c r="DB221" s="6">
        <v>1</v>
      </c>
      <c r="DC221" s="6">
        <v>1</v>
      </c>
    </row>
    <row r="222" spans="1:108">
      <c r="A222" s="26" t="s">
        <v>1030</v>
      </c>
      <c r="B222" s="6" t="s">
        <v>112</v>
      </c>
      <c r="E222" s="6">
        <v>13</v>
      </c>
      <c r="H222" s="1"/>
      <c r="L222" s="28"/>
      <c r="CB222" s="6" t="s">
        <v>261</v>
      </c>
      <c r="CD222" s="1" t="s">
        <v>821</v>
      </c>
      <c r="CV222" s="25" t="s">
        <v>386</v>
      </c>
      <c r="CZ222" s="6" t="s">
        <v>116</v>
      </c>
      <c r="DA222" s="6">
        <v>1</v>
      </c>
      <c r="DB222" s="6">
        <v>1</v>
      </c>
      <c r="DC222" s="6">
        <v>1</v>
      </c>
    </row>
    <row r="223" spans="1:108">
      <c r="A223" s="26" t="s">
        <v>1031</v>
      </c>
      <c r="B223" s="6" t="s">
        <v>112</v>
      </c>
      <c r="E223" s="6">
        <v>14</v>
      </c>
      <c r="H223" s="1"/>
      <c r="I223" s="7"/>
      <c r="K223" s="7"/>
      <c r="L223" s="28"/>
      <c r="BQ223" s="7"/>
      <c r="CB223" s="6" t="s">
        <v>261</v>
      </c>
      <c r="CD223" s="1" t="s">
        <v>821</v>
      </c>
      <c r="CV223" s="25" t="s">
        <v>385</v>
      </c>
      <c r="CZ223" s="6" t="s">
        <v>116</v>
      </c>
      <c r="DA223" s="6">
        <v>1</v>
      </c>
      <c r="DB223" s="6">
        <v>1</v>
      </c>
      <c r="DC223" s="6">
        <v>1</v>
      </c>
    </row>
    <row r="224" spans="1:108">
      <c r="A224" s="26" t="s">
        <v>1032</v>
      </c>
      <c r="B224" s="6" t="s">
        <v>112</v>
      </c>
      <c r="E224" s="6">
        <v>15</v>
      </c>
      <c r="H224" s="1"/>
      <c r="I224" s="7"/>
      <c r="K224" s="7"/>
      <c r="L224" s="28"/>
      <c r="BQ224" s="7"/>
      <c r="CB224" s="6" t="s">
        <v>261</v>
      </c>
      <c r="CD224" s="1" t="s">
        <v>821</v>
      </c>
      <c r="CV224" s="25" t="s">
        <v>386</v>
      </c>
      <c r="CZ224" s="6" t="s">
        <v>116</v>
      </c>
      <c r="DA224" s="6">
        <v>1</v>
      </c>
      <c r="DB224" s="6">
        <v>1</v>
      </c>
      <c r="DC224" s="6">
        <v>1</v>
      </c>
    </row>
    <row r="225" spans="1:107">
      <c r="A225" s="26" t="s">
        <v>1033</v>
      </c>
      <c r="B225" s="6" t="s">
        <v>112</v>
      </c>
      <c r="E225" s="6">
        <v>16</v>
      </c>
      <c r="H225" s="1"/>
      <c r="I225" s="7"/>
      <c r="K225" s="7"/>
      <c r="L225" s="28"/>
      <c r="BQ225" s="7"/>
      <c r="CB225" s="6" t="s">
        <v>261</v>
      </c>
      <c r="CD225" s="1" t="s">
        <v>821</v>
      </c>
      <c r="CV225" s="25" t="s">
        <v>385</v>
      </c>
      <c r="CZ225" s="6" t="s">
        <v>116</v>
      </c>
      <c r="DA225" s="6">
        <v>1</v>
      </c>
      <c r="DB225" s="6">
        <v>1</v>
      </c>
      <c r="DC225" s="6">
        <v>1</v>
      </c>
    </row>
    <row r="226" spans="1:107">
      <c r="A226" s="26" t="s">
        <v>1034</v>
      </c>
      <c r="B226" s="6" t="s">
        <v>112</v>
      </c>
      <c r="E226" s="6">
        <v>17</v>
      </c>
      <c r="H226" s="1"/>
      <c r="L226" s="28"/>
      <c r="CB226" s="6" t="s">
        <v>261</v>
      </c>
      <c r="CD226" s="1" t="s">
        <v>821</v>
      </c>
      <c r="CV226" s="25" t="s">
        <v>386</v>
      </c>
      <c r="CZ226" s="6" t="s">
        <v>116</v>
      </c>
      <c r="DA226" s="6">
        <v>1</v>
      </c>
      <c r="DB226" s="6">
        <v>1</v>
      </c>
      <c r="DC226" s="6">
        <v>1</v>
      </c>
    </row>
    <row r="227" spans="1:107">
      <c r="A227" s="26" t="s">
        <v>1035</v>
      </c>
      <c r="B227" s="6" t="s">
        <v>112</v>
      </c>
      <c r="E227" s="6">
        <v>18</v>
      </c>
      <c r="H227" s="1"/>
      <c r="I227" s="7"/>
      <c r="K227" s="7"/>
      <c r="L227" s="28"/>
      <c r="BQ227" s="7"/>
      <c r="CB227" s="6" t="s">
        <v>261</v>
      </c>
      <c r="CD227" s="1" t="s">
        <v>821</v>
      </c>
      <c r="CV227" s="25" t="s">
        <v>385</v>
      </c>
      <c r="CZ227" s="6" t="s">
        <v>116</v>
      </c>
      <c r="DA227" s="6">
        <v>1</v>
      </c>
      <c r="DB227" s="6">
        <v>1</v>
      </c>
      <c r="DC227" s="6">
        <v>1</v>
      </c>
    </row>
    <row r="228" spans="1:107">
      <c r="A228" s="26" t="s">
        <v>1036</v>
      </c>
      <c r="B228" s="6" t="s">
        <v>112</v>
      </c>
      <c r="E228" s="6">
        <v>19</v>
      </c>
      <c r="H228" s="1"/>
      <c r="I228" s="7"/>
      <c r="K228" s="7"/>
      <c r="L228" s="28"/>
      <c r="BQ228" s="7"/>
      <c r="CB228" s="6" t="s">
        <v>261</v>
      </c>
      <c r="CD228" s="1" t="s">
        <v>821</v>
      </c>
      <c r="CV228" s="25" t="s">
        <v>386</v>
      </c>
      <c r="CZ228" s="6" t="s">
        <v>116</v>
      </c>
      <c r="DA228" s="6">
        <v>1</v>
      </c>
      <c r="DB228" s="6">
        <v>1</v>
      </c>
      <c r="DC228" s="6">
        <v>1</v>
      </c>
    </row>
    <row r="229" spans="1:107">
      <c r="A229" s="26" t="s">
        <v>1037</v>
      </c>
      <c r="B229" s="6" t="s">
        <v>112</v>
      </c>
      <c r="E229" s="6">
        <v>20</v>
      </c>
      <c r="H229" s="1"/>
      <c r="I229" s="7"/>
      <c r="K229" s="7"/>
      <c r="L229" s="28"/>
      <c r="BQ229" s="7"/>
      <c r="CB229" s="6" t="s">
        <v>261</v>
      </c>
      <c r="CD229" s="1" t="s">
        <v>821</v>
      </c>
      <c r="CV229" s="25" t="s">
        <v>385</v>
      </c>
      <c r="CZ229" s="6" t="s">
        <v>116</v>
      </c>
      <c r="DA229" s="6">
        <v>1</v>
      </c>
      <c r="DB229" s="6">
        <v>1</v>
      </c>
      <c r="DC229" s="6">
        <v>1</v>
      </c>
    </row>
    <row r="230" spans="1:107">
      <c r="A230" s="1" t="s">
        <v>118</v>
      </c>
      <c r="B230" s="6" t="s">
        <v>112</v>
      </c>
      <c r="E230" s="6">
        <v>8</v>
      </c>
      <c r="G230" s="6" t="str">
        <f>CONCATENATE("Strength ",MIN(MAX(ROUND(SQRT((5)*(E230/1.4))+1,0),5),15))</f>
        <v>Strength 6</v>
      </c>
      <c r="H230" s="6">
        <v>3</v>
      </c>
      <c r="K230" s="6">
        <v>5.4</v>
      </c>
      <c r="L230" s="28">
        <v>400</v>
      </c>
      <c r="CB230" s="6" t="s">
        <v>261</v>
      </c>
      <c r="CD230" s="1" t="s">
        <v>820</v>
      </c>
      <c r="CV230" s="25" t="s">
        <v>387</v>
      </c>
      <c r="CZ230" s="6" t="s">
        <v>116</v>
      </c>
      <c r="DA230" s="6">
        <v>1</v>
      </c>
      <c r="DB230" s="6">
        <v>1</v>
      </c>
      <c r="DC230" s="6">
        <v>1</v>
      </c>
    </row>
    <row r="231" spans="1:107">
      <c r="A231" s="6" t="s">
        <v>537</v>
      </c>
      <c r="B231" s="6" t="s">
        <v>112</v>
      </c>
      <c r="E231" s="6">
        <v>9</v>
      </c>
      <c r="G231" s="6" t="str">
        <f t="shared" ref="G231:G242" si="8">CONCATENATE("Strength ",MIN(MAX(ROUND(SQRT((5)*(E231/1.4))+1,0),5),15))</f>
        <v>Strength 7</v>
      </c>
      <c r="H231" s="6">
        <v>3</v>
      </c>
      <c r="K231" s="6">
        <v>5.4</v>
      </c>
      <c r="L231" s="28">
        <v>400</v>
      </c>
      <c r="CB231" s="6" t="s">
        <v>261</v>
      </c>
      <c r="CD231" s="1" t="s">
        <v>820</v>
      </c>
      <c r="CV231" s="25" t="s">
        <v>388</v>
      </c>
      <c r="CZ231" s="6" t="s">
        <v>116</v>
      </c>
      <c r="DA231" s="6">
        <v>1</v>
      </c>
      <c r="DB231" s="6">
        <v>1</v>
      </c>
      <c r="DC231" s="6">
        <v>1</v>
      </c>
    </row>
    <row r="232" spans="1:107">
      <c r="A232" s="26" t="s">
        <v>357</v>
      </c>
      <c r="B232" s="6" t="s">
        <v>112</v>
      </c>
      <c r="E232" s="6">
        <v>10</v>
      </c>
      <c r="G232" s="6" t="str">
        <f t="shared" si="8"/>
        <v>Strength 7</v>
      </c>
      <c r="H232" s="6">
        <v>3</v>
      </c>
      <c r="K232" s="6">
        <v>5.4</v>
      </c>
      <c r="L232" s="28">
        <v>400</v>
      </c>
      <c r="CB232" s="6" t="s">
        <v>261</v>
      </c>
      <c r="CD232" s="1" t="s">
        <v>820</v>
      </c>
      <c r="CV232" s="25" t="s">
        <v>387</v>
      </c>
      <c r="CZ232" s="6" t="s">
        <v>116</v>
      </c>
      <c r="DA232" s="6">
        <v>1</v>
      </c>
      <c r="DB232" s="6">
        <v>1</v>
      </c>
      <c r="DC232" s="6">
        <v>1</v>
      </c>
    </row>
    <row r="233" spans="1:107">
      <c r="A233" s="26" t="s">
        <v>368</v>
      </c>
      <c r="B233" s="6" t="s">
        <v>112</v>
      </c>
      <c r="E233" s="6">
        <v>11</v>
      </c>
      <c r="G233" s="6" t="str">
        <f t="shared" si="8"/>
        <v>Strength 7</v>
      </c>
      <c r="H233" s="6">
        <v>3</v>
      </c>
      <c r="K233" s="6">
        <v>5.4</v>
      </c>
      <c r="L233" s="28">
        <v>400</v>
      </c>
      <c r="CB233" s="6" t="s">
        <v>261</v>
      </c>
      <c r="CD233" s="1" t="s">
        <v>820</v>
      </c>
      <c r="CV233" s="25" t="s">
        <v>388</v>
      </c>
      <c r="CZ233" s="6" t="s">
        <v>116</v>
      </c>
      <c r="DA233" s="6">
        <v>1</v>
      </c>
      <c r="DB233" s="6">
        <v>1</v>
      </c>
      <c r="DC233" s="6">
        <v>1</v>
      </c>
    </row>
    <row r="234" spans="1:107">
      <c r="A234" s="26" t="s">
        <v>119</v>
      </c>
      <c r="B234" s="6" t="s">
        <v>112</v>
      </c>
      <c r="E234" s="6">
        <v>12</v>
      </c>
      <c r="G234" s="6" t="str">
        <f t="shared" si="8"/>
        <v>Strength 8</v>
      </c>
      <c r="H234" s="6">
        <v>3</v>
      </c>
      <c r="I234" s="7"/>
      <c r="K234" s="6">
        <v>5.4</v>
      </c>
      <c r="L234" s="28">
        <v>400</v>
      </c>
      <c r="BQ234" s="7"/>
      <c r="CB234" s="6" t="s">
        <v>261</v>
      </c>
      <c r="CD234" s="1" t="s">
        <v>820</v>
      </c>
      <c r="CV234" s="25" t="s">
        <v>387</v>
      </c>
      <c r="CZ234" s="6" t="s">
        <v>116</v>
      </c>
      <c r="DA234" s="6">
        <v>1</v>
      </c>
      <c r="DB234" s="6">
        <v>1</v>
      </c>
      <c r="DC234" s="6">
        <v>1</v>
      </c>
    </row>
    <row r="235" spans="1:107">
      <c r="A235" s="26" t="s">
        <v>547</v>
      </c>
      <c r="B235" s="6" t="s">
        <v>112</v>
      </c>
      <c r="E235" s="6">
        <v>13</v>
      </c>
      <c r="G235" s="6" t="str">
        <f t="shared" si="8"/>
        <v>Strength 8</v>
      </c>
      <c r="H235" s="6">
        <v>3</v>
      </c>
      <c r="I235" s="7"/>
      <c r="K235" s="6">
        <v>5.4</v>
      </c>
      <c r="L235" s="28">
        <v>400</v>
      </c>
      <c r="BQ235" s="7"/>
      <c r="CB235" s="6" t="s">
        <v>261</v>
      </c>
      <c r="CD235" s="1" t="s">
        <v>820</v>
      </c>
      <c r="CV235" s="25" t="s">
        <v>388</v>
      </c>
      <c r="CZ235" s="6" t="s">
        <v>116</v>
      </c>
      <c r="DA235" s="6">
        <v>1</v>
      </c>
      <c r="DB235" s="6">
        <v>1</v>
      </c>
      <c r="DC235" s="6">
        <v>1</v>
      </c>
    </row>
    <row r="236" spans="1:107">
      <c r="A236" s="26" t="s">
        <v>540</v>
      </c>
      <c r="B236" s="6" t="s">
        <v>112</v>
      </c>
      <c r="E236" s="6">
        <v>14</v>
      </c>
      <c r="G236" s="6" t="str">
        <f t="shared" si="8"/>
        <v>Strength 8</v>
      </c>
      <c r="H236" s="6">
        <v>3</v>
      </c>
      <c r="I236" s="7"/>
      <c r="K236" s="6">
        <v>5.4</v>
      </c>
      <c r="L236" s="28">
        <v>400</v>
      </c>
      <c r="BQ236" s="7"/>
      <c r="CB236" s="6" t="s">
        <v>261</v>
      </c>
      <c r="CD236" s="1" t="s">
        <v>820</v>
      </c>
      <c r="CV236" s="25" t="s">
        <v>387</v>
      </c>
      <c r="CZ236" s="6" t="s">
        <v>116</v>
      </c>
      <c r="DA236" s="6">
        <v>1</v>
      </c>
      <c r="DB236" s="6">
        <v>1</v>
      </c>
      <c r="DC236" s="6">
        <v>1</v>
      </c>
    </row>
    <row r="237" spans="1:107">
      <c r="A237" s="26" t="s">
        <v>548</v>
      </c>
      <c r="B237" s="6" t="s">
        <v>112</v>
      </c>
      <c r="E237" s="6">
        <v>15</v>
      </c>
      <c r="G237" s="6" t="str">
        <f t="shared" si="8"/>
        <v>Strength 8</v>
      </c>
      <c r="H237" s="6">
        <v>3</v>
      </c>
      <c r="I237" s="7"/>
      <c r="K237" s="6">
        <v>5.4</v>
      </c>
      <c r="L237" s="28">
        <v>400</v>
      </c>
      <c r="BQ237" s="7"/>
      <c r="CB237" s="6" t="s">
        <v>261</v>
      </c>
      <c r="CD237" s="1" t="s">
        <v>820</v>
      </c>
      <c r="CV237" s="25" t="s">
        <v>388</v>
      </c>
      <c r="CZ237" s="6" t="s">
        <v>116</v>
      </c>
      <c r="DA237" s="6">
        <v>1</v>
      </c>
      <c r="DB237" s="6">
        <v>1</v>
      </c>
      <c r="DC237" s="6">
        <v>1</v>
      </c>
    </row>
    <row r="238" spans="1:107">
      <c r="A238" s="1" t="s">
        <v>889</v>
      </c>
      <c r="B238" s="6" t="s">
        <v>112</v>
      </c>
      <c r="E238" s="6">
        <v>16</v>
      </c>
      <c r="G238" s="6" t="str">
        <f t="shared" si="8"/>
        <v>Strength 9</v>
      </c>
      <c r="H238" s="6">
        <v>3</v>
      </c>
      <c r="I238" s="7"/>
      <c r="K238" s="6">
        <v>5.4</v>
      </c>
      <c r="L238" s="28">
        <v>400</v>
      </c>
      <c r="BQ238" s="7"/>
      <c r="CB238" s="6" t="s">
        <v>261</v>
      </c>
      <c r="CD238" s="1" t="s">
        <v>820</v>
      </c>
      <c r="CV238" s="25" t="s">
        <v>387</v>
      </c>
      <c r="CZ238" s="6" t="s">
        <v>116</v>
      </c>
      <c r="DA238" s="6">
        <v>1</v>
      </c>
      <c r="DB238" s="6">
        <v>1</v>
      </c>
      <c r="DC238" s="6">
        <v>1</v>
      </c>
    </row>
    <row r="239" spans="1:107">
      <c r="A239" s="1" t="s">
        <v>1038</v>
      </c>
      <c r="B239" s="6" t="s">
        <v>112</v>
      </c>
      <c r="E239" s="6">
        <v>17</v>
      </c>
      <c r="G239" s="6" t="str">
        <f t="shared" si="8"/>
        <v>Strength 9</v>
      </c>
      <c r="H239" s="6">
        <v>3</v>
      </c>
      <c r="I239" s="7"/>
      <c r="K239" s="6">
        <v>5.4</v>
      </c>
      <c r="L239" s="28">
        <v>400</v>
      </c>
      <c r="BQ239" s="7"/>
      <c r="CB239" s="6" t="s">
        <v>261</v>
      </c>
      <c r="CD239" s="1" t="s">
        <v>820</v>
      </c>
      <c r="CV239" s="25" t="s">
        <v>388</v>
      </c>
      <c r="CZ239" s="6" t="s">
        <v>116</v>
      </c>
      <c r="DA239" s="6">
        <v>1</v>
      </c>
      <c r="DB239" s="6">
        <v>1</v>
      </c>
      <c r="DC239" s="6">
        <v>1</v>
      </c>
    </row>
    <row r="240" spans="1:107">
      <c r="A240" s="26" t="s">
        <v>890</v>
      </c>
      <c r="B240" s="6" t="s">
        <v>112</v>
      </c>
      <c r="E240" s="6">
        <v>18</v>
      </c>
      <c r="G240" s="6" t="str">
        <f t="shared" si="8"/>
        <v>Strength 9</v>
      </c>
      <c r="H240" s="6">
        <v>3</v>
      </c>
      <c r="I240" s="7"/>
      <c r="K240" s="6">
        <v>5.4</v>
      </c>
      <c r="L240" s="28">
        <v>400</v>
      </c>
      <c r="BQ240" s="7"/>
      <c r="CB240" s="6" t="s">
        <v>261</v>
      </c>
      <c r="CD240" s="1" t="s">
        <v>820</v>
      </c>
      <c r="CV240" s="25" t="s">
        <v>387</v>
      </c>
      <c r="CZ240" s="6" t="s">
        <v>116</v>
      </c>
      <c r="DA240" s="6">
        <v>1</v>
      </c>
      <c r="DB240" s="6">
        <v>1</v>
      </c>
      <c r="DC240" s="6">
        <v>1</v>
      </c>
    </row>
    <row r="241" spans="1:108">
      <c r="A241" s="26" t="s">
        <v>891</v>
      </c>
      <c r="B241" s="6" t="s">
        <v>112</v>
      </c>
      <c r="E241" s="6">
        <v>19</v>
      </c>
      <c r="G241" s="6" t="str">
        <f t="shared" si="8"/>
        <v>Strength 9</v>
      </c>
      <c r="H241" s="6">
        <v>3</v>
      </c>
      <c r="I241" s="7"/>
      <c r="K241" s="6">
        <v>5.4</v>
      </c>
      <c r="L241" s="28">
        <v>400</v>
      </c>
      <c r="BQ241" s="7"/>
      <c r="CB241" s="6" t="s">
        <v>261</v>
      </c>
      <c r="CD241" s="1" t="s">
        <v>820</v>
      </c>
      <c r="CV241" s="25" t="s">
        <v>388</v>
      </c>
      <c r="CZ241" s="6" t="s">
        <v>116</v>
      </c>
      <c r="DA241" s="6">
        <v>1</v>
      </c>
      <c r="DB241" s="6">
        <v>1</v>
      </c>
      <c r="DC241" s="6">
        <v>1</v>
      </c>
    </row>
    <row r="242" spans="1:108">
      <c r="A242" s="26" t="s">
        <v>892</v>
      </c>
      <c r="B242" s="6" t="s">
        <v>112</v>
      </c>
      <c r="E242" s="6">
        <v>20</v>
      </c>
      <c r="G242" s="6" t="str">
        <f t="shared" si="8"/>
        <v>Strength 9</v>
      </c>
      <c r="H242" s="6">
        <v>3</v>
      </c>
      <c r="I242" s="7"/>
      <c r="K242" s="6">
        <v>5.4</v>
      </c>
      <c r="L242" s="28">
        <v>400</v>
      </c>
      <c r="BQ242" s="7"/>
      <c r="CB242" s="6" t="s">
        <v>261</v>
      </c>
      <c r="CD242" s="1" t="s">
        <v>820</v>
      </c>
      <c r="CV242" s="25" t="s">
        <v>387</v>
      </c>
      <c r="CZ242" s="6" t="s">
        <v>116</v>
      </c>
      <c r="DA242" s="6">
        <v>1</v>
      </c>
      <c r="DB242" s="6">
        <v>1</v>
      </c>
      <c r="DC242" s="6">
        <v>1</v>
      </c>
    </row>
    <row r="243" spans="1:108" s="60" customFormat="1">
      <c r="A243" s="60" t="s">
        <v>1171</v>
      </c>
      <c r="C243" s="60" t="s">
        <v>71</v>
      </c>
      <c r="D243" s="60">
        <v>1</v>
      </c>
      <c r="F243" s="60" t="s">
        <v>120</v>
      </c>
      <c r="H243" s="60">
        <v>2</v>
      </c>
      <c r="I243" s="60">
        <v>3</v>
      </c>
      <c r="J243" s="60">
        <v>6</v>
      </c>
      <c r="K243" s="60">
        <v>2.8</v>
      </c>
      <c r="L243" s="60">
        <v>400</v>
      </c>
      <c r="M243" s="60">
        <v>0</v>
      </c>
      <c r="O243" s="60">
        <v>0</v>
      </c>
      <c r="P243" s="60">
        <v>0</v>
      </c>
      <c r="Q243" s="60">
        <v>0</v>
      </c>
      <c r="R243" s="60">
        <v>0</v>
      </c>
      <c r="S243" s="60">
        <v>0</v>
      </c>
      <c r="T243" s="60">
        <v>0</v>
      </c>
      <c r="U243" s="60">
        <v>0</v>
      </c>
      <c r="V243" s="60">
        <v>0</v>
      </c>
      <c r="W243" s="60">
        <v>0</v>
      </c>
      <c r="BX243" s="57"/>
      <c r="BY243" s="57"/>
      <c r="BZ243" s="57"/>
      <c r="CA243" s="75"/>
      <c r="CC243" s="60" t="s">
        <v>695</v>
      </c>
      <c r="CE243" s="60" t="s">
        <v>1049</v>
      </c>
      <c r="DD243" s="60">
        <v>0</v>
      </c>
    </row>
    <row r="244" spans="1:108">
      <c r="A244" s="26" t="s">
        <v>348</v>
      </c>
      <c r="B244" s="1" t="s">
        <v>1171</v>
      </c>
      <c r="E244" s="6">
        <v>1</v>
      </c>
      <c r="G244" s="23"/>
      <c r="L244" s="28"/>
      <c r="BX244" s="48"/>
      <c r="BY244" s="48"/>
      <c r="BZ244" s="48"/>
      <c r="CA244" s="73"/>
      <c r="CV244" s="25" t="s">
        <v>389</v>
      </c>
      <c r="CZ244" s="6" t="s">
        <v>120</v>
      </c>
      <c r="DA244" s="6">
        <v>1</v>
      </c>
      <c r="DB244" s="6">
        <v>1</v>
      </c>
      <c r="DC244" s="6">
        <v>1</v>
      </c>
    </row>
    <row r="245" spans="1:108">
      <c r="A245" s="26" t="s">
        <v>364</v>
      </c>
      <c r="B245" s="1" t="s">
        <v>1171</v>
      </c>
      <c r="E245" s="6">
        <v>2</v>
      </c>
      <c r="G245" s="23"/>
      <c r="L245" s="28"/>
      <c r="CV245" s="25" t="s">
        <v>390</v>
      </c>
      <c r="CZ245" s="6" t="s">
        <v>120</v>
      </c>
      <c r="DA245" s="6">
        <v>1</v>
      </c>
      <c r="DB245" s="6">
        <v>1</v>
      </c>
      <c r="DC245" s="6">
        <v>1</v>
      </c>
    </row>
    <row r="246" spans="1:108">
      <c r="A246" s="26" t="s">
        <v>400</v>
      </c>
      <c r="B246" s="1" t="s">
        <v>1171</v>
      </c>
      <c r="E246" s="6">
        <v>3</v>
      </c>
      <c r="G246" s="23"/>
      <c r="L246" s="28"/>
      <c r="CV246" s="25" t="s">
        <v>389</v>
      </c>
      <c r="CZ246" s="6" t="s">
        <v>120</v>
      </c>
      <c r="DA246" s="6">
        <v>1</v>
      </c>
      <c r="DB246" s="6">
        <v>1</v>
      </c>
      <c r="DC246" s="6">
        <v>1</v>
      </c>
    </row>
    <row r="247" spans="1:108">
      <c r="A247" s="26" t="s">
        <v>401</v>
      </c>
      <c r="B247" s="1" t="s">
        <v>1171</v>
      </c>
      <c r="E247" s="6">
        <v>4</v>
      </c>
      <c r="G247" s="23"/>
      <c r="L247" s="28"/>
      <c r="CV247" s="25" t="s">
        <v>390</v>
      </c>
      <c r="CZ247" s="6" t="s">
        <v>120</v>
      </c>
      <c r="DA247" s="6">
        <v>1</v>
      </c>
      <c r="DB247" s="6">
        <v>1</v>
      </c>
      <c r="DC247" s="6">
        <v>1</v>
      </c>
    </row>
    <row r="248" spans="1:108">
      <c r="A248" s="26" t="s">
        <v>402</v>
      </c>
      <c r="B248" s="1" t="s">
        <v>1171</v>
      </c>
      <c r="E248" s="6">
        <v>5</v>
      </c>
      <c r="G248" s="23"/>
      <c r="L248" s="28"/>
      <c r="CV248" s="25" t="s">
        <v>390</v>
      </c>
      <c r="CZ248" s="6" t="s">
        <v>120</v>
      </c>
      <c r="DA248" s="6">
        <v>1</v>
      </c>
      <c r="DB248" s="6">
        <v>1</v>
      </c>
      <c r="DC248" s="6">
        <v>1</v>
      </c>
    </row>
    <row r="249" spans="1:108">
      <c r="A249" s="26" t="s">
        <v>403</v>
      </c>
      <c r="B249" s="1" t="s">
        <v>1171</v>
      </c>
      <c r="E249" s="6">
        <v>6</v>
      </c>
      <c r="G249" s="23"/>
      <c r="L249" s="28"/>
      <c r="CV249" s="25" t="s">
        <v>389</v>
      </c>
      <c r="CZ249" s="6" t="s">
        <v>120</v>
      </c>
      <c r="DA249" s="6">
        <v>1</v>
      </c>
      <c r="DB249" s="6">
        <v>1</v>
      </c>
      <c r="DC249" s="6">
        <v>1</v>
      </c>
    </row>
    <row r="250" spans="1:108">
      <c r="A250" s="6" t="s">
        <v>125</v>
      </c>
      <c r="B250" s="1" t="s">
        <v>1171</v>
      </c>
      <c r="E250" s="6">
        <v>7</v>
      </c>
      <c r="G250" s="23"/>
      <c r="L250" s="28"/>
      <c r="CB250" s="6" t="s">
        <v>344</v>
      </c>
      <c r="CV250" s="6" t="s">
        <v>630</v>
      </c>
      <c r="CZ250" s="6" t="s">
        <v>120</v>
      </c>
      <c r="DA250" s="6">
        <v>1</v>
      </c>
      <c r="DB250" s="6">
        <v>1</v>
      </c>
      <c r="DC250" s="6">
        <v>1</v>
      </c>
    </row>
    <row r="251" spans="1:108">
      <c r="A251" s="6" t="s">
        <v>366</v>
      </c>
      <c r="B251" s="1" t="s">
        <v>1171</v>
      </c>
      <c r="E251" s="6">
        <v>8</v>
      </c>
      <c r="G251" s="23"/>
      <c r="L251" s="28"/>
      <c r="CB251" s="6" t="s">
        <v>344</v>
      </c>
      <c r="CV251" s="6" t="s">
        <v>630</v>
      </c>
      <c r="CZ251" s="6" t="s">
        <v>120</v>
      </c>
      <c r="DA251" s="6">
        <v>1</v>
      </c>
      <c r="DB251" s="6">
        <v>1</v>
      </c>
      <c r="DC251" s="6">
        <v>1</v>
      </c>
    </row>
    <row r="252" spans="1:108">
      <c r="A252" s="26" t="s">
        <v>370</v>
      </c>
      <c r="B252" s="1" t="s">
        <v>1171</v>
      </c>
      <c r="E252" s="6">
        <v>9</v>
      </c>
      <c r="G252" s="23"/>
      <c r="L252" s="28"/>
      <c r="CB252" s="6" t="s">
        <v>344</v>
      </c>
      <c r="CV252" s="6" t="s">
        <v>630</v>
      </c>
      <c r="CZ252" s="6" t="s">
        <v>120</v>
      </c>
      <c r="DA252" s="6">
        <v>1</v>
      </c>
      <c r="DB252" s="6">
        <v>1</v>
      </c>
      <c r="DC252" s="6">
        <v>1</v>
      </c>
    </row>
    <row r="253" spans="1:108">
      <c r="A253" s="1" t="s">
        <v>404</v>
      </c>
      <c r="B253" s="1" t="s">
        <v>1171</v>
      </c>
      <c r="E253" s="6">
        <v>10</v>
      </c>
      <c r="G253" s="23"/>
      <c r="L253" s="28"/>
      <c r="CB253" s="6" t="s">
        <v>344</v>
      </c>
      <c r="CV253" s="6" t="s">
        <v>630</v>
      </c>
      <c r="CZ253" s="6" t="s">
        <v>120</v>
      </c>
      <c r="DA253" s="6">
        <v>1</v>
      </c>
      <c r="DB253" s="6">
        <v>1</v>
      </c>
      <c r="DC253" s="6">
        <v>1</v>
      </c>
    </row>
    <row r="254" spans="1:108">
      <c r="A254" s="26" t="s">
        <v>405</v>
      </c>
      <c r="B254" s="1" t="s">
        <v>1171</v>
      </c>
      <c r="E254" s="6">
        <v>11</v>
      </c>
      <c r="G254" s="23"/>
      <c r="L254" s="28"/>
      <c r="CB254" s="6" t="s">
        <v>344</v>
      </c>
      <c r="CV254" s="6" t="s">
        <v>630</v>
      </c>
      <c r="CZ254" s="6" t="s">
        <v>120</v>
      </c>
      <c r="DA254" s="6">
        <v>1</v>
      </c>
      <c r="DB254" s="6">
        <v>1</v>
      </c>
      <c r="DC254" s="6">
        <v>1</v>
      </c>
    </row>
    <row r="255" spans="1:108">
      <c r="A255" s="6" t="s">
        <v>406</v>
      </c>
      <c r="B255" s="1" t="s">
        <v>1171</v>
      </c>
      <c r="E255" s="6">
        <v>12</v>
      </c>
      <c r="G255" s="23"/>
      <c r="L255" s="28"/>
      <c r="CB255" s="6" t="s">
        <v>344</v>
      </c>
      <c r="CV255" s="6" t="s">
        <v>630</v>
      </c>
      <c r="CZ255" s="6" t="s">
        <v>120</v>
      </c>
      <c r="DA255" s="6">
        <v>1</v>
      </c>
      <c r="DB255" s="6">
        <v>1</v>
      </c>
      <c r="DC255" s="6">
        <v>1</v>
      </c>
    </row>
    <row r="256" spans="1:108">
      <c r="A256" s="6" t="s">
        <v>407</v>
      </c>
      <c r="B256" s="1" t="s">
        <v>1171</v>
      </c>
      <c r="E256" s="6">
        <v>13</v>
      </c>
      <c r="G256" s="23"/>
      <c r="L256" s="28"/>
      <c r="CB256" s="6" t="s">
        <v>344</v>
      </c>
      <c r="CV256" s="6" t="s">
        <v>630</v>
      </c>
      <c r="CZ256" s="6" t="s">
        <v>120</v>
      </c>
      <c r="DA256" s="6">
        <v>1</v>
      </c>
      <c r="DB256" s="6">
        <v>1</v>
      </c>
      <c r="DC256" s="6">
        <v>1</v>
      </c>
    </row>
    <row r="257" spans="1:108">
      <c r="A257" s="26" t="s">
        <v>676</v>
      </c>
      <c r="B257" s="1" t="s">
        <v>1171</v>
      </c>
      <c r="E257" s="6">
        <v>14</v>
      </c>
      <c r="G257" s="23"/>
      <c r="L257" s="28"/>
      <c r="CB257" s="6" t="s">
        <v>344</v>
      </c>
      <c r="CV257" s="6" t="s">
        <v>630</v>
      </c>
      <c r="CZ257" s="6" t="s">
        <v>120</v>
      </c>
      <c r="DA257" s="6">
        <v>1</v>
      </c>
      <c r="DB257" s="6">
        <v>1</v>
      </c>
      <c r="DC257" s="6">
        <v>1</v>
      </c>
    </row>
    <row r="258" spans="1:108">
      <c r="A258" s="1" t="s">
        <v>677</v>
      </c>
      <c r="B258" s="1" t="s">
        <v>1171</v>
      </c>
      <c r="E258" s="6">
        <v>15</v>
      </c>
      <c r="G258" s="23"/>
      <c r="L258" s="28"/>
      <c r="CB258" s="6" t="s">
        <v>344</v>
      </c>
      <c r="CV258" s="6" t="s">
        <v>630</v>
      </c>
      <c r="CZ258" s="6" t="s">
        <v>120</v>
      </c>
      <c r="DA258" s="6">
        <v>1</v>
      </c>
      <c r="DB258" s="6">
        <v>1</v>
      </c>
      <c r="DC258" s="6">
        <v>1</v>
      </c>
    </row>
    <row r="259" spans="1:108">
      <c r="A259" s="26" t="s">
        <v>678</v>
      </c>
      <c r="B259" s="1" t="s">
        <v>1171</v>
      </c>
      <c r="E259" s="6">
        <v>16</v>
      </c>
      <c r="G259" s="23"/>
      <c r="L259" s="28"/>
      <c r="CB259" s="6" t="s">
        <v>344</v>
      </c>
      <c r="CV259" s="6" t="s">
        <v>630</v>
      </c>
      <c r="CZ259" s="6" t="s">
        <v>120</v>
      </c>
      <c r="DA259" s="6">
        <v>1</v>
      </c>
      <c r="DB259" s="6">
        <v>1</v>
      </c>
      <c r="DC259" s="6">
        <v>1</v>
      </c>
    </row>
    <row r="260" spans="1:108">
      <c r="A260" s="1" t="s">
        <v>679</v>
      </c>
      <c r="B260" s="1" t="s">
        <v>1171</v>
      </c>
      <c r="E260" s="6">
        <v>17</v>
      </c>
      <c r="G260" s="23"/>
      <c r="L260" s="28"/>
      <c r="CB260" s="6" t="s">
        <v>344</v>
      </c>
      <c r="CV260" s="6" t="s">
        <v>630</v>
      </c>
      <c r="CZ260" s="6" t="s">
        <v>120</v>
      </c>
      <c r="DA260" s="6">
        <v>1</v>
      </c>
      <c r="DB260" s="6">
        <v>1</v>
      </c>
      <c r="DC260" s="6">
        <v>1</v>
      </c>
    </row>
    <row r="261" spans="1:108">
      <c r="A261" s="1" t="s">
        <v>680</v>
      </c>
      <c r="B261" s="1" t="s">
        <v>1171</v>
      </c>
      <c r="E261" s="6">
        <v>18</v>
      </c>
      <c r="G261" s="23"/>
      <c r="L261" s="28"/>
      <c r="CB261" s="6" t="s">
        <v>344</v>
      </c>
      <c r="CV261" s="6" t="s">
        <v>630</v>
      </c>
      <c r="CZ261" s="6" t="s">
        <v>120</v>
      </c>
      <c r="DA261" s="6">
        <v>1</v>
      </c>
      <c r="DB261" s="6">
        <v>1</v>
      </c>
      <c r="DC261" s="6">
        <v>1</v>
      </c>
    </row>
    <row r="262" spans="1:108">
      <c r="A262" s="1" t="s">
        <v>893</v>
      </c>
      <c r="B262" s="1" t="s">
        <v>1171</v>
      </c>
      <c r="E262" s="6">
        <v>19</v>
      </c>
      <c r="G262" s="23"/>
      <c r="L262" s="28"/>
      <c r="CB262" s="6" t="s">
        <v>344</v>
      </c>
      <c r="CV262" s="6" t="s">
        <v>630</v>
      </c>
      <c r="CZ262" s="6" t="s">
        <v>120</v>
      </c>
      <c r="DA262" s="6">
        <v>1</v>
      </c>
      <c r="DB262" s="6">
        <v>1</v>
      </c>
      <c r="DC262" s="6">
        <v>1</v>
      </c>
    </row>
    <row r="263" spans="1:108">
      <c r="A263" s="1" t="s">
        <v>894</v>
      </c>
      <c r="B263" s="1" t="s">
        <v>1171</v>
      </c>
      <c r="E263" s="6">
        <v>20</v>
      </c>
      <c r="G263" s="23"/>
      <c r="L263" s="28"/>
      <c r="CB263" s="6" t="s">
        <v>344</v>
      </c>
      <c r="CV263" s="6" t="s">
        <v>630</v>
      </c>
      <c r="CZ263" s="6" t="s">
        <v>120</v>
      </c>
      <c r="DA263" s="6">
        <v>1</v>
      </c>
      <c r="DB263" s="6">
        <v>1</v>
      </c>
      <c r="DC263" s="6">
        <v>1</v>
      </c>
    </row>
    <row r="264" spans="1:108">
      <c r="A264" s="1" t="s">
        <v>895</v>
      </c>
      <c r="B264" s="1" t="s">
        <v>1171</v>
      </c>
      <c r="E264" s="6">
        <v>16</v>
      </c>
      <c r="G264" s="6" t="str">
        <f>CONCATENATE("Dexterity ",MIN(MAX(ROUND(SQRT((5)*(E264/1.4))+1,0),5),15))</f>
        <v>Dexterity 9</v>
      </c>
      <c r="H264" s="6">
        <v>3</v>
      </c>
      <c r="K264" s="6">
        <v>3</v>
      </c>
      <c r="L264" s="28"/>
      <c r="CV264" s="6" t="s">
        <v>662</v>
      </c>
      <c r="CZ264" s="6" t="s">
        <v>120</v>
      </c>
      <c r="DA264" s="6">
        <v>1</v>
      </c>
      <c r="DB264" s="6">
        <v>1</v>
      </c>
      <c r="DC264" s="6">
        <v>1</v>
      </c>
    </row>
    <row r="265" spans="1:108">
      <c r="A265" s="1" t="s">
        <v>896</v>
      </c>
      <c r="B265" s="1" t="s">
        <v>1171</v>
      </c>
      <c r="E265" s="6">
        <v>17</v>
      </c>
      <c r="G265" s="6" t="str">
        <f t="shared" ref="G265:G268" si="9">CONCATENATE("Dexterity ",MIN(MAX(ROUND(SQRT((5)*(E265/1.4))+1,0),5),15))</f>
        <v>Dexterity 9</v>
      </c>
      <c r="H265" s="6">
        <v>3</v>
      </c>
      <c r="K265" s="6">
        <v>3</v>
      </c>
      <c r="L265" s="28"/>
      <c r="CV265" s="6" t="s">
        <v>662</v>
      </c>
      <c r="CZ265" s="6" t="s">
        <v>120</v>
      </c>
      <c r="DA265" s="6">
        <v>1</v>
      </c>
      <c r="DB265" s="6">
        <v>1</v>
      </c>
      <c r="DC265" s="6">
        <v>1</v>
      </c>
    </row>
    <row r="266" spans="1:108">
      <c r="A266" s="1" t="s">
        <v>897</v>
      </c>
      <c r="B266" s="1" t="s">
        <v>1171</v>
      </c>
      <c r="E266" s="6">
        <v>18</v>
      </c>
      <c r="G266" s="6" t="str">
        <f t="shared" si="9"/>
        <v>Dexterity 9</v>
      </c>
      <c r="H266" s="6">
        <v>3</v>
      </c>
      <c r="K266" s="6">
        <v>3</v>
      </c>
      <c r="L266" s="28"/>
      <c r="CV266" s="6" t="s">
        <v>662</v>
      </c>
      <c r="CZ266" s="6" t="s">
        <v>120</v>
      </c>
      <c r="DA266" s="6">
        <v>1</v>
      </c>
      <c r="DB266" s="6">
        <v>1</v>
      </c>
      <c r="DC266" s="6">
        <v>1</v>
      </c>
    </row>
    <row r="267" spans="1:108">
      <c r="A267" s="1" t="s">
        <v>898</v>
      </c>
      <c r="B267" s="1" t="s">
        <v>1171</v>
      </c>
      <c r="E267" s="6">
        <v>19</v>
      </c>
      <c r="G267" s="6" t="str">
        <f t="shared" si="9"/>
        <v>Dexterity 9</v>
      </c>
      <c r="H267" s="6">
        <v>3</v>
      </c>
      <c r="K267" s="6">
        <v>3</v>
      </c>
      <c r="L267" s="28"/>
      <c r="CV267" s="6" t="s">
        <v>662</v>
      </c>
      <c r="CZ267" s="6" t="s">
        <v>120</v>
      </c>
      <c r="DA267" s="6">
        <v>1</v>
      </c>
      <c r="DB267" s="6">
        <v>1</v>
      </c>
      <c r="DC267" s="6">
        <v>1</v>
      </c>
    </row>
    <row r="268" spans="1:108">
      <c r="A268" s="1" t="s">
        <v>899</v>
      </c>
      <c r="B268" s="1" t="s">
        <v>1171</v>
      </c>
      <c r="E268" s="6">
        <v>20</v>
      </c>
      <c r="G268" s="6" t="str">
        <f t="shared" si="9"/>
        <v>Dexterity 9</v>
      </c>
      <c r="H268" s="6">
        <v>3</v>
      </c>
      <c r="K268" s="6">
        <v>3</v>
      </c>
      <c r="L268" s="28"/>
      <c r="CV268" s="6" t="s">
        <v>662</v>
      </c>
      <c r="CZ268" s="6" t="s">
        <v>120</v>
      </c>
      <c r="DA268" s="6">
        <v>1</v>
      </c>
      <c r="DB268" s="6">
        <v>1</v>
      </c>
      <c r="DC268" s="6">
        <v>1</v>
      </c>
    </row>
    <row r="269" spans="1:108" s="33" customFormat="1" ht="15">
      <c r="A269" s="33" t="s">
        <v>1118</v>
      </c>
      <c r="B269" s="33" t="s">
        <v>1171</v>
      </c>
      <c r="E269" s="33">
        <v>16</v>
      </c>
      <c r="G269" s="33" t="s">
        <v>1121</v>
      </c>
      <c r="H269" s="33">
        <v>3</v>
      </c>
      <c r="K269" s="33">
        <v>8</v>
      </c>
      <c r="L269" s="33">
        <v>400</v>
      </c>
      <c r="T269" s="33">
        <v>5</v>
      </c>
      <c r="AC269" s="33">
        <v>2</v>
      </c>
      <c r="BN269" s="33">
        <v>8</v>
      </c>
      <c r="BU269" s="33">
        <v>1</v>
      </c>
      <c r="BX269" s="64"/>
      <c r="BY269" s="64"/>
      <c r="BZ269" s="64"/>
      <c r="CA269" s="41"/>
      <c r="CB269" s="33" t="s">
        <v>262</v>
      </c>
      <c r="DD269" s="33">
        <v>1</v>
      </c>
    </row>
    <row r="270" spans="1:108">
      <c r="A270" s="26" t="s">
        <v>358</v>
      </c>
      <c r="B270" s="1" t="s">
        <v>1171</v>
      </c>
      <c r="E270" s="6">
        <v>6</v>
      </c>
      <c r="G270" s="6" t="str">
        <f>CONCATENATE("Strength ",MIN(MAX(ROUND(SQRT((7)*(E270/1.4))+1,0),5),15))</f>
        <v>Strength 6</v>
      </c>
      <c r="H270" s="6">
        <v>4</v>
      </c>
      <c r="I270" s="6">
        <v>4</v>
      </c>
      <c r="K270" s="6">
        <v>6</v>
      </c>
      <c r="L270" s="28">
        <v>500</v>
      </c>
      <c r="BX270" s="48"/>
      <c r="BY270" s="48"/>
      <c r="BZ270" s="48"/>
      <c r="CA270" s="73"/>
      <c r="CB270" s="6" t="s">
        <v>262</v>
      </c>
      <c r="CV270" s="25" t="s">
        <v>392</v>
      </c>
      <c r="CZ270" s="6" t="s">
        <v>120</v>
      </c>
      <c r="DA270" s="6">
        <v>1</v>
      </c>
      <c r="DB270" s="6">
        <v>1</v>
      </c>
      <c r="DC270" s="6">
        <v>1</v>
      </c>
    </row>
    <row r="271" spans="1:108">
      <c r="A271" s="26" t="s">
        <v>369</v>
      </c>
      <c r="B271" s="1" t="s">
        <v>1171</v>
      </c>
      <c r="E271" s="6">
        <v>7</v>
      </c>
      <c r="G271" s="6" t="str">
        <f t="shared" ref="G271:G284" si="10">CONCATENATE("Strength ",MIN(MAX(ROUND(SQRT((7)*(E271/1.4))+1,0),5),15))</f>
        <v>Strength 7</v>
      </c>
      <c r="H271" s="6">
        <v>4</v>
      </c>
      <c r="I271" s="6">
        <v>4</v>
      </c>
      <c r="K271" s="6">
        <v>6</v>
      </c>
      <c r="L271" s="28">
        <v>500</v>
      </c>
      <c r="CB271" s="6" t="s">
        <v>262</v>
      </c>
      <c r="CV271" s="25" t="s">
        <v>392</v>
      </c>
      <c r="CZ271" s="6" t="s">
        <v>120</v>
      </c>
      <c r="DA271" s="6">
        <v>1</v>
      </c>
      <c r="DB271" s="6">
        <v>1</v>
      </c>
      <c r="DC271" s="6">
        <v>1</v>
      </c>
    </row>
    <row r="272" spans="1:108">
      <c r="A272" s="6" t="s">
        <v>126</v>
      </c>
      <c r="B272" s="1" t="s">
        <v>1171</v>
      </c>
      <c r="E272" s="6">
        <v>8</v>
      </c>
      <c r="G272" s="6" t="str">
        <f t="shared" si="10"/>
        <v>Strength 7</v>
      </c>
      <c r="H272" s="6">
        <v>4</v>
      </c>
      <c r="I272" s="6">
        <v>4</v>
      </c>
      <c r="K272" s="6">
        <v>6</v>
      </c>
      <c r="L272" s="28">
        <v>500</v>
      </c>
      <c r="CB272" s="6" t="s">
        <v>262</v>
      </c>
      <c r="CV272" s="25" t="s">
        <v>392</v>
      </c>
      <c r="CZ272" s="6" t="s">
        <v>120</v>
      </c>
      <c r="DA272" s="6">
        <v>1</v>
      </c>
      <c r="DB272" s="6">
        <v>1</v>
      </c>
      <c r="DC272" s="6">
        <v>1</v>
      </c>
    </row>
    <row r="273" spans="1:108">
      <c r="A273" s="6" t="s">
        <v>127</v>
      </c>
      <c r="B273" s="1" t="s">
        <v>1171</v>
      </c>
      <c r="E273" s="6">
        <v>9</v>
      </c>
      <c r="G273" s="6" t="str">
        <f t="shared" si="10"/>
        <v>Strength 8</v>
      </c>
      <c r="H273" s="6">
        <v>4</v>
      </c>
      <c r="I273" s="6">
        <v>4</v>
      </c>
      <c r="K273" s="6">
        <v>6</v>
      </c>
      <c r="L273" s="28">
        <v>500</v>
      </c>
      <c r="BQ273" s="7"/>
      <c r="CB273" s="6" t="s">
        <v>262</v>
      </c>
      <c r="CV273" s="25" t="s">
        <v>392</v>
      </c>
      <c r="CZ273" s="6" t="s">
        <v>120</v>
      </c>
      <c r="DA273" s="6">
        <v>1</v>
      </c>
      <c r="DB273" s="6">
        <v>1</v>
      </c>
      <c r="DC273" s="6">
        <v>1</v>
      </c>
    </row>
    <row r="274" spans="1:108">
      <c r="A274" s="26" t="s">
        <v>408</v>
      </c>
      <c r="B274" s="1" t="s">
        <v>1171</v>
      </c>
      <c r="E274" s="6">
        <v>10</v>
      </c>
      <c r="G274" s="6" t="str">
        <f t="shared" si="10"/>
        <v>Strength 8</v>
      </c>
      <c r="H274" s="6">
        <v>4</v>
      </c>
      <c r="I274" s="6">
        <v>4</v>
      </c>
      <c r="K274" s="6">
        <v>6</v>
      </c>
      <c r="L274" s="28">
        <v>500</v>
      </c>
      <c r="CB274" s="6" t="s">
        <v>262</v>
      </c>
      <c r="CV274" s="25" t="s">
        <v>392</v>
      </c>
      <c r="CZ274" s="6" t="s">
        <v>120</v>
      </c>
      <c r="DA274" s="6">
        <v>1</v>
      </c>
      <c r="DB274" s="6">
        <v>1</v>
      </c>
      <c r="DC274" s="6">
        <v>1</v>
      </c>
    </row>
    <row r="275" spans="1:108">
      <c r="A275" s="26" t="s">
        <v>409</v>
      </c>
      <c r="B275" s="1" t="s">
        <v>1171</v>
      </c>
      <c r="E275" s="6">
        <v>11</v>
      </c>
      <c r="G275" s="6" t="str">
        <f t="shared" si="10"/>
        <v>Strength 8</v>
      </c>
      <c r="H275" s="6">
        <v>4</v>
      </c>
      <c r="I275" s="6">
        <v>4</v>
      </c>
      <c r="K275" s="6">
        <v>6</v>
      </c>
      <c r="L275" s="28">
        <v>500</v>
      </c>
      <c r="CB275" s="6" t="s">
        <v>262</v>
      </c>
      <c r="CV275" s="25" t="s">
        <v>392</v>
      </c>
      <c r="CZ275" s="6" t="s">
        <v>120</v>
      </c>
      <c r="DA275" s="6">
        <v>1</v>
      </c>
      <c r="DB275" s="6">
        <v>1</v>
      </c>
      <c r="DC275" s="6">
        <v>1</v>
      </c>
    </row>
    <row r="276" spans="1:108">
      <c r="A276" s="26" t="s">
        <v>410</v>
      </c>
      <c r="B276" s="1" t="s">
        <v>1171</v>
      </c>
      <c r="E276" s="6">
        <v>12</v>
      </c>
      <c r="G276" s="6" t="str">
        <f t="shared" si="10"/>
        <v>Strength 9</v>
      </c>
      <c r="H276" s="6">
        <v>4</v>
      </c>
      <c r="I276" s="6">
        <v>4</v>
      </c>
      <c r="K276" s="6">
        <v>6</v>
      </c>
      <c r="L276" s="28">
        <v>500</v>
      </c>
      <c r="CB276" s="6" t="s">
        <v>262</v>
      </c>
      <c r="CV276" s="25" t="s">
        <v>392</v>
      </c>
      <c r="CZ276" s="6" t="s">
        <v>120</v>
      </c>
      <c r="DA276" s="6">
        <v>1</v>
      </c>
      <c r="DB276" s="6">
        <v>1</v>
      </c>
      <c r="DC276" s="6">
        <v>1</v>
      </c>
    </row>
    <row r="277" spans="1:108">
      <c r="A277" s="26" t="s">
        <v>411</v>
      </c>
      <c r="B277" s="1" t="s">
        <v>1171</v>
      </c>
      <c r="E277" s="6">
        <v>13</v>
      </c>
      <c r="G277" s="6" t="str">
        <f t="shared" si="10"/>
        <v>Strength 9</v>
      </c>
      <c r="H277" s="6">
        <v>4</v>
      </c>
      <c r="I277" s="6">
        <v>4</v>
      </c>
      <c r="K277" s="6">
        <v>6</v>
      </c>
      <c r="L277" s="28">
        <v>500</v>
      </c>
      <c r="CB277" s="6" t="s">
        <v>262</v>
      </c>
      <c r="CV277" s="25" t="s">
        <v>392</v>
      </c>
      <c r="CZ277" s="6" t="s">
        <v>120</v>
      </c>
      <c r="DA277" s="6">
        <v>1</v>
      </c>
      <c r="DB277" s="6">
        <v>1</v>
      </c>
      <c r="DC277" s="6">
        <v>1</v>
      </c>
    </row>
    <row r="278" spans="1:108">
      <c r="A278" s="26" t="s">
        <v>681</v>
      </c>
      <c r="B278" s="1" t="s">
        <v>1171</v>
      </c>
      <c r="E278" s="6">
        <v>14</v>
      </c>
      <c r="G278" s="6" t="str">
        <f t="shared" si="10"/>
        <v>Strength 9</v>
      </c>
      <c r="H278" s="6">
        <v>4</v>
      </c>
      <c r="I278" s="6">
        <v>4</v>
      </c>
      <c r="K278" s="6">
        <v>6</v>
      </c>
      <c r="L278" s="28">
        <v>500</v>
      </c>
      <c r="CB278" s="6" t="s">
        <v>262</v>
      </c>
      <c r="CV278" s="25" t="s">
        <v>391</v>
      </c>
      <c r="CZ278" s="6" t="s">
        <v>120</v>
      </c>
      <c r="DA278" s="6">
        <v>1</v>
      </c>
      <c r="DB278" s="6">
        <v>1</v>
      </c>
      <c r="DC278" s="6">
        <v>1</v>
      </c>
    </row>
    <row r="279" spans="1:108">
      <c r="A279" s="26" t="s">
        <v>682</v>
      </c>
      <c r="B279" s="1" t="s">
        <v>1171</v>
      </c>
      <c r="E279" s="6">
        <v>15</v>
      </c>
      <c r="G279" s="6" t="str">
        <f t="shared" si="10"/>
        <v>Strength 10</v>
      </c>
      <c r="H279" s="6">
        <v>4</v>
      </c>
      <c r="I279" s="6">
        <v>4</v>
      </c>
      <c r="K279" s="6">
        <v>6</v>
      </c>
      <c r="L279" s="28">
        <v>500</v>
      </c>
      <c r="BQ279" s="7"/>
      <c r="CB279" s="6" t="s">
        <v>262</v>
      </c>
      <c r="CV279" s="25" t="s">
        <v>391</v>
      </c>
      <c r="CZ279" s="6" t="s">
        <v>120</v>
      </c>
      <c r="DA279" s="6">
        <v>1</v>
      </c>
      <c r="DB279" s="6">
        <v>1</v>
      </c>
      <c r="DC279" s="6">
        <v>1</v>
      </c>
    </row>
    <row r="280" spans="1:108">
      <c r="A280" s="26" t="s">
        <v>683</v>
      </c>
      <c r="B280" s="1" t="s">
        <v>1171</v>
      </c>
      <c r="E280" s="6">
        <v>16</v>
      </c>
      <c r="G280" s="6" t="str">
        <f t="shared" si="10"/>
        <v>Strength 10</v>
      </c>
      <c r="H280" s="6">
        <v>4</v>
      </c>
      <c r="I280" s="6">
        <v>4</v>
      </c>
      <c r="K280" s="6">
        <v>6</v>
      </c>
      <c r="L280" s="28">
        <v>500</v>
      </c>
      <c r="CB280" s="6" t="s">
        <v>262</v>
      </c>
      <c r="CV280" s="25" t="s">
        <v>391</v>
      </c>
      <c r="CZ280" s="6" t="s">
        <v>120</v>
      </c>
      <c r="DA280" s="6">
        <v>1</v>
      </c>
      <c r="DB280" s="6">
        <v>1</v>
      </c>
      <c r="DC280" s="6">
        <v>1</v>
      </c>
    </row>
    <row r="281" spans="1:108">
      <c r="A281" s="26" t="s">
        <v>900</v>
      </c>
      <c r="B281" s="1" t="s">
        <v>1171</v>
      </c>
      <c r="E281" s="6">
        <v>17</v>
      </c>
      <c r="G281" s="6" t="str">
        <f t="shared" si="10"/>
        <v>Strength 10</v>
      </c>
      <c r="H281" s="6">
        <v>4</v>
      </c>
      <c r="I281" s="6">
        <v>4</v>
      </c>
      <c r="K281" s="6">
        <v>6</v>
      </c>
      <c r="L281" s="28">
        <v>500</v>
      </c>
      <c r="CB281" s="6" t="s">
        <v>262</v>
      </c>
      <c r="CV281" s="25" t="s">
        <v>391</v>
      </c>
      <c r="CZ281" s="6" t="s">
        <v>120</v>
      </c>
      <c r="DA281" s="6">
        <v>1</v>
      </c>
      <c r="DB281" s="6">
        <v>1</v>
      </c>
      <c r="DC281" s="6">
        <v>1</v>
      </c>
    </row>
    <row r="282" spans="1:108">
      <c r="A282" s="26" t="s">
        <v>901</v>
      </c>
      <c r="B282" s="1" t="s">
        <v>1171</v>
      </c>
      <c r="E282" s="6">
        <v>18</v>
      </c>
      <c r="G282" s="6" t="str">
        <f t="shared" si="10"/>
        <v>Strength 10</v>
      </c>
      <c r="H282" s="6">
        <v>4</v>
      </c>
      <c r="I282" s="6">
        <v>4</v>
      </c>
      <c r="K282" s="6">
        <v>6</v>
      </c>
      <c r="L282" s="28">
        <v>500</v>
      </c>
      <c r="CB282" s="6" t="s">
        <v>262</v>
      </c>
      <c r="CV282" s="25" t="s">
        <v>391</v>
      </c>
      <c r="CZ282" s="6" t="s">
        <v>120</v>
      </c>
      <c r="DA282" s="6">
        <v>1</v>
      </c>
      <c r="DB282" s="6">
        <v>1</v>
      </c>
      <c r="DC282" s="6">
        <v>1</v>
      </c>
    </row>
    <row r="283" spans="1:108">
      <c r="A283" s="26" t="s">
        <v>902</v>
      </c>
      <c r="B283" s="1" t="s">
        <v>1171</v>
      </c>
      <c r="E283" s="6">
        <v>19</v>
      </c>
      <c r="G283" s="6" t="str">
        <f t="shared" si="10"/>
        <v>Strength 11</v>
      </c>
      <c r="H283" s="6">
        <v>4</v>
      </c>
      <c r="I283" s="6">
        <v>4</v>
      </c>
      <c r="K283" s="6">
        <v>6</v>
      </c>
      <c r="L283" s="28">
        <v>500</v>
      </c>
      <c r="CB283" s="6" t="s">
        <v>262</v>
      </c>
      <c r="CV283" s="25" t="s">
        <v>391</v>
      </c>
      <c r="CZ283" s="6" t="s">
        <v>120</v>
      </c>
      <c r="DA283" s="6">
        <v>1</v>
      </c>
      <c r="DB283" s="6">
        <v>1</v>
      </c>
      <c r="DC283" s="6">
        <v>1</v>
      </c>
    </row>
    <row r="284" spans="1:108">
      <c r="A284" s="26" t="s">
        <v>903</v>
      </c>
      <c r="B284" s="1" t="s">
        <v>1171</v>
      </c>
      <c r="E284" s="6">
        <v>20</v>
      </c>
      <c r="G284" s="6" t="str">
        <f t="shared" si="10"/>
        <v>Strength 11</v>
      </c>
      <c r="H284" s="6">
        <v>4</v>
      </c>
      <c r="I284" s="6">
        <v>4</v>
      </c>
      <c r="K284" s="6">
        <v>6</v>
      </c>
      <c r="L284" s="28">
        <v>500</v>
      </c>
      <c r="CB284" s="6" t="s">
        <v>262</v>
      </c>
      <c r="CV284" s="25" t="s">
        <v>391</v>
      </c>
      <c r="CZ284" s="6" t="s">
        <v>120</v>
      </c>
      <c r="DA284" s="6">
        <v>1</v>
      </c>
      <c r="DB284" s="6">
        <v>1</v>
      </c>
      <c r="DC284" s="6">
        <v>1</v>
      </c>
    </row>
    <row r="285" spans="1:108" s="60" customFormat="1">
      <c r="A285" s="60" t="s">
        <v>128</v>
      </c>
      <c r="C285" s="60" t="s">
        <v>71</v>
      </c>
      <c r="D285" s="60">
        <v>1</v>
      </c>
      <c r="F285" s="60" t="s">
        <v>129</v>
      </c>
      <c r="H285" s="60">
        <v>0</v>
      </c>
      <c r="I285" s="60">
        <v>2</v>
      </c>
      <c r="J285" s="60">
        <v>2</v>
      </c>
      <c r="K285" s="60">
        <v>6</v>
      </c>
      <c r="L285" s="60">
        <v>50</v>
      </c>
      <c r="M285" s="60">
        <v>0</v>
      </c>
      <c r="N285" s="60">
        <v>0</v>
      </c>
      <c r="O285" s="60">
        <v>0</v>
      </c>
      <c r="P285" s="60">
        <v>0</v>
      </c>
      <c r="Q285" s="60">
        <v>0</v>
      </c>
      <c r="R285" s="60">
        <v>0</v>
      </c>
      <c r="S285" s="60">
        <v>0</v>
      </c>
      <c r="T285" s="60">
        <v>0</v>
      </c>
      <c r="U285" s="60">
        <v>0</v>
      </c>
      <c r="V285" s="60">
        <v>0</v>
      </c>
      <c r="W285" s="60">
        <v>0</v>
      </c>
      <c r="BX285" s="57"/>
      <c r="BY285" s="57"/>
      <c r="BZ285" s="57"/>
      <c r="CA285" s="75"/>
      <c r="CC285" s="60" t="s">
        <v>695</v>
      </c>
      <c r="DD285" s="60">
        <v>0</v>
      </c>
    </row>
    <row r="286" spans="1:108" s="33" customFormat="1" ht="15">
      <c r="A286" s="33" t="s">
        <v>1193</v>
      </c>
      <c r="B286" s="6" t="s">
        <v>128</v>
      </c>
      <c r="E286" s="33">
        <v>2</v>
      </c>
      <c r="K286" s="33">
        <v>7</v>
      </c>
      <c r="Q286" s="33">
        <v>5</v>
      </c>
      <c r="BN286" s="33">
        <v>4</v>
      </c>
      <c r="BX286" s="64"/>
      <c r="BY286" s="64"/>
      <c r="BZ286" s="18"/>
      <c r="CA286" s="18"/>
      <c r="CV286" s="6" t="s">
        <v>1202</v>
      </c>
      <c r="CZ286" s="1"/>
      <c r="DA286" s="6"/>
      <c r="DB286" s="6"/>
      <c r="DC286" s="6"/>
      <c r="DD286" s="33">
        <v>1</v>
      </c>
    </row>
    <row r="287" spans="1:108">
      <c r="A287" s="6" t="s">
        <v>130</v>
      </c>
      <c r="B287" s="6" t="s">
        <v>128</v>
      </c>
      <c r="C287" s="7"/>
      <c r="E287" s="6">
        <v>2</v>
      </c>
      <c r="L287" s="28"/>
      <c r="BX287" s="48"/>
      <c r="BY287" s="48"/>
      <c r="BZ287" s="48"/>
      <c r="CA287" s="73"/>
      <c r="CV287" s="6" t="s">
        <v>131</v>
      </c>
      <c r="CZ287" s="1" t="s">
        <v>129</v>
      </c>
      <c r="DA287" s="6">
        <v>1</v>
      </c>
      <c r="DB287" s="6">
        <v>1</v>
      </c>
      <c r="DC287" s="6">
        <v>1</v>
      </c>
    </row>
    <row r="288" spans="1:108">
      <c r="A288" s="1" t="s">
        <v>541</v>
      </c>
      <c r="B288" s="6" t="s">
        <v>128</v>
      </c>
      <c r="C288" s="7"/>
      <c r="E288" s="6">
        <v>3</v>
      </c>
      <c r="L288" s="28"/>
      <c r="CV288" s="6" t="s">
        <v>131</v>
      </c>
      <c r="CZ288" s="1" t="s">
        <v>129</v>
      </c>
      <c r="DA288" s="6">
        <v>1</v>
      </c>
      <c r="DB288" s="6">
        <v>1</v>
      </c>
      <c r="DC288" s="6">
        <v>1</v>
      </c>
    </row>
    <row r="289" spans="1:107">
      <c r="A289" s="1" t="s">
        <v>789</v>
      </c>
      <c r="B289" s="6" t="s">
        <v>128</v>
      </c>
      <c r="C289" s="7"/>
      <c r="E289" s="6">
        <v>4</v>
      </c>
      <c r="L289" s="28"/>
      <c r="CV289" s="6" t="s">
        <v>131</v>
      </c>
      <c r="CZ289" s="1" t="s">
        <v>129</v>
      </c>
      <c r="DA289" s="6">
        <v>1</v>
      </c>
      <c r="DB289" s="6">
        <v>1</v>
      </c>
      <c r="DC289" s="6">
        <v>1</v>
      </c>
    </row>
    <row r="290" spans="1:107">
      <c r="A290" s="1" t="s">
        <v>790</v>
      </c>
      <c r="B290" s="6" t="s">
        <v>128</v>
      </c>
      <c r="C290" s="7"/>
      <c r="E290" s="6">
        <v>5</v>
      </c>
      <c r="L290" s="28"/>
      <c r="CV290" s="6" t="s">
        <v>131</v>
      </c>
      <c r="CZ290" s="1" t="s">
        <v>129</v>
      </c>
      <c r="DA290" s="6">
        <v>1</v>
      </c>
      <c r="DB290" s="6">
        <v>1</v>
      </c>
      <c r="DC290" s="6">
        <v>1</v>
      </c>
    </row>
    <row r="291" spans="1:107">
      <c r="A291" s="6" t="s">
        <v>132</v>
      </c>
      <c r="B291" s="6" t="s">
        <v>128</v>
      </c>
      <c r="C291" s="7"/>
      <c r="E291" s="6">
        <v>6</v>
      </c>
      <c r="L291" s="28"/>
      <c r="CV291" s="6" t="s">
        <v>133</v>
      </c>
      <c r="CZ291" s="1" t="s">
        <v>129</v>
      </c>
      <c r="DA291" s="6">
        <v>1</v>
      </c>
      <c r="DB291" s="6">
        <v>1</v>
      </c>
      <c r="DC291" s="6">
        <v>1</v>
      </c>
    </row>
    <row r="292" spans="1:107">
      <c r="A292" s="6" t="s">
        <v>134</v>
      </c>
      <c r="B292" s="6" t="s">
        <v>128</v>
      </c>
      <c r="C292" s="7"/>
      <c r="E292" s="6">
        <v>7</v>
      </c>
      <c r="L292" s="28"/>
      <c r="CV292" s="6" t="s">
        <v>135</v>
      </c>
      <c r="CZ292" s="1" t="s">
        <v>129</v>
      </c>
      <c r="DA292" s="6">
        <v>1</v>
      </c>
      <c r="DB292" s="6">
        <v>1</v>
      </c>
      <c r="DC292" s="6">
        <v>1</v>
      </c>
    </row>
    <row r="293" spans="1:107">
      <c r="A293" s="6" t="s">
        <v>412</v>
      </c>
      <c r="B293" s="6" t="s">
        <v>128</v>
      </c>
      <c r="C293" s="7"/>
      <c r="E293" s="6">
        <v>8</v>
      </c>
      <c r="L293" s="28"/>
      <c r="CV293" s="6" t="s">
        <v>135</v>
      </c>
      <c r="CZ293" s="1" t="s">
        <v>129</v>
      </c>
      <c r="DA293" s="6">
        <v>1</v>
      </c>
      <c r="DB293" s="6">
        <v>1</v>
      </c>
      <c r="DC293" s="6">
        <v>1</v>
      </c>
    </row>
    <row r="294" spans="1:107">
      <c r="A294" s="6" t="s">
        <v>413</v>
      </c>
      <c r="B294" s="6" t="s">
        <v>128</v>
      </c>
      <c r="C294" s="7"/>
      <c r="E294" s="6">
        <v>9</v>
      </c>
      <c r="L294" s="28"/>
      <c r="CV294" s="6" t="s">
        <v>135</v>
      </c>
      <c r="CZ294" s="1" t="s">
        <v>129</v>
      </c>
      <c r="DA294" s="6">
        <v>1</v>
      </c>
      <c r="DB294" s="6">
        <v>1</v>
      </c>
      <c r="DC294" s="6">
        <v>1</v>
      </c>
    </row>
    <row r="295" spans="1:107">
      <c r="A295" s="1" t="s">
        <v>1039</v>
      </c>
      <c r="B295" s="6" t="s">
        <v>128</v>
      </c>
      <c r="C295" s="7"/>
      <c r="E295" s="6">
        <v>10</v>
      </c>
      <c r="L295" s="28"/>
      <c r="CV295" s="6" t="s">
        <v>131</v>
      </c>
      <c r="CZ295" s="1" t="s">
        <v>129</v>
      </c>
      <c r="DA295" s="6">
        <v>1</v>
      </c>
      <c r="DB295" s="6">
        <v>1</v>
      </c>
      <c r="DC295" s="6">
        <v>1</v>
      </c>
    </row>
    <row r="296" spans="1:107">
      <c r="A296" s="6" t="s">
        <v>542</v>
      </c>
      <c r="B296" s="6" t="s">
        <v>128</v>
      </c>
      <c r="C296" s="7"/>
      <c r="E296" s="6">
        <v>11</v>
      </c>
      <c r="L296" s="28"/>
      <c r="CV296" s="6" t="s">
        <v>133</v>
      </c>
      <c r="CZ296" s="1" t="s">
        <v>129</v>
      </c>
      <c r="DA296" s="6">
        <v>1</v>
      </c>
      <c r="DB296" s="6">
        <v>1</v>
      </c>
      <c r="DC296" s="6">
        <v>1</v>
      </c>
    </row>
    <row r="297" spans="1:107">
      <c r="A297" s="6" t="s">
        <v>543</v>
      </c>
      <c r="B297" s="6" t="s">
        <v>128</v>
      </c>
      <c r="C297" s="7"/>
      <c r="E297" s="6">
        <v>12</v>
      </c>
      <c r="L297" s="28"/>
      <c r="CV297" s="6" t="s">
        <v>135</v>
      </c>
      <c r="CZ297" s="1" t="s">
        <v>129</v>
      </c>
      <c r="DA297" s="6">
        <v>1</v>
      </c>
      <c r="DB297" s="6">
        <v>1</v>
      </c>
      <c r="DC297" s="6">
        <v>1</v>
      </c>
    </row>
    <row r="298" spans="1:107">
      <c r="A298" s="6" t="s">
        <v>544</v>
      </c>
      <c r="B298" s="6" t="s">
        <v>128</v>
      </c>
      <c r="C298" s="7"/>
      <c r="E298" s="6">
        <v>13</v>
      </c>
      <c r="L298" s="28"/>
      <c r="CV298" s="6" t="s">
        <v>135</v>
      </c>
      <c r="CZ298" s="1" t="s">
        <v>129</v>
      </c>
      <c r="DA298" s="6">
        <v>1</v>
      </c>
      <c r="DB298" s="6">
        <v>1</v>
      </c>
      <c r="DC298" s="6">
        <v>1</v>
      </c>
    </row>
    <row r="299" spans="1:107">
      <c r="A299" s="6" t="s">
        <v>545</v>
      </c>
      <c r="B299" s="6" t="s">
        <v>128</v>
      </c>
      <c r="C299" s="7"/>
      <c r="E299" s="6">
        <v>14</v>
      </c>
      <c r="L299" s="28"/>
      <c r="CV299" s="6" t="s">
        <v>135</v>
      </c>
      <c r="CZ299" s="1" t="s">
        <v>129</v>
      </c>
      <c r="DA299" s="6">
        <v>1</v>
      </c>
      <c r="DB299" s="6">
        <v>1</v>
      </c>
      <c r="DC299" s="6">
        <v>1</v>
      </c>
    </row>
    <row r="300" spans="1:107">
      <c r="A300" s="6" t="s">
        <v>546</v>
      </c>
      <c r="B300" s="6" t="s">
        <v>128</v>
      </c>
      <c r="C300" s="7"/>
      <c r="E300" s="6">
        <v>15</v>
      </c>
      <c r="L300" s="28"/>
      <c r="CV300" s="6" t="s">
        <v>135</v>
      </c>
      <c r="CZ300" s="1" t="s">
        <v>129</v>
      </c>
      <c r="DA300" s="6">
        <v>1</v>
      </c>
      <c r="DB300" s="6">
        <v>1</v>
      </c>
      <c r="DC300" s="6">
        <v>1</v>
      </c>
    </row>
    <row r="301" spans="1:107">
      <c r="A301" s="1" t="s">
        <v>904</v>
      </c>
      <c r="B301" s="6" t="s">
        <v>128</v>
      </c>
      <c r="C301" s="7"/>
      <c r="E301" s="6">
        <v>16</v>
      </c>
      <c r="L301" s="28"/>
      <c r="CV301" s="6" t="s">
        <v>135</v>
      </c>
      <c r="CZ301" s="1" t="s">
        <v>129</v>
      </c>
      <c r="DA301" s="6">
        <v>1</v>
      </c>
      <c r="DB301" s="6">
        <v>1</v>
      </c>
      <c r="DC301" s="6">
        <v>1</v>
      </c>
    </row>
    <row r="302" spans="1:107">
      <c r="A302" s="1" t="s">
        <v>905</v>
      </c>
      <c r="B302" s="6" t="s">
        <v>128</v>
      </c>
      <c r="C302" s="7"/>
      <c r="E302" s="6">
        <v>17</v>
      </c>
      <c r="L302" s="28"/>
      <c r="CV302" s="6" t="s">
        <v>135</v>
      </c>
      <c r="CZ302" s="1" t="s">
        <v>129</v>
      </c>
      <c r="DA302" s="6">
        <v>1</v>
      </c>
      <c r="DB302" s="6">
        <v>1</v>
      </c>
      <c r="DC302" s="6">
        <v>1</v>
      </c>
    </row>
    <row r="303" spans="1:107">
      <c r="A303" s="1" t="s">
        <v>906</v>
      </c>
      <c r="B303" s="6" t="s">
        <v>128</v>
      </c>
      <c r="C303" s="7"/>
      <c r="E303" s="6">
        <v>18</v>
      </c>
      <c r="L303" s="28"/>
      <c r="CV303" s="6" t="s">
        <v>135</v>
      </c>
      <c r="CZ303" s="1" t="s">
        <v>129</v>
      </c>
      <c r="DA303" s="6">
        <v>1</v>
      </c>
      <c r="DB303" s="6">
        <v>1</v>
      </c>
      <c r="DC303" s="6">
        <v>1</v>
      </c>
    </row>
    <row r="304" spans="1:107">
      <c r="A304" s="1" t="s">
        <v>907</v>
      </c>
      <c r="B304" s="6" t="s">
        <v>128</v>
      </c>
      <c r="C304" s="7"/>
      <c r="E304" s="6">
        <v>19</v>
      </c>
      <c r="L304" s="28"/>
      <c r="CV304" s="6" t="s">
        <v>135</v>
      </c>
      <c r="CZ304" s="1" t="s">
        <v>129</v>
      </c>
      <c r="DA304" s="6">
        <v>1</v>
      </c>
      <c r="DB304" s="6">
        <v>1</v>
      </c>
      <c r="DC304" s="6">
        <v>1</v>
      </c>
    </row>
    <row r="305" spans="1:108">
      <c r="A305" s="1" t="s">
        <v>908</v>
      </c>
      <c r="B305" s="6" t="s">
        <v>128</v>
      </c>
      <c r="C305" s="7"/>
      <c r="E305" s="6">
        <v>20</v>
      </c>
      <c r="L305" s="28"/>
      <c r="CV305" s="6" t="s">
        <v>135</v>
      </c>
      <c r="CZ305" s="1" t="s">
        <v>129</v>
      </c>
      <c r="DA305" s="6">
        <v>1</v>
      </c>
      <c r="DB305" s="6">
        <v>1</v>
      </c>
      <c r="DC305" s="6">
        <v>1</v>
      </c>
    </row>
    <row r="306" spans="1:108" s="60" customFormat="1">
      <c r="A306" s="60" t="s">
        <v>136</v>
      </c>
      <c r="C306" s="60" t="s">
        <v>71</v>
      </c>
      <c r="D306" s="60">
        <v>1</v>
      </c>
      <c r="F306" s="60" t="s">
        <v>137</v>
      </c>
      <c r="H306" s="60">
        <v>0</v>
      </c>
      <c r="I306" s="60">
        <v>2</v>
      </c>
      <c r="J306" s="60">
        <v>2</v>
      </c>
      <c r="K306" s="60">
        <v>7</v>
      </c>
      <c r="L306" s="60">
        <v>70</v>
      </c>
      <c r="M306" s="60">
        <v>0</v>
      </c>
      <c r="N306" s="60">
        <v>0</v>
      </c>
      <c r="O306" s="60">
        <v>0</v>
      </c>
      <c r="P306" s="60">
        <v>0</v>
      </c>
      <c r="Q306" s="60">
        <v>0</v>
      </c>
      <c r="R306" s="60">
        <v>0</v>
      </c>
      <c r="S306" s="60">
        <v>0</v>
      </c>
      <c r="T306" s="60">
        <v>0</v>
      </c>
      <c r="U306" s="60">
        <v>0</v>
      </c>
      <c r="V306" s="60">
        <v>0</v>
      </c>
      <c r="W306" s="60">
        <v>0</v>
      </c>
      <c r="BX306" s="57"/>
      <c r="BY306" s="57"/>
      <c r="BZ306" s="57"/>
      <c r="CA306" s="75"/>
      <c r="CC306" s="60" t="s">
        <v>695</v>
      </c>
      <c r="DD306" s="60">
        <v>0</v>
      </c>
    </row>
    <row r="307" spans="1:108">
      <c r="A307" s="1" t="s">
        <v>138</v>
      </c>
      <c r="B307" s="6" t="s">
        <v>136</v>
      </c>
      <c r="C307" s="7"/>
      <c r="E307" s="6">
        <v>5</v>
      </c>
      <c r="K307" s="6">
        <v>5</v>
      </c>
      <c r="L307" s="28"/>
      <c r="S307" s="8"/>
      <c r="BX307" s="48"/>
      <c r="BY307" s="48"/>
      <c r="BZ307" s="48"/>
      <c r="CA307" s="73"/>
      <c r="CV307" s="6" t="s">
        <v>139</v>
      </c>
      <c r="CZ307" s="1" t="s">
        <v>137</v>
      </c>
      <c r="DA307" s="6">
        <v>1</v>
      </c>
      <c r="DB307" s="6">
        <v>1</v>
      </c>
      <c r="DC307" s="6">
        <v>1</v>
      </c>
    </row>
    <row r="308" spans="1:108">
      <c r="A308" s="1" t="s">
        <v>791</v>
      </c>
      <c r="B308" s="6" t="s">
        <v>136</v>
      </c>
      <c r="C308" s="7"/>
      <c r="E308" s="6">
        <v>6</v>
      </c>
      <c r="L308" s="28"/>
      <c r="S308" s="8"/>
      <c r="CV308" s="6" t="s">
        <v>139</v>
      </c>
      <c r="CZ308" s="1" t="s">
        <v>137</v>
      </c>
      <c r="DA308" s="6">
        <v>1</v>
      </c>
      <c r="DB308" s="6">
        <v>1</v>
      </c>
      <c r="DC308" s="6">
        <v>1</v>
      </c>
    </row>
    <row r="309" spans="1:108">
      <c r="A309" s="1" t="s">
        <v>792</v>
      </c>
      <c r="B309" s="6" t="s">
        <v>136</v>
      </c>
      <c r="C309" s="7"/>
      <c r="E309" s="6">
        <v>7</v>
      </c>
      <c r="L309" s="28"/>
      <c r="S309" s="8"/>
      <c r="CV309" s="6" t="s">
        <v>139</v>
      </c>
      <c r="CZ309" s="1" t="s">
        <v>137</v>
      </c>
      <c r="DA309" s="6">
        <v>1</v>
      </c>
      <c r="DB309" s="6">
        <v>1</v>
      </c>
      <c r="DC309" s="6">
        <v>1</v>
      </c>
    </row>
    <row r="310" spans="1:108">
      <c r="A310" s="1" t="s">
        <v>793</v>
      </c>
      <c r="B310" s="6" t="s">
        <v>136</v>
      </c>
      <c r="C310" s="7"/>
      <c r="E310" s="6">
        <v>8</v>
      </c>
      <c r="L310" s="28"/>
      <c r="S310" s="8"/>
      <c r="CV310" s="6" t="s">
        <v>139</v>
      </c>
      <c r="CZ310" s="1" t="s">
        <v>137</v>
      </c>
      <c r="DA310" s="6">
        <v>1</v>
      </c>
      <c r="DB310" s="6">
        <v>1</v>
      </c>
      <c r="DC310" s="6">
        <v>1</v>
      </c>
    </row>
    <row r="311" spans="1:108">
      <c r="A311" s="1" t="s">
        <v>794</v>
      </c>
      <c r="B311" s="6" t="s">
        <v>136</v>
      </c>
      <c r="C311" s="7"/>
      <c r="E311" s="6">
        <v>9</v>
      </c>
      <c r="L311" s="28"/>
      <c r="S311" s="8"/>
      <c r="CV311" s="6" t="s">
        <v>139</v>
      </c>
      <c r="CZ311" s="1" t="s">
        <v>137</v>
      </c>
      <c r="DA311" s="6">
        <v>1</v>
      </c>
      <c r="DB311" s="6">
        <v>1</v>
      </c>
      <c r="DC311" s="6">
        <v>1</v>
      </c>
    </row>
    <row r="312" spans="1:108" s="2" customFormat="1">
      <c r="A312" s="1" t="s">
        <v>913</v>
      </c>
      <c r="B312" s="6" t="s">
        <v>136</v>
      </c>
      <c r="C312" s="7"/>
      <c r="D312" s="6"/>
      <c r="E312" s="6">
        <v>10</v>
      </c>
      <c r="F312" s="6"/>
      <c r="G312" s="6"/>
      <c r="H312" s="6"/>
      <c r="I312" s="6"/>
      <c r="J312" s="6"/>
      <c r="K312" s="6"/>
      <c r="L312" s="28"/>
      <c r="M312" s="6"/>
      <c r="N312" s="6"/>
      <c r="O312" s="6"/>
      <c r="P312" s="6"/>
      <c r="Q312" s="6"/>
      <c r="R312" s="6"/>
      <c r="S312" s="9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6"/>
      <c r="BX312" s="18"/>
      <c r="BY312" s="18"/>
      <c r="BZ312" s="18"/>
      <c r="CA312" s="18"/>
      <c r="CB312" s="6"/>
      <c r="CC312" s="6"/>
      <c r="CD312" s="6"/>
      <c r="CE312" s="6"/>
      <c r="CF312" s="6"/>
      <c r="CG312" s="6"/>
      <c r="CH312" s="6"/>
      <c r="CI312" s="6"/>
      <c r="CJ312" s="6"/>
      <c r="CK312" s="6"/>
      <c r="CL312" s="6"/>
      <c r="CM312" s="6"/>
      <c r="CN312" s="6"/>
      <c r="CO312" s="6"/>
      <c r="CP312" s="6"/>
      <c r="CQ312" s="6"/>
      <c r="CR312" s="6"/>
      <c r="CS312" s="6"/>
      <c r="CT312" s="6"/>
      <c r="CU312" s="6"/>
      <c r="CV312" s="6" t="s">
        <v>139</v>
      </c>
      <c r="CW312" s="6"/>
      <c r="CX312" s="6"/>
      <c r="CY312" s="6"/>
      <c r="CZ312" s="1" t="s">
        <v>137</v>
      </c>
      <c r="DA312" s="6">
        <v>1</v>
      </c>
      <c r="DB312" s="6">
        <v>1</v>
      </c>
      <c r="DC312" s="6">
        <v>1</v>
      </c>
      <c r="DD312" s="6"/>
    </row>
    <row r="313" spans="1:108" s="2" customFormat="1">
      <c r="A313" s="1" t="s">
        <v>914</v>
      </c>
      <c r="B313" s="6" t="s">
        <v>136</v>
      </c>
      <c r="C313" s="7"/>
      <c r="D313" s="6"/>
      <c r="E313" s="6">
        <v>11</v>
      </c>
      <c r="F313" s="6"/>
      <c r="G313" s="6"/>
      <c r="H313" s="6"/>
      <c r="I313" s="6"/>
      <c r="J313" s="6"/>
      <c r="K313" s="6"/>
      <c r="L313" s="28"/>
      <c r="M313" s="6"/>
      <c r="N313" s="6"/>
      <c r="O313" s="6"/>
      <c r="P313" s="6"/>
      <c r="Q313" s="6"/>
      <c r="R313" s="6"/>
      <c r="S313" s="9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6"/>
      <c r="BX313" s="18"/>
      <c r="BY313" s="18"/>
      <c r="BZ313" s="18"/>
      <c r="CA313" s="18"/>
      <c r="CB313" s="6"/>
      <c r="CC313" s="6"/>
      <c r="CD313" s="6"/>
      <c r="CE313" s="6"/>
      <c r="CF313" s="6"/>
      <c r="CG313" s="6"/>
      <c r="CH313" s="6"/>
      <c r="CI313" s="6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6" t="s">
        <v>139</v>
      </c>
      <c r="CW313" s="6"/>
      <c r="CX313" s="6"/>
      <c r="CY313" s="6"/>
      <c r="CZ313" s="1" t="s">
        <v>137</v>
      </c>
      <c r="DA313" s="6">
        <v>1</v>
      </c>
      <c r="DB313" s="6">
        <v>1</v>
      </c>
      <c r="DC313" s="6">
        <v>1</v>
      </c>
      <c r="DD313" s="6"/>
    </row>
    <row r="314" spans="1:108">
      <c r="A314" s="1" t="s">
        <v>915</v>
      </c>
      <c r="B314" s="6" t="s">
        <v>136</v>
      </c>
      <c r="E314" s="6">
        <v>12</v>
      </c>
      <c r="CV314" s="6" t="s">
        <v>139</v>
      </c>
      <c r="CZ314" s="1" t="s">
        <v>137</v>
      </c>
      <c r="DA314" s="6">
        <v>1</v>
      </c>
      <c r="DB314" s="6">
        <v>1</v>
      </c>
      <c r="DC314" s="6">
        <v>1</v>
      </c>
    </row>
    <row r="315" spans="1:108">
      <c r="A315" s="1" t="s">
        <v>140</v>
      </c>
      <c r="B315" s="6" t="s">
        <v>136</v>
      </c>
      <c r="E315" s="6">
        <v>13</v>
      </c>
      <c r="CV315" s="6" t="s">
        <v>141</v>
      </c>
      <c r="CZ315" s="1" t="s">
        <v>137</v>
      </c>
      <c r="DA315" s="6">
        <v>1</v>
      </c>
      <c r="DB315" s="6">
        <v>1</v>
      </c>
      <c r="DC315" s="6">
        <v>1</v>
      </c>
    </row>
    <row r="316" spans="1:108">
      <c r="A316" s="1" t="s">
        <v>909</v>
      </c>
      <c r="B316" s="6" t="s">
        <v>136</v>
      </c>
      <c r="E316" s="6">
        <v>14</v>
      </c>
      <c r="CV316" s="6" t="s">
        <v>141</v>
      </c>
      <c r="CZ316" s="1" t="s">
        <v>137</v>
      </c>
      <c r="DA316" s="6">
        <v>1</v>
      </c>
      <c r="DB316" s="6">
        <v>1</v>
      </c>
      <c r="DC316" s="6">
        <v>1</v>
      </c>
    </row>
    <row r="317" spans="1:108">
      <c r="A317" s="1" t="s">
        <v>910</v>
      </c>
      <c r="B317" s="6" t="s">
        <v>136</v>
      </c>
      <c r="C317" s="7"/>
      <c r="E317" s="6">
        <v>15</v>
      </c>
      <c r="L317" s="28"/>
      <c r="S317" s="8"/>
      <c r="CV317" s="6" t="s">
        <v>141</v>
      </c>
      <c r="CZ317" s="1" t="s">
        <v>137</v>
      </c>
      <c r="DA317" s="6">
        <v>1</v>
      </c>
      <c r="DB317" s="6">
        <v>1</v>
      </c>
      <c r="DC317" s="6">
        <v>1</v>
      </c>
    </row>
    <row r="318" spans="1:108">
      <c r="A318" s="1" t="s">
        <v>911</v>
      </c>
      <c r="B318" s="6" t="s">
        <v>136</v>
      </c>
      <c r="C318" s="7"/>
      <c r="E318" s="6">
        <v>16</v>
      </c>
      <c r="L318" s="28"/>
      <c r="S318" s="8"/>
      <c r="CV318" s="6" t="s">
        <v>141</v>
      </c>
      <c r="CZ318" s="1" t="s">
        <v>137</v>
      </c>
      <c r="DA318" s="6">
        <v>1</v>
      </c>
      <c r="DB318" s="6">
        <v>1</v>
      </c>
      <c r="DC318" s="6">
        <v>1</v>
      </c>
    </row>
    <row r="319" spans="1:108">
      <c r="A319" s="1" t="s">
        <v>912</v>
      </c>
      <c r="B319" s="6" t="s">
        <v>136</v>
      </c>
      <c r="C319" s="7"/>
      <c r="E319" s="6">
        <v>17</v>
      </c>
      <c r="L319" s="28"/>
      <c r="S319" s="8"/>
      <c r="CV319" s="6" t="s">
        <v>141</v>
      </c>
      <c r="CZ319" s="1" t="s">
        <v>137</v>
      </c>
      <c r="DA319" s="6">
        <v>1</v>
      </c>
      <c r="DB319" s="6">
        <v>1</v>
      </c>
      <c r="DC319" s="6">
        <v>1</v>
      </c>
    </row>
    <row r="320" spans="1:108">
      <c r="A320" s="1" t="s">
        <v>142</v>
      </c>
      <c r="B320" s="6" t="s">
        <v>136</v>
      </c>
      <c r="C320" s="7"/>
      <c r="E320" s="6">
        <v>18</v>
      </c>
      <c r="L320" s="28"/>
      <c r="S320" s="8"/>
      <c r="CG320" s="8"/>
      <c r="CV320" s="6" t="s">
        <v>143</v>
      </c>
      <c r="CZ320" s="1" t="s">
        <v>137</v>
      </c>
      <c r="DA320" s="6">
        <v>1</v>
      </c>
      <c r="DB320" s="6">
        <v>1</v>
      </c>
      <c r="DC320" s="6">
        <v>1</v>
      </c>
    </row>
    <row r="321" spans="1:107">
      <c r="A321" s="6" t="s">
        <v>414</v>
      </c>
      <c r="B321" s="6" t="s">
        <v>136</v>
      </c>
      <c r="C321" s="7"/>
      <c r="E321" s="6">
        <v>19</v>
      </c>
      <c r="L321" s="28"/>
      <c r="S321" s="8"/>
      <c r="CV321" s="6" t="s">
        <v>143</v>
      </c>
      <c r="CZ321" s="1" t="s">
        <v>137</v>
      </c>
      <c r="DA321" s="6">
        <v>1</v>
      </c>
      <c r="DB321" s="6">
        <v>1</v>
      </c>
      <c r="DC321" s="6">
        <v>1</v>
      </c>
    </row>
    <row r="322" spans="1:107">
      <c r="A322" s="6" t="s">
        <v>415</v>
      </c>
      <c r="B322" s="6" t="s">
        <v>136</v>
      </c>
      <c r="C322" s="7"/>
      <c r="E322" s="6">
        <v>20</v>
      </c>
      <c r="L322" s="28"/>
      <c r="S322" s="8"/>
      <c r="CV322" s="6" t="s">
        <v>143</v>
      </c>
      <c r="CZ322" s="1" t="s">
        <v>137</v>
      </c>
      <c r="DA322" s="6">
        <v>1</v>
      </c>
      <c r="DB322" s="6">
        <v>1</v>
      </c>
      <c r="DC322" s="6">
        <v>1</v>
      </c>
    </row>
    <row r="323" spans="1:107" s="23" customFormat="1">
      <c r="A323" s="23" t="s">
        <v>345</v>
      </c>
      <c r="S323" s="29"/>
      <c r="BX323" s="24"/>
      <c r="BY323" s="24"/>
      <c r="BZ323" s="24"/>
      <c r="CA323" s="24"/>
      <c r="CG323" s="29"/>
    </row>
    <row r="324" spans="1:107">
      <c r="A324" s="6" t="s">
        <v>121</v>
      </c>
      <c r="B324" s="1" t="s">
        <v>1171</v>
      </c>
      <c r="C324" s="7"/>
      <c r="E324" s="6">
        <v>1</v>
      </c>
      <c r="H324" s="6">
        <v>3</v>
      </c>
      <c r="I324" s="6">
        <v>2</v>
      </c>
      <c r="K324" s="6">
        <v>0.1</v>
      </c>
      <c r="L324" s="28">
        <v>500</v>
      </c>
      <c r="BL324" s="6">
        <v>-1</v>
      </c>
      <c r="BM324" s="6">
        <v>-1</v>
      </c>
      <c r="CV324" s="6" t="s">
        <v>122</v>
      </c>
      <c r="CZ324" s="1" t="s">
        <v>641</v>
      </c>
      <c r="DA324" s="6">
        <v>1</v>
      </c>
      <c r="DB324" s="6">
        <v>1</v>
      </c>
      <c r="DC324" s="6">
        <v>1</v>
      </c>
    </row>
    <row r="325" spans="1:107">
      <c r="A325" s="6" t="s">
        <v>434</v>
      </c>
      <c r="B325" s="1" t="s">
        <v>1171</v>
      </c>
      <c r="C325" s="7"/>
      <c r="E325" s="6">
        <v>2</v>
      </c>
      <c r="H325" s="6">
        <v>3</v>
      </c>
      <c r="I325" s="6">
        <v>10</v>
      </c>
      <c r="K325" s="6">
        <v>0.3</v>
      </c>
      <c r="L325" s="28">
        <v>500</v>
      </c>
      <c r="BL325" s="6">
        <v>-2</v>
      </c>
      <c r="BM325" s="6">
        <v>-2</v>
      </c>
      <c r="CV325" s="6" t="s">
        <v>435</v>
      </c>
    </row>
    <row r="326" spans="1:107">
      <c r="A326" s="6" t="s">
        <v>123</v>
      </c>
      <c r="B326" s="1" t="s">
        <v>1171</v>
      </c>
      <c r="C326" s="7"/>
      <c r="E326" s="6">
        <v>2</v>
      </c>
      <c r="H326" s="6">
        <v>3</v>
      </c>
      <c r="I326" s="6">
        <v>4</v>
      </c>
      <c r="K326" s="6">
        <v>0.4</v>
      </c>
      <c r="L326" s="28">
        <v>500</v>
      </c>
      <c r="O326" s="6">
        <v>4</v>
      </c>
      <c r="BY326" s="18" t="s">
        <v>443</v>
      </c>
      <c r="CV326" s="6" t="s">
        <v>124</v>
      </c>
    </row>
    <row r="327" spans="1:107">
      <c r="A327" s="30" t="s">
        <v>285</v>
      </c>
      <c r="B327" s="6" t="s">
        <v>136</v>
      </c>
      <c r="C327" s="7"/>
      <c r="E327" s="6">
        <v>5</v>
      </c>
      <c r="N327" s="6">
        <v>1</v>
      </c>
      <c r="S327" s="8"/>
      <c r="CG327" s="8"/>
      <c r="CV327" s="30" t="s">
        <v>286</v>
      </c>
    </row>
    <row r="328" spans="1:107">
      <c r="A328" s="30" t="s">
        <v>287</v>
      </c>
      <c r="B328" s="6" t="s">
        <v>102</v>
      </c>
      <c r="C328" s="7"/>
      <c r="E328" s="6">
        <v>5</v>
      </c>
      <c r="N328" s="6">
        <v>1</v>
      </c>
      <c r="S328" s="8"/>
      <c r="CG328" s="8"/>
      <c r="CV328" s="30" t="s">
        <v>288</v>
      </c>
    </row>
    <row r="329" spans="1:107">
      <c r="A329" s="30" t="s">
        <v>289</v>
      </c>
      <c r="B329" s="6" t="s">
        <v>128</v>
      </c>
      <c r="C329" s="7"/>
      <c r="E329" s="6">
        <v>5</v>
      </c>
      <c r="M329" s="6">
        <v>1</v>
      </c>
      <c r="S329" s="8"/>
      <c r="CG329" s="8"/>
      <c r="CV329" s="30" t="s">
        <v>290</v>
      </c>
    </row>
    <row r="330" spans="1:107">
      <c r="A330" s="30" t="s">
        <v>444</v>
      </c>
      <c r="B330" s="6" t="s">
        <v>136</v>
      </c>
      <c r="C330" s="7"/>
      <c r="E330" s="6">
        <v>9</v>
      </c>
      <c r="N330" s="6">
        <v>2</v>
      </c>
      <c r="S330" s="8"/>
      <c r="CG330" s="8"/>
      <c r="CV330" s="30" t="s">
        <v>286</v>
      </c>
    </row>
    <row r="331" spans="1:107">
      <c r="A331" s="30" t="s">
        <v>445</v>
      </c>
      <c r="B331" s="6" t="s">
        <v>102</v>
      </c>
      <c r="C331" s="7"/>
      <c r="E331" s="6">
        <v>9</v>
      </c>
      <c r="N331" s="6">
        <v>2</v>
      </c>
      <c r="S331" s="8"/>
      <c r="CG331" s="8"/>
      <c r="CV331" s="30" t="s">
        <v>288</v>
      </c>
    </row>
    <row r="332" spans="1:107">
      <c r="A332" s="30" t="s">
        <v>446</v>
      </c>
      <c r="B332" s="6" t="s">
        <v>128</v>
      </c>
      <c r="C332" s="7"/>
      <c r="E332" s="6">
        <v>9</v>
      </c>
      <c r="M332" s="6">
        <v>2</v>
      </c>
      <c r="S332" s="8"/>
      <c r="CG332" s="8"/>
      <c r="CV332" s="30" t="s">
        <v>290</v>
      </c>
    </row>
    <row r="333" spans="1:107">
      <c r="A333" s="30" t="s">
        <v>291</v>
      </c>
      <c r="B333" s="6" t="s">
        <v>136</v>
      </c>
      <c r="C333" s="7"/>
      <c r="E333" s="6">
        <v>5</v>
      </c>
      <c r="S333" s="8"/>
      <c r="X333" s="6">
        <v>1</v>
      </c>
      <c r="CG333" s="8"/>
      <c r="CV333" s="30" t="s">
        <v>292</v>
      </c>
    </row>
    <row r="334" spans="1:107">
      <c r="A334" s="30" t="s">
        <v>293</v>
      </c>
      <c r="B334" s="6" t="s">
        <v>102</v>
      </c>
      <c r="C334" s="7"/>
      <c r="E334" s="6">
        <v>5</v>
      </c>
      <c r="S334" s="8"/>
      <c r="X334" s="6">
        <v>1</v>
      </c>
      <c r="CG334" s="8"/>
      <c r="CV334" s="30" t="s">
        <v>294</v>
      </c>
    </row>
    <row r="335" spans="1:107">
      <c r="A335" s="30" t="s">
        <v>295</v>
      </c>
      <c r="B335" s="6" t="s">
        <v>128</v>
      </c>
      <c r="C335" s="7"/>
      <c r="E335" s="6">
        <v>5</v>
      </c>
      <c r="S335" s="8"/>
      <c r="AA335" s="6">
        <v>1</v>
      </c>
      <c r="CG335" s="8"/>
      <c r="CV335" s="30" t="s">
        <v>296</v>
      </c>
    </row>
    <row r="336" spans="1:107">
      <c r="A336" s="30" t="s">
        <v>447</v>
      </c>
      <c r="B336" s="6" t="s">
        <v>136</v>
      </c>
      <c r="C336" s="7"/>
      <c r="E336" s="6">
        <v>9</v>
      </c>
      <c r="S336" s="8"/>
      <c r="X336" s="6">
        <v>1</v>
      </c>
      <c r="BL336" s="6">
        <v>1</v>
      </c>
      <c r="CG336" s="8"/>
      <c r="CV336" s="30" t="s">
        <v>292</v>
      </c>
    </row>
    <row r="337" spans="1:100">
      <c r="A337" s="30" t="s">
        <v>448</v>
      </c>
      <c r="B337" s="6" t="s">
        <v>102</v>
      </c>
      <c r="C337" s="7"/>
      <c r="E337" s="6">
        <v>9</v>
      </c>
      <c r="S337" s="8"/>
      <c r="X337" s="6">
        <v>1</v>
      </c>
      <c r="BL337" s="6">
        <v>1</v>
      </c>
      <c r="CG337" s="8"/>
      <c r="CV337" s="30" t="s">
        <v>294</v>
      </c>
    </row>
    <row r="338" spans="1:100">
      <c r="A338" s="30" t="s">
        <v>449</v>
      </c>
      <c r="B338" s="6" t="s">
        <v>128</v>
      </c>
      <c r="C338" s="7"/>
      <c r="E338" s="6">
        <v>9</v>
      </c>
      <c r="S338" s="8"/>
      <c r="AA338" s="6">
        <v>1</v>
      </c>
      <c r="BL338" s="6">
        <v>1</v>
      </c>
      <c r="CG338" s="8"/>
      <c r="CV338" s="30" t="s">
        <v>296</v>
      </c>
    </row>
    <row r="339" spans="1:100">
      <c r="A339" s="30" t="s">
        <v>283</v>
      </c>
      <c r="B339" s="6" t="s">
        <v>136</v>
      </c>
      <c r="C339" s="7"/>
      <c r="E339" s="6">
        <v>5</v>
      </c>
      <c r="S339" s="8"/>
      <c r="AC339" s="6">
        <v>1</v>
      </c>
      <c r="CG339" s="8"/>
      <c r="CV339" s="30" t="s">
        <v>284</v>
      </c>
    </row>
    <row r="340" spans="1:100">
      <c r="A340" s="30" t="s">
        <v>281</v>
      </c>
      <c r="B340" s="1" t="s">
        <v>1171</v>
      </c>
      <c r="C340" s="7"/>
      <c r="E340" s="6">
        <v>5</v>
      </c>
      <c r="S340" s="8"/>
      <c r="AC340" s="6">
        <v>1</v>
      </c>
      <c r="CG340" s="8"/>
      <c r="CV340" s="30" t="s">
        <v>282</v>
      </c>
    </row>
    <row r="341" spans="1:100">
      <c r="A341" s="30" t="s">
        <v>450</v>
      </c>
      <c r="B341" s="1" t="s">
        <v>136</v>
      </c>
      <c r="C341" s="7"/>
      <c r="E341" s="6">
        <v>9</v>
      </c>
      <c r="S341" s="8"/>
      <c r="AC341" s="6">
        <v>1</v>
      </c>
      <c r="BL341" s="6">
        <v>1</v>
      </c>
      <c r="CG341" s="8"/>
      <c r="CV341" s="30" t="s">
        <v>284</v>
      </c>
    </row>
    <row r="342" spans="1:100">
      <c r="A342" s="30" t="s">
        <v>451</v>
      </c>
      <c r="B342" s="1" t="s">
        <v>1171</v>
      </c>
      <c r="C342" s="7"/>
      <c r="E342" s="6">
        <v>9</v>
      </c>
      <c r="S342" s="8"/>
      <c r="AC342" s="6">
        <v>1</v>
      </c>
      <c r="BL342" s="6">
        <v>1</v>
      </c>
      <c r="CG342" s="8"/>
      <c r="CV342" s="30" t="s">
        <v>282</v>
      </c>
    </row>
    <row r="343" spans="1:100">
      <c r="A343" s="30" t="s">
        <v>297</v>
      </c>
      <c r="B343" s="6" t="s">
        <v>136</v>
      </c>
      <c r="C343" s="7"/>
      <c r="E343" s="6">
        <v>5</v>
      </c>
      <c r="S343" s="8"/>
      <c r="Y343" s="6">
        <v>1</v>
      </c>
      <c r="CG343" s="8"/>
      <c r="CV343" s="30" t="s">
        <v>298</v>
      </c>
    </row>
    <row r="344" spans="1:100">
      <c r="A344" s="30" t="s">
        <v>299</v>
      </c>
      <c r="B344" s="6" t="s">
        <v>102</v>
      </c>
      <c r="C344" s="7"/>
      <c r="E344" s="6">
        <v>5</v>
      </c>
      <c r="N344" s="6">
        <v>1</v>
      </c>
      <c r="S344" s="8"/>
      <c r="Y344" s="6">
        <v>1</v>
      </c>
      <c r="CG344" s="8"/>
      <c r="CV344" s="30" t="s">
        <v>300</v>
      </c>
    </row>
    <row r="345" spans="1:100">
      <c r="A345" s="30" t="s">
        <v>301</v>
      </c>
      <c r="B345" s="6" t="s">
        <v>128</v>
      </c>
      <c r="C345" s="7"/>
      <c r="E345" s="6">
        <v>5</v>
      </c>
      <c r="S345" s="8"/>
      <c r="AC345" s="6">
        <v>1</v>
      </c>
      <c r="CG345" s="8"/>
      <c r="CV345" s="30" t="s">
        <v>302</v>
      </c>
    </row>
    <row r="346" spans="1:100">
      <c r="A346" s="30" t="s">
        <v>452</v>
      </c>
      <c r="B346" s="6" t="s">
        <v>136</v>
      </c>
      <c r="C346" s="7"/>
      <c r="E346" s="6">
        <v>9</v>
      </c>
      <c r="S346" s="8"/>
      <c r="Y346" s="6">
        <v>1</v>
      </c>
      <c r="AS346" s="6">
        <v>1</v>
      </c>
      <c r="CG346" s="8"/>
      <c r="CV346" s="30" t="s">
        <v>298</v>
      </c>
    </row>
    <row r="347" spans="1:100">
      <c r="A347" s="30" t="s">
        <v>453</v>
      </c>
      <c r="B347" s="6" t="s">
        <v>102</v>
      </c>
      <c r="C347" s="7"/>
      <c r="E347" s="6">
        <v>9</v>
      </c>
      <c r="N347" s="6">
        <v>1</v>
      </c>
      <c r="S347" s="8"/>
      <c r="Y347" s="6">
        <v>1</v>
      </c>
      <c r="BN347" s="6">
        <v>4</v>
      </c>
      <c r="CG347" s="8"/>
      <c r="CV347" s="30" t="s">
        <v>300</v>
      </c>
    </row>
    <row r="348" spans="1:100">
      <c r="A348" s="30" t="s">
        <v>454</v>
      </c>
      <c r="B348" s="6" t="s">
        <v>128</v>
      </c>
      <c r="C348" s="7"/>
      <c r="E348" s="6">
        <v>9</v>
      </c>
      <c r="S348" s="8"/>
      <c r="BN348" s="6">
        <v>4</v>
      </c>
      <c r="CG348" s="8"/>
      <c r="CV348" s="30" t="s">
        <v>302</v>
      </c>
    </row>
    <row r="349" spans="1:100">
      <c r="A349" s="30" t="s">
        <v>303</v>
      </c>
      <c r="B349" s="6" t="s">
        <v>136</v>
      </c>
      <c r="C349" s="7"/>
      <c r="E349" s="6">
        <v>5</v>
      </c>
      <c r="S349" s="8"/>
      <c r="AB349" s="6">
        <v>1</v>
      </c>
      <c r="CG349" s="8"/>
      <c r="CV349" s="31" t="s">
        <v>304</v>
      </c>
    </row>
    <row r="350" spans="1:100">
      <c r="A350" s="30" t="s">
        <v>305</v>
      </c>
      <c r="B350" s="6" t="s">
        <v>102</v>
      </c>
      <c r="C350" s="7"/>
      <c r="E350" s="6">
        <v>5</v>
      </c>
      <c r="S350" s="8"/>
      <c r="BK350" s="6">
        <v>1</v>
      </c>
      <c r="CG350" s="8"/>
      <c r="CV350" s="30" t="s">
        <v>306</v>
      </c>
    </row>
    <row r="351" spans="1:100">
      <c r="A351" s="30" t="s">
        <v>307</v>
      </c>
      <c r="B351" s="6" t="s">
        <v>128</v>
      </c>
      <c r="C351" s="7"/>
      <c r="E351" s="6">
        <v>5</v>
      </c>
      <c r="S351" s="8"/>
      <c r="BK351" s="6">
        <v>1</v>
      </c>
      <c r="CG351" s="8"/>
      <c r="CV351" s="30" t="s">
        <v>308</v>
      </c>
    </row>
    <row r="352" spans="1:100">
      <c r="A352" s="30" t="s">
        <v>337</v>
      </c>
      <c r="B352" s="6" t="s">
        <v>136</v>
      </c>
      <c r="C352" s="7"/>
      <c r="E352" s="6">
        <v>6</v>
      </c>
      <c r="M352" s="6">
        <v>1</v>
      </c>
      <c r="S352" s="8"/>
      <c r="AB352" s="6">
        <v>1</v>
      </c>
      <c r="CG352" s="8"/>
      <c r="CV352" s="30" t="s">
        <v>338</v>
      </c>
    </row>
    <row r="353" spans="1:100">
      <c r="A353" s="30" t="s">
        <v>339</v>
      </c>
      <c r="B353" s="6" t="s">
        <v>102</v>
      </c>
      <c r="C353" s="7"/>
      <c r="E353" s="6">
        <v>6</v>
      </c>
      <c r="M353" s="6">
        <v>1</v>
      </c>
      <c r="S353" s="8"/>
      <c r="BK353" s="6">
        <v>1</v>
      </c>
      <c r="CG353" s="8"/>
      <c r="CV353" s="30" t="s">
        <v>340</v>
      </c>
    </row>
    <row r="354" spans="1:100">
      <c r="A354" s="30" t="s">
        <v>341</v>
      </c>
      <c r="B354" s="6" t="s">
        <v>128</v>
      </c>
      <c r="C354" s="7"/>
      <c r="E354" s="6">
        <v>6</v>
      </c>
      <c r="M354" s="6">
        <v>1</v>
      </c>
      <c r="S354" s="8"/>
      <c r="BK354" s="6">
        <v>1</v>
      </c>
      <c r="CG354" s="8"/>
      <c r="CV354" s="31" t="s">
        <v>342</v>
      </c>
    </row>
    <row r="355" spans="1:100">
      <c r="A355" s="30" t="s">
        <v>456</v>
      </c>
      <c r="B355" s="6" t="s">
        <v>102</v>
      </c>
      <c r="C355" s="7"/>
      <c r="E355" s="6">
        <v>9</v>
      </c>
      <c r="M355" s="6">
        <v>1</v>
      </c>
      <c r="S355" s="8"/>
      <c r="BK355" s="6">
        <v>1</v>
      </c>
      <c r="CG355" s="8"/>
      <c r="CV355" s="30" t="s">
        <v>306</v>
      </c>
    </row>
    <row r="356" spans="1:100">
      <c r="A356" s="30" t="s">
        <v>457</v>
      </c>
      <c r="B356" s="6" t="s">
        <v>128</v>
      </c>
      <c r="C356" s="7"/>
      <c r="E356" s="6">
        <v>9</v>
      </c>
      <c r="M356" s="6">
        <v>1</v>
      </c>
      <c r="S356" s="8"/>
      <c r="BK356" s="6">
        <v>1</v>
      </c>
      <c r="CG356" s="8"/>
      <c r="CV356" s="30" t="s">
        <v>308</v>
      </c>
    </row>
    <row r="357" spans="1:100">
      <c r="A357" s="30" t="s">
        <v>455</v>
      </c>
      <c r="B357" s="6" t="s">
        <v>136</v>
      </c>
      <c r="C357" s="7"/>
      <c r="E357" s="6">
        <v>9</v>
      </c>
      <c r="M357" s="6">
        <v>1</v>
      </c>
      <c r="S357" s="8"/>
      <c r="AB357" s="6">
        <v>1</v>
      </c>
      <c r="CG357" s="8"/>
      <c r="CV357" s="31" t="s">
        <v>304</v>
      </c>
    </row>
    <row r="358" spans="1:100">
      <c r="A358" s="30" t="s">
        <v>474</v>
      </c>
      <c r="B358" s="6" t="s">
        <v>136</v>
      </c>
      <c r="C358" s="7"/>
      <c r="E358" s="6">
        <v>9</v>
      </c>
      <c r="M358" s="6">
        <v>2</v>
      </c>
      <c r="S358" s="8"/>
      <c r="AB358" s="6">
        <v>1</v>
      </c>
      <c r="CG358" s="8"/>
      <c r="CV358" s="30" t="s">
        <v>338</v>
      </c>
    </row>
    <row r="359" spans="1:100">
      <c r="A359" s="30" t="s">
        <v>475</v>
      </c>
      <c r="B359" s="6" t="s">
        <v>102</v>
      </c>
      <c r="C359" s="7"/>
      <c r="E359" s="6">
        <v>9</v>
      </c>
      <c r="M359" s="6">
        <v>2</v>
      </c>
      <c r="S359" s="8"/>
      <c r="BK359" s="6">
        <v>1</v>
      </c>
      <c r="CG359" s="8"/>
      <c r="CV359" s="30" t="s">
        <v>340</v>
      </c>
    </row>
    <row r="360" spans="1:100">
      <c r="A360" s="30" t="s">
        <v>476</v>
      </c>
      <c r="B360" s="6" t="s">
        <v>128</v>
      </c>
      <c r="C360" s="7"/>
      <c r="E360" s="6">
        <v>9</v>
      </c>
      <c r="M360" s="6">
        <v>2</v>
      </c>
      <c r="S360" s="8"/>
      <c r="BK360" s="6">
        <v>1</v>
      </c>
      <c r="CG360" s="8"/>
      <c r="CV360" s="31" t="s">
        <v>342</v>
      </c>
    </row>
    <row r="361" spans="1:100">
      <c r="A361" s="30" t="s">
        <v>309</v>
      </c>
      <c r="B361" s="6" t="s">
        <v>136</v>
      </c>
      <c r="C361" s="7"/>
      <c r="E361" s="6">
        <v>5</v>
      </c>
      <c r="S361" s="8">
        <v>3</v>
      </c>
      <c r="CG361" s="8"/>
      <c r="CV361" s="30" t="s">
        <v>310</v>
      </c>
    </row>
    <row r="362" spans="1:100">
      <c r="A362" s="30" t="s">
        <v>311</v>
      </c>
      <c r="B362" s="6" t="s">
        <v>102</v>
      </c>
      <c r="C362" s="7"/>
      <c r="E362" s="6">
        <v>5</v>
      </c>
      <c r="S362" s="8">
        <v>3</v>
      </c>
      <c r="CG362" s="8"/>
      <c r="CV362" s="30" t="s">
        <v>312</v>
      </c>
    </row>
    <row r="363" spans="1:100">
      <c r="A363" s="30" t="s">
        <v>313</v>
      </c>
      <c r="B363" s="6" t="s">
        <v>128</v>
      </c>
      <c r="C363" s="7"/>
      <c r="E363" s="6">
        <v>5</v>
      </c>
      <c r="S363" s="8">
        <v>3</v>
      </c>
      <c r="CG363" s="8"/>
      <c r="CV363" s="30" t="s">
        <v>314</v>
      </c>
    </row>
    <row r="364" spans="1:100">
      <c r="A364" s="30" t="s">
        <v>458</v>
      </c>
      <c r="B364" s="6" t="s">
        <v>136</v>
      </c>
      <c r="C364" s="7"/>
      <c r="E364" s="6">
        <v>9</v>
      </c>
      <c r="S364" s="9">
        <v>5</v>
      </c>
      <c r="CG364" s="8"/>
      <c r="CV364" s="30" t="s">
        <v>310</v>
      </c>
    </row>
    <row r="365" spans="1:100">
      <c r="A365" s="30" t="s">
        <v>459</v>
      </c>
      <c r="B365" s="6" t="s">
        <v>102</v>
      </c>
      <c r="C365" s="7"/>
      <c r="E365" s="6">
        <v>9</v>
      </c>
      <c r="S365" s="9">
        <v>5</v>
      </c>
      <c r="CG365" s="8"/>
      <c r="CV365" s="30" t="s">
        <v>312</v>
      </c>
    </row>
    <row r="366" spans="1:100">
      <c r="A366" s="30" t="s">
        <v>460</v>
      </c>
      <c r="B366" s="6" t="s">
        <v>128</v>
      </c>
      <c r="C366" s="7"/>
      <c r="E366" s="6">
        <v>9</v>
      </c>
      <c r="S366" s="9">
        <v>5</v>
      </c>
      <c r="CG366" s="8"/>
      <c r="CV366" s="30" t="s">
        <v>314</v>
      </c>
    </row>
    <row r="367" spans="1:100">
      <c r="A367" s="30" t="s">
        <v>315</v>
      </c>
      <c r="B367" s="6" t="s">
        <v>136</v>
      </c>
      <c r="C367" s="7"/>
      <c r="E367" s="6">
        <v>5</v>
      </c>
      <c r="S367" s="8"/>
      <c r="Z367" s="6">
        <v>1</v>
      </c>
      <c r="CG367" s="8"/>
      <c r="CV367" s="30" t="s">
        <v>316</v>
      </c>
    </row>
    <row r="368" spans="1:100">
      <c r="A368" s="30" t="s">
        <v>317</v>
      </c>
      <c r="B368" s="6" t="s">
        <v>102</v>
      </c>
      <c r="C368" s="7"/>
      <c r="E368" s="6">
        <v>5</v>
      </c>
      <c r="S368" s="8"/>
      <c r="Z368" s="6">
        <v>1</v>
      </c>
      <c r="CG368" s="8"/>
      <c r="CV368" s="30" t="s">
        <v>318</v>
      </c>
    </row>
    <row r="369" spans="1:100">
      <c r="A369" s="30" t="s">
        <v>319</v>
      </c>
      <c r="B369" s="6" t="s">
        <v>128</v>
      </c>
      <c r="C369" s="7"/>
      <c r="E369" s="6">
        <v>5</v>
      </c>
      <c r="S369" s="8"/>
      <c r="AA369" s="6">
        <v>1</v>
      </c>
      <c r="CG369" s="8"/>
      <c r="CV369" s="30" t="s">
        <v>320</v>
      </c>
    </row>
    <row r="370" spans="1:100">
      <c r="A370" s="30" t="s">
        <v>461</v>
      </c>
      <c r="B370" s="6" t="s">
        <v>136</v>
      </c>
      <c r="C370" s="7"/>
      <c r="E370" s="6">
        <v>9</v>
      </c>
      <c r="R370" s="6">
        <v>3</v>
      </c>
      <c r="S370" s="8"/>
      <c r="Z370" s="6">
        <v>1</v>
      </c>
      <c r="CG370" s="8"/>
      <c r="CV370" s="30" t="s">
        <v>316</v>
      </c>
    </row>
    <row r="371" spans="1:100">
      <c r="A371" s="30" t="s">
        <v>462</v>
      </c>
      <c r="B371" s="6" t="s">
        <v>102</v>
      </c>
      <c r="C371" s="7"/>
      <c r="E371" s="6">
        <v>9</v>
      </c>
      <c r="R371" s="6">
        <v>3</v>
      </c>
      <c r="S371" s="8"/>
      <c r="Z371" s="6">
        <v>1</v>
      </c>
      <c r="CG371" s="8"/>
      <c r="CV371" s="30" t="s">
        <v>318</v>
      </c>
    </row>
    <row r="372" spans="1:100">
      <c r="A372" s="30" t="s">
        <v>463</v>
      </c>
      <c r="B372" s="6" t="s">
        <v>128</v>
      </c>
      <c r="C372" s="7"/>
      <c r="E372" s="6">
        <v>9</v>
      </c>
      <c r="R372" s="6">
        <v>3</v>
      </c>
      <c r="S372" s="8"/>
      <c r="AA372" s="6">
        <v>1</v>
      </c>
      <c r="CG372" s="8"/>
      <c r="CV372" s="30" t="s">
        <v>320</v>
      </c>
    </row>
    <row r="373" spans="1:100">
      <c r="A373" s="30" t="s">
        <v>464</v>
      </c>
      <c r="B373" s="6" t="s">
        <v>136</v>
      </c>
      <c r="C373" s="7"/>
      <c r="E373" s="6">
        <v>9</v>
      </c>
      <c r="R373" s="6">
        <v>2</v>
      </c>
      <c r="S373" s="8"/>
      <c r="Z373" s="6">
        <v>1</v>
      </c>
      <c r="CG373" s="8"/>
      <c r="CV373" s="30" t="s">
        <v>316</v>
      </c>
    </row>
    <row r="374" spans="1:100">
      <c r="A374" s="30" t="s">
        <v>465</v>
      </c>
      <c r="B374" s="6" t="s">
        <v>102</v>
      </c>
      <c r="C374" s="7"/>
      <c r="E374" s="6">
        <v>9</v>
      </c>
      <c r="R374" s="6">
        <v>2</v>
      </c>
      <c r="S374" s="8"/>
      <c r="Z374" s="6">
        <v>1</v>
      </c>
      <c r="CG374" s="8"/>
      <c r="CV374" s="30" t="s">
        <v>318</v>
      </c>
    </row>
    <row r="375" spans="1:100">
      <c r="A375" s="30" t="s">
        <v>466</v>
      </c>
      <c r="B375" s="6" t="s">
        <v>128</v>
      </c>
      <c r="C375" s="7"/>
      <c r="E375" s="6">
        <v>9</v>
      </c>
      <c r="R375" s="6">
        <v>2</v>
      </c>
      <c r="S375" s="8"/>
      <c r="AA375" s="6">
        <v>1</v>
      </c>
      <c r="CG375" s="8"/>
      <c r="CV375" s="30" t="s">
        <v>320</v>
      </c>
    </row>
    <row r="376" spans="1:100">
      <c r="A376" s="30" t="s">
        <v>335</v>
      </c>
      <c r="B376" s="6" t="s">
        <v>136</v>
      </c>
      <c r="C376" s="7"/>
      <c r="E376" s="6">
        <v>5</v>
      </c>
      <c r="S376" s="8"/>
      <c r="CG376" s="8"/>
      <c r="CV376" s="30" t="s">
        <v>336</v>
      </c>
    </row>
    <row r="377" spans="1:100">
      <c r="A377" s="30" t="s">
        <v>321</v>
      </c>
      <c r="B377" s="6" t="s">
        <v>136</v>
      </c>
      <c r="C377" s="7"/>
      <c r="E377" s="6">
        <v>5</v>
      </c>
      <c r="S377" s="8"/>
      <c r="BN377" s="6">
        <v>3</v>
      </c>
      <c r="CG377" s="8"/>
      <c r="CV377" s="30" t="s">
        <v>322</v>
      </c>
    </row>
    <row r="378" spans="1:100">
      <c r="A378" s="30" t="s">
        <v>467</v>
      </c>
      <c r="B378" s="6" t="s">
        <v>136</v>
      </c>
      <c r="C378" s="7"/>
      <c r="E378" s="6">
        <v>9</v>
      </c>
      <c r="Q378" s="6">
        <v>3</v>
      </c>
      <c r="S378" s="8"/>
      <c r="BN378" s="6">
        <v>6</v>
      </c>
      <c r="CG378" s="8"/>
      <c r="CV378" s="30" t="s">
        <v>322</v>
      </c>
    </row>
    <row r="379" spans="1:100">
      <c r="A379" s="30" t="s">
        <v>323</v>
      </c>
      <c r="B379" s="6" t="s">
        <v>136</v>
      </c>
      <c r="C379" s="7"/>
      <c r="E379" s="6">
        <v>5</v>
      </c>
      <c r="S379" s="8"/>
      <c r="BI379" s="6">
        <v>1</v>
      </c>
      <c r="CG379" s="8"/>
      <c r="CV379" s="30" t="s">
        <v>324</v>
      </c>
    </row>
    <row r="380" spans="1:100">
      <c r="A380" s="30" t="s">
        <v>325</v>
      </c>
      <c r="B380" s="6" t="s">
        <v>102</v>
      </c>
      <c r="C380" s="7"/>
      <c r="E380" s="6">
        <v>5</v>
      </c>
      <c r="S380" s="8"/>
      <c r="BI380" s="6">
        <v>1</v>
      </c>
      <c r="CG380" s="8"/>
      <c r="CV380" s="30" t="s">
        <v>326</v>
      </c>
    </row>
    <row r="381" spans="1:100">
      <c r="A381" s="30" t="s">
        <v>327</v>
      </c>
      <c r="B381" s="6" t="s">
        <v>128</v>
      </c>
      <c r="C381" s="7"/>
      <c r="E381" s="6">
        <v>5</v>
      </c>
      <c r="S381" s="8"/>
      <c r="BI381" s="6">
        <v>1</v>
      </c>
      <c r="CG381" s="8"/>
      <c r="CV381" s="30" t="s">
        <v>328</v>
      </c>
    </row>
    <row r="382" spans="1:100">
      <c r="A382" s="30" t="s">
        <v>468</v>
      </c>
      <c r="B382" s="6" t="s">
        <v>136</v>
      </c>
      <c r="C382" s="7"/>
      <c r="E382" s="6">
        <v>9</v>
      </c>
      <c r="O382" s="6">
        <v>3</v>
      </c>
      <c r="S382" s="8"/>
      <c r="BI382" s="6">
        <v>1</v>
      </c>
      <c r="CG382" s="8"/>
      <c r="CV382" s="30" t="s">
        <v>324</v>
      </c>
    </row>
    <row r="383" spans="1:100">
      <c r="A383" s="30" t="s">
        <v>469</v>
      </c>
      <c r="B383" s="6" t="s">
        <v>102</v>
      </c>
      <c r="C383" s="7"/>
      <c r="E383" s="6">
        <v>9</v>
      </c>
      <c r="O383" s="6">
        <v>3</v>
      </c>
      <c r="S383" s="8"/>
      <c r="BI383" s="6">
        <v>1</v>
      </c>
      <c r="CG383" s="8"/>
      <c r="CV383" s="30" t="s">
        <v>326</v>
      </c>
    </row>
    <row r="384" spans="1:100">
      <c r="A384" s="30" t="s">
        <v>470</v>
      </c>
      <c r="B384" s="6" t="s">
        <v>128</v>
      </c>
      <c r="C384" s="7"/>
      <c r="E384" s="6">
        <v>9</v>
      </c>
      <c r="O384" s="6">
        <v>3</v>
      </c>
      <c r="S384" s="8"/>
      <c r="BI384" s="6">
        <v>1</v>
      </c>
      <c r="CG384" s="8"/>
      <c r="CV384" s="30" t="s">
        <v>328</v>
      </c>
    </row>
    <row r="385" spans="1:100">
      <c r="A385" s="30" t="s">
        <v>329</v>
      </c>
      <c r="B385" s="6" t="s">
        <v>136</v>
      </c>
      <c r="C385" s="7"/>
      <c r="E385" s="6">
        <v>5</v>
      </c>
      <c r="S385" s="8"/>
      <c r="BC385" s="6">
        <v>1</v>
      </c>
      <c r="CG385" s="8"/>
      <c r="CV385" s="30" t="s">
        <v>330</v>
      </c>
    </row>
    <row r="386" spans="1:100">
      <c r="A386" s="30" t="s">
        <v>331</v>
      </c>
      <c r="B386" s="6" t="s">
        <v>102</v>
      </c>
      <c r="C386" s="7"/>
      <c r="E386" s="6">
        <v>5</v>
      </c>
      <c r="S386" s="8"/>
      <c r="AQ386" s="6">
        <v>1</v>
      </c>
      <c r="CG386" s="8"/>
      <c r="CV386" s="30" t="s">
        <v>332</v>
      </c>
    </row>
    <row r="387" spans="1:100">
      <c r="A387" s="30" t="s">
        <v>333</v>
      </c>
      <c r="B387" s="6" t="s">
        <v>128</v>
      </c>
      <c r="C387" s="7"/>
      <c r="E387" s="6">
        <v>5</v>
      </c>
      <c r="S387" s="8">
        <v>3</v>
      </c>
      <c r="CG387" s="8"/>
      <c r="CV387" s="30" t="s">
        <v>334</v>
      </c>
    </row>
    <row r="388" spans="1:100">
      <c r="A388" s="30" t="s">
        <v>471</v>
      </c>
      <c r="B388" s="6" t="s">
        <v>136</v>
      </c>
      <c r="C388" s="7"/>
      <c r="E388" s="6">
        <v>9</v>
      </c>
      <c r="P388" s="6">
        <v>3</v>
      </c>
      <c r="S388" s="8"/>
      <c r="Z388" s="6">
        <v>1</v>
      </c>
      <c r="BC388" s="6">
        <v>1</v>
      </c>
      <c r="CG388" s="8"/>
      <c r="CV388" s="30" t="s">
        <v>330</v>
      </c>
    </row>
    <row r="389" spans="1:100">
      <c r="A389" s="30" t="s">
        <v>472</v>
      </c>
      <c r="B389" s="6" t="s">
        <v>102</v>
      </c>
      <c r="C389" s="7"/>
      <c r="E389" s="6">
        <v>9</v>
      </c>
      <c r="P389" s="6">
        <v>3</v>
      </c>
      <c r="S389" s="8"/>
      <c r="Z389" s="6">
        <v>1</v>
      </c>
      <c r="AQ389" s="6">
        <v>1</v>
      </c>
      <c r="CG389" s="8"/>
      <c r="CV389" s="30" t="s">
        <v>332</v>
      </c>
    </row>
    <row r="390" spans="1:100">
      <c r="A390" s="30" t="s">
        <v>473</v>
      </c>
      <c r="B390" s="6" t="s">
        <v>128</v>
      </c>
      <c r="C390" s="7"/>
      <c r="E390" s="6">
        <v>9</v>
      </c>
      <c r="P390" s="6">
        <v>3</v>
      </c>
      <c r="S390" s="8">
        <v>3</v>
      </c>
      <c r="Z390" s="6">
        <v>1</v>
      </c>
      <c r="CG390" s="8"/>
      <c r="CV390" s="30" t="s">
        <v>334</v>
      </c>
    </row>
    <row r="391" spans="1:100">
      <c r="A391" s="30" t="s">
        <v>273</v>
      </c>
      <c r="B391" s="1" t="s">
        <v>1171</v>
      </c>
      <c r="C391" s="7"/>
      <c r="E391" s="6">
        <v>5</v>
      </c>
      <c r="S391" s="8"/>
      <c r="AA391" s="6">
        <v>1</v>
      </c>
      <c r="CG391" s="8"/>
      <c r="CV391" s="30" t="s">
        <v>274</v>
      </c>
    </row>
    <row r="392" spans="1:100">
      <c r="A392" s="30" t="s">
        <v>477</v>
      </c>
      <c r="B392" s="1" t="s">
        <v>1171</v>
      </c>
      <c r="C392" s="7"/>
      <c r="E392" s="6">
        <v>9</v>
      </c>
      <c r="Q392" s="6">
        <v>3</v>
      </c>
      <c r="S392" s="8"/>
      <c r="AA392" s="6">
        <v>1</v>
      </c>
      <c r="CG392" s="8"/>
      <c r="CV392" s="30" t="s">
        <v>274</v>
      </c>
    </row>
    <row r="393" spans="1:100">
      <c r="A393" s="30" t="s">
        <v>275</v>
      </c>
      <c r="B393" s="1" t="s">
        <v>1171</v>
      </c>
      <c r="C393" s="7"/>
      <c r="E393" s="6">
        <v>5</v>
      </c>
      <c r="S393" s="8"/>
      <c r="BN393" s="6">
        <v>3</v>
      </c>
      <c r="CG393" s="8"/>
      <c r="CV393" s="30" t="s">
        <v>276</v>
      </c>
    </row>
    <row r="394" spans="1:100">
      <c r="A394" s="30" t="s">
        <v>277</v>
      </c>
      <c r="B394" s="1" t="s">
        <v>1171</v>
      </c>
      <c r="C394" s="7"/>
      <c r="E394" s="6">
        <v>5</v>
      </c>
      <c r="P394" s="6">
        <v>3</v>
      </c>
      <c r="S394" s="8"/>
      <c r="AZ394" s="6">
        <v>1</v>
      </c>
      <c r="CG394" s="8"/>
      <c r="CV394" s="30" t="s">
        <v>278</v>
      </c>
    </row>
    <row r="395" spans="1:100">
      <c r="A395" s="30" t="s">
        <v>478</v>
      </c>
      <c r="B395" s="1" t="s">
        <v>1171</v>
      </c>
      <c r="C395" s="7"/>
      <c r="E395" s="6">
        <v>9</v>
      </c>
      <c r="P395" s="6">
        <v>5</v>
      </c>
      <c r="S395" s="8"/>
      <c r="AZ395" s="6">
        <v>1</v>
      </c>
      <c r="CG395" s="8"/>
      <c r="CV395" s="30" t="s">
        <v>278</v>
      </c>
    </row>
    <row r="396" spans="1:100">
      <c r="A396" s="30" t="s">
        <v>279</v>
      </c>
      <c r="B396" s="1" t="s">
        <v>1171</v>
      </c>
      <c r="C396" s="7"/>
      <c r="E396" s="6">
        <v>5</v>
      </c>
      <c r="Q396" s="6">
        <v>3</v>
      </c>
      <c r="S396" s="8"/>
      <c r="BJ396" s="6">
        <v>1</v>
      </c>
      <c r="CG396" s="8"/>
      <c r="CV396" s="30" t="s">
        <v>280</v>
      </c>
    </row>
    <row r="397" spans="1:100">
      <c r="A397" s="30" t="s">
        <v>479</v>
      </c>
      <c r="B397" s="1" t="s">
        <v>1171</v>
      </c>
      <c r="C397" s="7"/>
      <c r="E397" s="6">
        <v>9</v>
      </c>
      <c r="Q397" s="6">
        <v>5</v>
      </c>
      <c r="S397" s="8"/>
      <c r="BJ397" s="6">
        <v>1</v>
      </c>
      <c r="CG397" s="8"/>
      <c r="CV397" s="30" t="s">
        <v>280</v>
      </c>
    </row>
    <row r="398" spans="1:100" s="23" customFormat="1">
      <c r="A398" s="23" t="s">
        <v>144</v>
      </c>
      <c r="C398" s="23" t="s">
        <v>145</v>
      </c>
      <c r="D398" s="23">
        <v>1</v>
      </c>
      <c r="E398" s="23">
        <v>1</v>
      </c>
      <c r="BX398" s="24"/>
      <c r="BY398" s="24"/>
      <c r="BZ398" s="24"/>
      <c r="CA398" s="24"/>
    </row>
    <row r="399" spans="1:100" ht="15">
      <c r="A399" s="6" t="s">
        <v>146</v>
      </c>
      <c r="B399" s="6" t="s">
        <v>144</v>
      </c>
      <c r="H399" s="6">
        <v>30</v>
      </c>
      <c r="K399" s="34">
        <v>2.2000000000000002</v>
      </c>
      <c r="CE399" s="1" t="s">
        <v>1043</v>
      </c>
    </row>
    <row r="400" spans="1:100" ht="15">
      <c r="A400" s="6" t="s">
        <v>481</v>
      </c>
      <c r="B400" s="6" t="s">
        <v>144</v>
      </c>
      <c r="H400" s="6">
        <v>40</v>
      </c>
      <c r="K400" s="34">
        <v>2.6</v>
      </c>
      <c r="CE400" s="1" t="s">
        <v>1043</v>
      </c>
    </row>
    <row r="401" spans="1:83" ht="15">
      <c r="A401" s="1" t="s">
        <v>482</v>
      </c>
      <c r="B401" s="6" t="s">
        <v>144</v>
      </c>
      <c r="H401" s="6">
        <v>60</v>
      </c>
      <c r="K401" s="34">
        <v>3</v>
      </c>
      <c r="CE401" s="1" t="s">
        <v>1043</v>
      </c>
    </row>
    <row r="402" spans="1:83" ht="15">
      <c r="A402" s="1" t="s">
        <v>1216</v>
      </c>
      <c r="B402" s="6" t="s">
        <v>144</v>
      </c>
      <c r="H402" s="6">
        <v>75</v>
      </c>
      <c r="I402" s="6">
        <v>10</v>
      </c>
      <c r="K402" s="34">
        <v>3.5</v>
      </c>
      <c r="CE402" s="1" t="s">
        <v>1043</v>
      </c>
    </row>
    <row r="403" spans="1:83" ht="15">
      <c r="A403" s="6" t="s">
        <v>149</v>
      </c>
      <c r="B403" s="6" t="s">
        <v>144</v>
      </c>
      <c r="I403" s="6">
        <v>4</v>
      </c>
      <c r="K403" s="34">
        <v>1</v>
      </c>
    </row>
    <row r="404" spans="1:83" ht="15">
      <c r="A404" s="7" t="s">
        <v>150</v>
      </c>
      <c r="B404" s="6" t="s">
        <v>144</v>
      </c>
      <c r="K404" s="34">
        <v>5</v>
      </c>
    </row>
    <row r="405" spans="1:83" ht="15">
      <c r="A405" s="7" t="s">
        <v>147</v>
      </c>
      <c r="B405" s="6" t="s">
        <v>144</v>
      </c>
      <c r="K405" s="34">
        <v>2</v>
      </c>
      <c r="N405" s="6">
        <v>1</v>
      </c>
    </row>
    <row r="406" spans="1:83" ht="15">
      <c r="A406" s="7" t="s">
        <v>1221</v>
      </c>
      <c r="B406" s="6" t="s">
        <v>144</v>
      </c>
      <c r="K406" s="34">
        <v>2.2000000000000002</v>
      </c>
      <c r="N406" s="6">
        <v>2</v>
      </c>
    </row>
    <row r="407" spans="1:83" ht="15">
      <c r="A407" s="7" t="s">
        <v>1222</v>
      </c>
      <c r="B407" s="6" t="s">
        <v>144</v>
      </c>
      <c r="K407" s="34">
        <v>2.4</v>
      </c>
      <c r="N407" s="6">
        <v>3</v>
      </c>
    </row>
    <row r="408" spans="1:83" ht="15">
      <c r="A408" s="7" t="s">
        <v>151</v>
      </c>
      <c r="B408" s="6" t="s">
        <v>144</v>
      </c>
      <c r="K408" s="34">
        <v>3</v>
      </c>
      <c r="O408" s="6">
        <v>3</v>
      </c>
      <c r="CE408" s="1" t="s">
        <v>1041</v>
      </c>
    </row>
    <row r="409" spans="1:83" ht="15">
      <c r="A409" s="7" t="s">
        <v>152</v>
      </c>
      <c r="B409" s="6" t="s">
        <v>144</v>
      </c>
      <c r="K409" s="34">
        <v>3</v>
      </c>
      <c r="P409" s="6">
        <v>3</v>
      </c>
      <c r="CE409" s="1" t="s">
        <v>1048</v>
      </c>
    </row>
    <row r="410" spans="1:83" ht="15">
      <c r="A410" s="7" t="s">
        <v>153</v>
      </c>
      <c r="B410" s="6" t="s">
        <v>144</v>
      </c>
      <c r="K410" s="34">
        <v>3</v>
      </c>
      <c r="Q410" s="6">
        <v>3</v>
      </c>
      <c r="CE410" s="1" t="s">
        <v>1047</v>
      </c>
    </row>
    <row r="411" spans="1:83" ht="15">
      <c r="A411" s="7" t="s">
        <v>154</v>
      </c>
      <c r="B411" s="6" t="s">
        <v>144</v>
      </c>
      <c r="K411" s="34">
        <v>3</v>
      </c>
      <c r="R411" s="6">
        <v>3</v>
      </c>
      <c r="CE411" s="1" t="s">
        <v>1045</v>
      </c>
    </row>
    <row r="412" spans="1:83" ht="15">
      <c r="A412" s="7" t="s">
        <v>155</v>
      </c>
      <c r="B412" s="6" t="s">
        <v>144</v>
      </c>
      <c r="K412" s="34">
        <v>3</v>
      </c>
      <c r="S412" s="6">
        <v>3</v>
      </c>
      <c r="CE412" s="6" t="s">
        <v>1040</v>
      </c>
    </row>
    <row r="413" spans="1:83" ht="15">
      <c r="A413" s="7" t="s">
        <v>156</v>
      </c>
      <c r="B413" s="6" t="s">
        <v>144</v>
      </c>
      <c r="K413" s="34">
        <v>4</v>
      </c>
      <c r="T413" s="6">
        <v>2</v>
      </c>
      <c r="CE413" s="6" t="s">
        <v>1053</v>
      </c>
    </row>
    <row r="414" spans="1:83" ht="15">
      <c r="A414" s="7" t="s">
        <v>1085</v>
      </c>
      <c r="B414" s="6" t="s">
        <v>144</v>
      </c>
      <c r="K414" s="34">
        <v>3</v>
      </c>
      <c r="O414" s="6">
        <v>4</v>
      </c>
      <c r="CE414" s="1" t="s">
        <v>1041</v>
      </c>
    </row>
    <row r="415" spans="1:83" ht="15">
      <c r="A415" s="7" t="s">
        <v>1086</v>
      </c>
      <c r="B415" s="6" t="s">
        <v>144</v>
      </c>
      <c r="K415" s="34">
        <v>3</v>
      </c>
      <c r="P415" s="6">
        <v>4</v>
      </c>
      <c r="CE415" s="1" t="s">
        <v>1048</v>
      </c>
    </row>
    <row r="416" spans="1:83" ht="15">
      <c r="A416" s="7" t="s">
        <v>1087</v>
      </c>
      <c r="B416" s="6" t="s">
        <v>144</v>
      </c>
      <c r="K416" s="34">
        <v>3</v>
      </c>
      <c r="Q416" s="6">
        <v>4</v>
      </c>
      <c r="CE416" s="1" t="s">
        <v>1047</v>
      </c>
    </row>
    <row r="417" spans="1:83" ht="15">
      <c r="A417" s="7" t="s">
        <v>1088</v>
      </c>
      <c r="B417" s="6" t="s">
        <v>144</v>
      </c>
      <c r="K417" s="34">
        <v>3</v>
      </c>
      <c r="R417" s="6">
        <v>4</v>
      </c>
      <c r="CE417" s="1" t="s">
        <v>1045</v>
      </c>
    </row>
    <row r="418" spans="1:83" ht="15">
      <c r="A418" s="7" t="s">
        <v>1226</v>
      </c>
      <c r="B418" s="6" t="s">
        <v>144</v>
      </c>
      <c r="K418" s="34">
        <v>3</v>
      </c>
      <c r="O418" s="6">
        <v>6</v>
      </c>
      <c r="CE418" s="1" t="s">
        <v>1041</v>
      </c>
    </row>
    <row r="419" spans="1:83" ht="15">
      <c r="A419" s="7" t="s">
        <v>1227</v>
      </c>
      <c r="B419" s="6" t="s">
        <v>144</v>
      </c>
      <c r="K419" s="34">
        <v>3</v>
      </c>
      <c r="P419" s="6">
        <v>6</v>
      </c>
      <c r="CE419" s="1" t="s">
        <v>1048</v>
      </c>
    </row>
    <row r="420" spans="1:83" ht="15">
      <c r="A420" s="7" t="s">
        <v>1228</v>
      </c>
      <c r="B420" s="6" t="s">
        <v>144</v>
      </c>
      <c r="K420" s="34">
        <v>3</v>
      </c>
      <c r="Q420" s="6">
        <v>6</v>
      </c>
      <c r="CE420" s="1" t="s">
        <v>1047</v>
      </c>
    </row>
    <row r="421" spans="1:83" ht="15">
      <c r="A421" s="7" t="s">
        <v>1229</v>
      </c>
      <c r="B421" s="6" t="s">
        <v>144</v>
      </c>
      <c r="K421" s="34">
        <v>3</v>
      </c>
      <c r="R421" s="6">
        <v>6</v>
      </c>
      <c r="CE421" s="1" t="s">
        <v>1045</v>
      </c>
    </row>
    <row r="422" spans="1:83" ht="15">
      <c r="A422" s="7" t="s">
        <v>1089</v>
      </c>
      <c r="B422" s="6" t="s">
        <v>144</v>
      </c>
      <c r="K422" s="34">
        <v>3</v>
      </c>
      <c r="S422" s="6">
        <v>4</v>
      </c>
      <c r="CE422" s="6" t="s">
        <v>1040</v>
      </c>
    </row>
    <row r="423" spans="1:83" ht="15">
      <c r="A423" s="7" t="s">
        <v>1090</v>
      </c>
      <c r="B423" s="6" t="s">
        <v>144</v>
      </c>
      <c r="K423" s="34">
        <v>4</v>
      </c>
      <c r="T423" s="6">
        <v>3</v>
      </c>
      <c r="CE423" s="6" t="s">
        <v>1053</v>
      </c>
    </row>
    <row r="424" spans="1:83" ht="15">
      <c r="A424" s="7" t="s">
        <v>157</v>
      </c>
      <c r="B424" s="6" t="s">
        <v>144</v>
      </c>
      <c r="K424" s="34">
        <v>3</v>
      </c>
      <c r="U424" s="6">
        <v>4</v>
      </c>
    </row>
    <row r="425" spans="1:83" ht="15">
      <c r="A425" s="7" t="s">
        <v>158</v>
      </c>
      <c r="B425" s="6" t="s">
        <v>144</v>
      </c>
      <c r="K425" s="34">
        <v>3</v>
      </c>
      <c r="V425" s="6">
        <v>4</v>
      </c>
    </row>
    <row r="426" spans="1:83" ht="15">
      <c r="A426" s="7" t="s">
        <v>159</v>
      </c>
      <c r="B426" s="6" t="s">
        <v>144</v>
      </c>
      <c r="K426" s="34">
        <v>3</v>
      </c>
      <c r="W426" s="6">
        <v>4</v>
      </c>
    </row>
    <row r="427" spans="1:83" ht="15">
      <c r="A427" s="7" t="s">
        <v>164</v>
      </c>
      <c r="B427" s="6" t="s">
        <v>144</v>
      </c>
      <c r="K427" s="34">
        <v>3</v>
      </c>
      <c r="BK427" s="6">
        <v>1</v>
      </c>
      <c r="CE427" s="1" t="s">
        <v>1046</v>
      </c>
    </row>
    <row r="428" spans="1:83" ht="15">
      <c r="A428" s="7" t="s">
        <v>485</v>
      </c>
      <c r="B428" s="6" t="s">
        <v>144</v>
      </c>
      <c r="K428" s="34">
        <v>4</v>
      </c>
      <c r="BK428" s="6">
        <v>2</v>
      </c>
      <c r="CE428" s="1" t="s">
        <v>1046</v>
      </c>
    </row>
    <row r="429" spans="1:83" ht="15">
      <c r="A429" s="7" t="s">
        <v>165</v>
      </c>
      <c r="B429" s="6" t="s">
        <v>144</v>
      </c>
      <c r="K429" s="34">
        <v>3</v>
      </c>
      <c r="BL429" s="6">
        <v>2</v>
      </c>
    </row>
    <row r="430" spans="1:83" ht="15">
      <c r="A430" s="7" t="s">
        <v>166</v>
      </c>
      <c r="B430" s="6" t="s">
        <v>144</v>
      </c>
      <c r="K430" s="34">
        <v>3</v>
      </c>
      <c r="BM430" s="6">
        <v>2</v>
      </c>
    </row>
    <row r="431" spans="1:83" ht="15">
      <c r="A431" s="7" t="s">
        <v>167</v>
      </c>
      <c r="B431" s="6" t="s">
        <v>144</v>
      </c>
      <c r="K431" s="34">
        <v>5</v>
      </c>
      <c r="BN431" s="6">
        <v>3</v>
      </c>
    </row>
    <row r="432" spans="1:83" ht="15">
      <c r="A432" s="7" t="s">
        <v>438</v>
      </c>
      <c r="B432" s="6" t="s">
        <v>144</v>
      </c>
      <c r="K432" s="34">
        <v>3</v>
      </c>
      <c r="AZ432" s="6">
        <v>1</v>
      </c>
      <c r="CE432" s="1" t="s">
        <v>1044</v>
      </c>
    </row>
    <row r="433" spans="1:83" ht="15">
      <c r="A433" s="7" t="s">
        <v>484</v>
      </c>
      <c r="B433" s="6" t="s">
        <v>144</v>
      </c>
      <c r="K433" s="34">
        <v>3</v>
      </c>
      <c r="AZ433" s="6">
        <v>2</v>
      </c>
      <c r="CE433" s="1" t="s">
        <v>1044</v>
      </c>
    </row>
    <row r="434" spans="1:83" ht="15">
      <c r="A434" s="7" t="s">
        <v>439</v>
      </c>
      <c r="B434" s="6" t="s">
        <v>144</v>
      </c>
      <c r="K434" s="34">
        <v>5</v>
      </c>
      <c r="O434" s="6">
        <v>3</v>
      </c>
      <c r="P434" s="6">
        <v>3</v>
      </c>
      <c r="Q434" s="6">
        <v>3</v>
      </c>
      <c r="R434" s="6">
        <v>3</v>
      </c>
    </row>
    <row r="435" spans="1:83" ht="15">
      <c r="A435" s="7" t="s">
        <v>160</v>
      </c>
      <c r="B435" s="6" t="s">
        <v>144</v>
      </c>
      <c r="K435" s="34">
        <v>4</v>
      </c>
      <c r="X435" s="6">
        <v>1</v>
      </c>
      <c r="CE435" s="1" t="s">
        <v>1050</v>
      </c>
    </row>
    <row r="436" spans="1:83" ht="15">
      <c r="A436" s="7" t="s">
        <v>161</v>
      </c>
      <c r="B436" s="6" t="s">
        <v>144</v>
      </c>
      <c r="K436" s="34">
        <v>6</v>
      </c>
      <c r="AB436" s="6">
        <v>1</v>
      </c>
      <c r="CE436" s="1" t="s">
        <v>1050</v>
      </c>
    </row>
    <row r="437" spans="1:83" ht="15">
      <c r="A437" s="7" t="s">
        <v>148</v>
      </c>
      <c r="B437" s="6" t="s">
        <v>144</v>
      </c>
      <c r="K437" s="34">
        <v>3</v>
      </c>
      <c r="AC437" s="6">
        <v>1</v>
      </c>
      <c r="CE437" s="1" t="s">
        <v>1050</v>
      </c>
    </row>
    <row r="438" spans="1:83" ht="15">
      <c r="A438" s="7" t="s">
        <v>162</v>
      </c>
      <c r="B438" s="6" t="s">
        <v>144</v>
      </c>
      <c r="K438" s="34">
        <v>5</v>
      </c>
      <c r="Z438" s="6">
        <v>1</v>
      </c>
      <c r="CE438" s="1" t="s">
        <v>1050</v>
      </c>
    </row>
    <row r="439" spans="1:83" ht="15">
      <c r="A439" s="7" t="s">
        <v>163</v>
      </c>
      <c r="B439" s="6" t="s">
        <v>144</v>
      </c>
      <c r="K439" s="34">
        <v>5</v>
      </c>
      <c r="AA439" s="6">
        <v>1</v>
      </c>
      <c r="CE439" s="1" t="s">
        <v>1050</v>
      </c>
    </row>
    <row r="440" spans="1:83" ht="15">
      <c r="A440" s="7" t="s">
        <v>480</v>
      </c>
      <c r="B440" s="6" t="s">
        <v>144</v>
      </c>
      <c r="K440" s="34">
        <v>4</v>
      </c>
      <c r="Y440" s="6">
        <v>1</v>
      </c>
      <c r="CE440" s="1" t="s">
        <v>1050</v>
      </c>
    </row>
    <row r="441" spans="1:83" ht="15">
      <c r="A441" s="7" t="s">
        <v>483</v>
      </c>
      <c r="B441" s="6" t="s">
        <v>144</v>
      </c>
      <c r="K441" s="34">
        <v>3</v>
      </c>
      <c r="M441" s="6">
        <v>2</v>
      </c>
      <c r="CE441" s="6" t="s">
        <v>1042</v>
      </c>
    </row>
    <row r="442" spans="1:83" ht="15">
      <c r="A442" s="7" t="s">
        <v>486</v>
      </c>
      <c r="B442" s="6" t="s">
        <v>144</v>
      </c>
      <c r="K442" s="34">
        <v>4</v>
      </c>
      <c r="AF442" s="6">
        <v>1</v>
      </c>
    </row>
    <row r="443" spans="1:83" ht="15">
      <c r="A443" s="7" t="s">
        <v>487</v>
      </c>
      <c r="B443" s="6" t="s">
        <v>144</v>
      </c>
      <c r="K443" s="34">
        <v>5</v>
      </c>
      <c r="AF443" s="6">
        <v>2</v>
      </c>
    </row>
    <row r="444" spans="1:83" ht="15">
      <c r="A444" s="7" t="s">
        <v>488</v>
      </c>
      <c r="B444" s="6" t="s">
        <v>144</v>
      </c>
      <c r="K444" s="34">
        <v>4</v>
      </c>
      <c r="AG444" s="6">
        <v>1</v>
      </c>
    </row>
    <row r="445" spans="1:83" ht="15">
      <c r="A445" s="7" t="s">
        <v>489</v>
      </c>
      <c r="B445" s="6" t="s">
        <v>144</v>
      </c>
      <c r="K445" s="34">
        <v>5</v>
      </c>
      <c r="AG445" s="6">
        <v>2</v>
      </c>
    </row>
    <row r="446" spans="1:83" ht="15">
      <c r="A446" s="7" t="s">
        <v>490</v>
      </c>
      <c r="B446" s="6" t="s">
        <v>144</v>
      </c>
      <c r="K446" s="34">
        <v>4</v>
      </c>
      <c r="AI446" s="6">
        <v>1</v>
      </c>
    </row>
    <row r="447" spans="1:83" ht="15">
      <c r="A447" s="7" t="s">
        <v>491</v>
      </c>
      <c r="B447" s="6" t="s">
        <v>144</v>
      </c>
      <c r="K447" s="34">
        <v>5</v>
      </c>
      <c r="AI447" s="6">
        <v>2</v>
      </c>
    </row>
    <row r="448" spans="1:83" ht="15">
      <c r="A448" s="7" t="s">
        <v>492</v>
      </c>
      <c r="B448" s="6" t="s">
        <v>144</v>
      </c>
      <c r="K448" s="34">
        <v>4</v>
      </c>
      <c r="AP448" s="6">
        <v>1</v>
      </c>
    </row>
    <row r="449" spans="1:83" ht="15">
      <c r="A449" s="7" t="s">
        <v>493</v>
      </c>
      <c r="B449" s="6" t="s">
        <v>144</v>
      </c>
      <c r="K449" s="34">
        <v>5</v>
      </c>
      <c r="AP449" s="6">
        <v>2</v>
      </c>
    </row>
    <row r="450" spans="1:83" ht="15">
      <c r="A450" s="7" t="s">
        <v>494</v>
      </c>
      <c r="B450" s="6" t="s">
        <v>144</v>
      </c>
      <c r="K450" s="34">
        <v>4</v>
      </c>
      <c r="AT450" s="6">
        <v>1</v>
      </c>
    </row>
    <row r="451" spans="1:83" ht="15">
      <c r="A451" s="7" t="s">
        <v>499</v>
      </c>
      <c r="B451" s="6" t="s">
        <v>144</v>
      </c>
      <c r="K451" s="34">
        <v>5</v>
      </c>
      <c r="AT451" s="6">
        <v>2</v>
      </c>
    </row>
    <row r="452" spans="1:83" ht="15">
      <c r="A452" s="7" t="s">
        <v>495</v>
      </c>
      <c r="B452" s="6" t="s">
        <v>144</v>
      </c>
      <c r="K452" s="34">
        <v>3</v>
      </c>
      <c r="BC452" s="6">
        <v>1</v>
      </c>
    </row>
    <row r="453" spans="1:83" ht="15">
      <c r="A453" s="7" t="s">
        <v>500</v>
      </c>
      <c r="B453" s="6" t="s">
        <v>144</v>
      </c>
      <c r="K453" s="34">
        <v>3</v>
      </c>
      <c r="BC453" s="6">
        <v>2</v>
      </c>
    </row>
    <row r="454" spans="1:83" ht="15">
      <c r="A454" s="7" t="s">
        <v>496</v>
      </c>
      <c r="B454" s="6" t="s">
        <v>144</v>
      </c>
      <c r="K454" s="34">
        <v>3</v>
      </c>
      <c r="BD454" s="6">
        <v>1</v>
      </c>
    </row>
    <row r="455" spans="1:83" ht="15">
      <c r="A455" s="7" t="s">
        <v>501</v>
      </c>
      <c r="B455" s="6" t="s">
        <v>144</v>
      </c>
      <c r="K455" s="34">
        <v>3</v>
      </c>
      <c r="BD455" s="6">
        <v>2</v>
      </c>
    </row>
    <row r="456" spans="1:83" ht="15">
      <c r="A456" s="7" t="s">
        <v>497</v>
      </c>
      <c r="B456" s="6" t="s">
        <v>144</v>
      </c>
      <c r="K456" s="34">
        <v>3</v>
      </c>
      <c r="BJ456" s="6">
        <v>1</v>
      </c>
    </row>
    <row r="457" spans="1:83" ht="15">
      <c r="A457" s="7" t="s">
        <v>502</v>
      </c>
      <c r="B457" s="6" t="s">
        <v>144</v>
      </c>
      <c r="K457" s="34">
        <v>4</v>
      </c>
      <c r="BJ457" s="6">
        <v>2</v>
      </c>
    </row>
    <row r="458" spans="1:83" ht="15">
      <c r="A458" s="7" t="s">
        <v>498</v>
      </c>
      <c r="B458" s="6" t="s">
        <v>144</v>
      </c>
      <c r="K458" s="34">
        <v>7</v>
      </c>
      <c r="BU458" s="6">
        <v>1</v>
      </c>
    </row>
    <row r="459" spans="1:83" ht="15">
      <c r="A459" s="7" t="s">
        <v>503</v>
      </c>
      <c r="B459" s="6" t="s">
        <v>144</v>
      </c>
      <c r="K459" s="34">
        <v>10</v>
      </c>
      <c r="BU459" s="6">
        <v>2</v>
      </c>
    </row>
    <row r="460" spans="1:83" ht="15">
      <c r="A460" s="32" t="s">
        <v>549</v>
      </c>
      <c r="B460" s="6" t="s">
        <v>144</v>
      </c>
      <c r="K460" s="34">
        <v>5</v>
      </c>
      <c r="CE460" s="1" t="s">
        <v>1050</v>
      </c>
    </row>
    <row r="461" spans="1:83" ht="15">
      <c r="A461" s="32" t="s">
        <v>550</v>
      </c>
      <c r="B461" s="6" t="s">
        <v>144</v>
      </c>
      <c r="K461" s="34">
        <v>3</v>
      </c>
      <c r="M461" s="6">
        <v>2</v>
      </c>
      <c r="CE461" s="1" t="s">
        <v>1042</v>
      </c>
    </row>
    <row r="462" spans="1:83" ht="15">
      <c r="A462" s="32" t="s">
        <v>1093</v>
      </c>
      <c r="B462" s="6" t="s">
        <v>144</v>
      </c>
      <c r="K462" s="34">
        <v>3</v>
      </c>
      <c r="M462" s="6">
        <v>3</v>
      </c>
      <c r="CE462" s="1" t="s">
        <v>1042</v>
      </c>
    </row>
    <row r="463" spans="1:83" ht="15">
      <c r="A463" s="32" t="s">
        <v>1094</v>
      </c>
      <c r="B463" s="6" t="s">
        <v>144</v>
      </c>
      <c r="K463" s="34">
        <v>3</v>
      </c>
      <c r="M463" s="6">
        <v>4</v>
      </c>
      <c r="CE463" s="1" t="s">
        <v>1042</v>
      </c>
    </row>
    <row r="464" spans="1:83" ht="15">
      <c r="A464" s="32" t="s">
        <v>1095</v>
      </c>
      <c r="B464" s="6" t="s">
        <v>144</v>
      </c>
      <c r="K464" s="34">
        <v>3</v>
      </c>
      <c r="M464" s="6">
        <v>5</v>
      </c>
      <c r="CE464" s="1" t="s">
        <v>1042</v>
      </c>
    </row>
    <row r="465" spans="1:83" ht="15">
      <c r="A465" s="32" t="s">
        <v>551</v>
      </c>
      <c r="B465" s="6" t="s">
        <v>144</v>
      </c>
      <c r="K465" s="34">
        <v>3</v>
      </c>
      <c r="O465" s="6">
        <v>3</v>
      </c>
      <c r="CE465" s="1" t="s">
        <v>1041</v>
      </c>
    </row>
    <row r="466" spans="1:83" ht="15">
      <c r="A466" s="32" t="s">
        <v>552</v>
      </c>
      <c r="B466" s="6" t="s">
        <v>144</v>
      </c>
      <c r="K466" s="34">
        <v>3</v>
      </c>
      <c r="P466" s="6">
        <v>3</v>
      </c>
      <c r="CE466" s="1" t="s">
        <v>1048</v>
      </c>
    </row>
    <row r="467" spans="1:83" ht="15">
      <c r="A467" s="32" t="s">
        <v>553</v>
      </c>
      <c r="B467" s="6" t="s">
        <v>144</v>
      </c>
      <c r="K467" s="34">
        <v>3</v>
      </c>
      <c r="Q467" s="6">
        <v>3</v>
      </c>
      <c r="CE467" s="1" t="s">
        <v>1047</v>
      </c>
    </row>
    <row r="468" spans="1:83" ht="15">
      <c r="A468" s="32" t="s">
        <v>554</v>
      </c>
      <c r="B468" s="6" t="s">
        <v>144</v>
      </c>
      <c r="K468" s="34">
        <v>3</v>
      </c>
      <c r="R468" s="6">
        <v>3</v>
      </c>
      <c r="CE468" s="1" t="s">
        <v>1045</v>
      </c>
    </row>
    <row r="469" spans="1:83" ht="15">
      <c r="A469" s="32" t="s">
        <v>805</v>
      </c>
      <c r="B469" s="6" t="s">
        <v>144</v>
      </c>
      <c r="K469" s="34">
        <v>3</v>
      </c>
      <c r="O469" s="6">
        <v>4</v>
      </c>
      <c r="CE469" s="1" t="s">
        <v>1041</v>
      </c>
    </row>
    <row r="470" spans="1:83" ht="15">
      <c r="A470" s="32" t="s">
        <v>806</v>
      </c>
      <c r="B470" s="6" t="s">
        <v>144</v>
      </c>
      <c r="K470" s="34">
        <v>3</v>
      </c>
      <c r="P470" s="6">
        <v>4</v>
      </c>
      <c r="CE470" s="1" t="s">
        <v>1048</v>
      </c>
    </row>
    <row r="471" spans="1:83" ht="15">
      <c r="A471" s="32" t="s">
        <v>807</v>
      </c>
      <c r="B471" s="6" t="s">
        <v>144</v>
      </c>
      <c r="K471" s="34">
        <v>3</v>
      </c>
      <c r="Q471" s="6">
        <v>4</v>
      </c>
      <c r="CE471" s="1" t="s">
        <v>1047</v>
      </c>
    </row>
    <row r="472" spans="1:83" ht="15">
      <c r="A472" s="32" t="s">
        <v>808</v>
      </c>
      <c r="B472" s="6" t="s">
        <v>144</v>
      </c>
      <c r="K472" s="34">
        <v>3</v>
      </c>
      <c r="R472" s="6">
        <v>4</v>
      </c>
      <c r="CE472" s="1" t="s">
        <v>1045</v>
      </c>
    </row>
    <row r="473" spans="1:83" ht="15">
      <c r="A473" s="32" t="s">
        <v>1212</v>
      </c>
      <c r="B473" s="6" t="s">
        <v>144</v>
      </c>
      <c r="K473" s="34">
        <v>3</v>
      </c>
      <c r="O473" s="6">
        <v>6</v>
      </c>
      <c r="CE473" s="1" t="s">
        <v>1041</v>
      </c>
    </row>
    <row r="474" spans="1:83" ht="15">
      <c r="A474" s="32" t="s">
        <v>1213</v>
      </c>
      <c r="B474" s="6" t="s">
        <v>144</v>
      </c>
      <c r="K474" s="34">
        <v>3</v>
      </c>
      <c r="P474" s="6">
        <v>6</v>
      </c>
      <c r="CE474" s="1" t="s">
        <v>1048</v>
      </c>
    </row>
    <row r="475" spans="1:83" ht="15">
      <c r="A475" s="32" t="s">
        <v>1214</v>
      </c>
      <c r="B475" s="6" t="s">
        <v>144</v>
      </c>
      <c r="K475" s="34">
        <v>3</v>
      </c>
      <c r="Q475" s="6">
        <v>6</v>
      </c>
      <c r="CE475" s="1" t="s">
        <v>1047</v>
      </c>
    </row>
    <row r="476" spans="1:83" ht="15">
      <c r="A476" s="32" t="s">
        <v>1215</v>
      </c>
      <c r="B476" s="6" t="s">
        <v>144</v>
      </c>
      <c r="K476" s="34">
        <v>3</v>
      </c>
      <c r="R476" s="6">
        <v>6</v>
      </c>
      <c r="CE476" s="1" t="s">
        <v>1045</v>
      </c>
    </row>
    <row r="477" spans="1:83" ht="15">
      <c r="A477" s="32" t="s">
        <v>555</v>
      </c>
      <c r="B477" s="6" t="s">
        <v>144</v>
      </c>
      <c r="K477" s="34">
        <v>3</v>
      </c>
      <c r="X477" s="6">
        <v>1</v>
      </c>
      <c r="CE477" s="1" t="s">
        <v>1050</v>
      </c>
    </row>
    <row r="478" spans="1:83" ht="15">
      <c r="A478" s="32" t="s">
        <v>813</v>
      </c>
      <c r="B478" s="6" t="s">
        <v>144</v>
      </c>
      <c r="K478" s="34">
        <v>4</v>
      </c>
      <c r="X478" s="6">
        <v>2</v>
      </c>
      <c r="CE478" s="1" t="s">
        <v>1050</v>
      </c>
    </row>
    <row r="479" spans="1:83" ht="15">
      <c r="A479" s="32" t="s">
        <v>556</v>
      </c>
      <c r="B479" s="6" t="s">
        <v>144</v>
      </c>
      <c r="K479" s="34">
        <v>3</v>
      </c>
      <c r="Y479" s="6">
        <v>1</v>
      </c>
      <c r="CE479" s="1" t="s">
        <v>1050</v>
      </c>
    </row>
    <row r="480" spans="1:83" ht="15">
      <c r="A480" s="32" t="s">
        <v>1081</v>
      </c>
      <c r="B480" s="6" t="s">
        <v>144</v>
      </c>
      <c r="K480" s="34">
        <v>4</v>
      </c>
      <c r="Y480" s="6">
        <v>2</v>
      </c>
      <c r="CE480" s="1" t="s">
        <v>1050</v>
      </c>
    </row>
    <row r="481" spans="1:83" ht="15">
      <c r="A481" s="32" t="s">
        <v>557</v>
      </c>
      <c r="B481" s="6" t="s">
        <v>144</v>
      </c>
      <c r="K481" s="34">
        <v>5</v>
      </c>
      <c r="Z481" s="6">
        <v>1</v>
      </c>
      <c r="CE481" s="1" t="s">
        <v>1050</v>
      </c>
    </row>
    <row r="482" spans="1:83" ht="15">
      <c r="A482" s="32" t="s">
        <v>1082</v>
      </c>
      <c r="B482" s="6" t="s">
        <v>144</v>
      </c>
      <c r="K482" s="34">
        <v>6</v>
      </c>
      <c r="Z482" s="6">
        <v>2</v>
      </c>
      <c r="CE482" s="1" t="s">
        <v>1050</v>
      </c>
    </row>
    <row r="483" spans="1:83" ht="15">
      <c r="A483" s="32" t="s">
        <v>558</v>
      </c>
      <c r="B483" s="6" t="s">
        <v>144</v>
      </c>
      <c r="K483" s="34">
        <v>5</v>
      </c>
      <c r="AA483" s="6">
        <v>1</v>
      </c>
      <c r="CE483" s="1" t="s">
        <v>1050</v>
      </c>
    </row>
    <row r="484" spans="1:83" ht="15">
      <c r="A484" s="32" t="s">
        <v>812</v>
      </c>
      <c r="B484" s="6" t="s">
        <v>144</v>
      </c>
      <c r="K484" s="34">
        <v>6</v>
      </c>
      <c r="AA484" s="6">
        <v>2</v>
      </c>
      <c r="CE484" s="1" t="s">
        <v>1050</v>
      </c>
    </row>
    <row r="485" spans="1:83" ht="15">
      <c r="A485" s="32" t="s">
        <v>559</v>
      </c>
      <c r="B485" s="6" t="s">
        <v>144</v>
      </c>
      <c r="K485" s="34">
        <v>6</v>
      </c>
      <c r="AB485" s="6">
        <v>1</v>
      </c>
      <c r="CE485" s="1" t="s">
        <v>1050</v>
      </c>
    </row>
    <row r="486" spans="1:83" ht="15">
      <c r="A486" s="32" t="s">
        <v>560</v>
      </c>
      <c r="B486" s="6" t="s">
        <v>144</v>
      </c>
      <c r="K486" s="34">
        <v>3</v>
      </c>
      <c r="AC486" s="6">
        <v>1</v>
      </c>
      <c r="CE486" s="1" t="s">
        <v>1050</v>
      </c>
    </row>
    <row r="487" spans="1:83" ht="15">
      <c r="A487" s="32" t="s">
        <v>1083</v>
      </c>
      <c r="B487" s="6" t="s">
        <v>144</v>
      </c>
      <c r="K487" s="34">
        <v>7</v>
      </c>
      <c r="AB487" s="6">
        <v>2</v>
      </c>
      <c r="CE487" s="1" t="s">
        <v>1050</v>
      </c>
    </row>
    <row r="488" spans="1:83" ht="15">
      <c r="A488" s="32" t="s">
        <v>1084</v>
      </c>
      <c r="B488" s="6" t="s">
        <v>144</v>
      </c>
      <c r="K488" s="34">
        <v>4</v>
      </c>
      <c r="AC488" s="6">
        <v>2</v>
      </c>
      <c r="CE488" s="1" t="s">
        <v>1050</v>
      </c>
    </row>
    <row r="489" spans="1:83" ht="15">
      <c r="A489" s="32" t="s">
        <v>561</v>
      </c>
      <c r="B489" s="6" t="s">
        <v>144</v>
      </c>
      <c r="K489" s="34">
        <v>6</v>
      </c>
      <c r="AP489" s="6">
        <v>1</v>
      </c>
    </row>
    <row r="490" spans="1:83" ht="15">
      <c r="A490" s="32" t="s">
        <v>562</v>
      </c>
      <c r="B490" s="6" t="s">
        <v>144</v>
      </c>
      <c r="K490" s="34">
        <v>4</v>
      </c>
      <c r="BN490" s="6">
        <v>3</v>
      </c>
    </row>
    <row r="491" spans="1:83" ht="15">
      <c r="A491" s="32" t="s">
        <v>1209</v>
      </c>
      <c r="B491" s="6" t="s">
        <v>144</v>
      </c>
      <c r="K491" s="34">
        <v>4</v>
      </c>
      <c r="BN491" s="6">
        <v>6</v>
      </c>
    </row>
    <row r="492" spans="1:83" ht="15">
      <c r="A492" s="32" t="s">
        <v>1210</v>
      </c>
      <c r="B492" s="6" t="s">
        <v>144</v>
      </c>
      <c r="K492" s="34">
        <v>4</v>
      </c>
      <c r="BN492" s="6">
        <v>9</v>
      </c>
    </row>
    <row r="493" spans="1:83" ht="15">
      <c r="A493" s="32" t="s">
        <v>563</v>
      </c>
      <c r="B493" s="6" t="s">
        <v>144</v>
      </c>
      <c r="K493" s="34">
        <v>5</v>
      </c>
    </row>
    <row r="494" spans="1:83" ht="15">
      <c r="A494" s="32" t="s">
        <v>564</v>
      </c>
      <c r="B494" s="6" t="s">
        <v>144</v>
      </c>
      <c r="K494" s="34">
        <v>3</v>
      </c>
      <c r="M494" s="6">
        <v>3</v>
      </c>
      <c r="CE494" s="6" t="s">
        <v>1042</v>
      </c>
    </row>
    <row r="495" spans="1:83" ht="15">
      <c r="A495" s="32" t="s">
        <v>565</v>
      </c>
      <c r="B495" s="6" t="s">
        <v>144</v>
      </c>
      <c r="K495" s="34">
        <v>6</v>
      </c>
      <c r="AB495" s="6">
        <v>1</v>
      </c>
      <c r="CE495" s="1" t="s">
        <v>1050</v>
      </c>
    </row>
    <row r="496" spans="1:83" ht="15">
      <c r="A496" s="32" t="s">
        <v>566</v>
      </c>
      <c r="B496" s="6" t="s">
        <v>144</v>
      </c>
      <c r="K496" s="34">
        <v>3</v>
      </c>
      <c r="AZ496" s="6">
        <v>1</v>
      </c>
      <c r="CE496" s="1" t="s">
        <v>1044</v>
      </c>
    </row>
    <row r="497" spans="1:83" ht="15">
      <c r="A497" s="32" t="s">
        <v>567</v>
      </c>
      <c r="B497" s="6" t="s">
        <v>144</v>
      </c>
      <c r="K497" s="34">
        <v>3</v>
      </c>
      <c r="BA497" s="6">
        <v>1</v>
      </c>
    </row>
    <row r="498" spans="1:83" ht="15">
      <c r="A498" s="32" t="s">
        <v>568</v>
      </c>
      <c r="B498" s="6" t="s">
        <v>144</v>
      </c>
      <c r="K498" s="34">
        <v>3</v>
      </c>
      <c r="BE498" s="6">
        <v>1</v>
      </c>
    </row>
    <row r="499" spans="1:83" ht="15">
      <c r="A499" s="32" t="s">
        <v>569</v>
      </c>
      <c r="B499" s="6" t="s">
        <v>144</v>
      </c>
      <c r="K499" s="34">
        <v>3</v>
      </c>
      <c r="BK499" s="6">
        <v>1</v>
      </c>
      <c r="CE499" s="1" t="s">
        <v>1046</v>
      </c>
    </row>
    <row r="500" spans="1:83" ht="15">
      <c r="A500" s="32" t="s">
        <v>570</v>
      </c>
      <c r="B500" s="6" t="s">
        <v>144</v>
      </c>
      <c r="K500" s="34">
        <v>2</v>
      </c>
      <c r="BN500" s="6">
        <v>2</v>
      </c>
    </row>
    <row r="501" spans="1:83" ht="15">
      <c r="A501" s="32" t="s">
        <v>1096</v>
      </c>
      <c r="B501" s="6" t="s">
        <v>144</v>
      </c>
      <c r="K501" s="34">
        <v>2.4</v>
      </c>
      <c r="BN501" s="6">
        <v>5</v>
      </c>
    </row>
    <row r="502" spans="1:83" ht="15">
      <c r="A502" s="32" t="s">
        <v>1220</v>
      </c>
      <c r="B502" s="6" t="s">
        <v>144</v>
      </c>
      <c r="K502" s="34">
        <v>2.8</v>
      </c>
      <c r="BN502" s="6">
        <v>8</v>
      </c>
    </row>
    <row r="503" spans="1:83" ht="15">
      <c r="A503" s="32" t="s">
        <v>571</v>
      </c>
      <c r="B503" s="6" t="s">
        <v>144</v>
      </c>
      <c r="K503" s="34">
        <v>7</v>
      </c>
      <c r="BU503" s="6">
        <v>1</v>
      </c>
    </row>
    <row r="504" spans="1:83" ht="15">
      <c r="A504" s="32" t="s">
        <v>572</v>
      </c>
      <c r="B504" s="6" t="s">
        <v>144</v>
      </c>
      <c r="K504" s="34">
        <v>5</v>
      </c>
    </row>
    <row r="505" spans="1:83" ht="15">
      <c r="A505" s="32" t="s">
        <v>573</v>
      </c>
      <c r="B505" s="6" t="s">
        <v>144</v>
      </c>
      <c r="K505" s="34">
        <v>3</v>
      </c>
      <c r="N505" s="6">
        <v>2</v>
      </c>
    </row>
    <row r="506" spans="1:83" ht="15">
      <c r="A506" s="32" t="s">
        <v>574</v>
      </c>
      <c r="B506" s="6" t="s">
        <v>144</v>
      </c>
      <c r="K506" s="34">
        <v>3</v>
      </c>
      <c r="O506" s="6">
        <v>3</v>
      </c>
      <c r="CE506" s="1" t="s">
        <v>1041</v>
      </c>
    </row>
    <row r="507" spans="1:83" ht="15">
      <c r="A507" s="32" t="s">
        <v>575</v>
      </c>
      <c r="B507" s="6" t="s">
        <v>144</v>
      </c>
      <c r="K507" s="34">
        <v>3</v>
      </c>
      <c r="P507" s="6">
        <v>3</v>
      </c>
      <c r="CE507" s="1" t="s">
        <v>1048</v>
      </c>
    </row>
    <row r="508" spans="1:83" ht="15">
      <c r="A508" s="32" t="s">
        <v>576</v>
      </c>
      <c r="B508" s="6" t="s">
        <v>144</v>
      </c>
      <c r="K508" s="34">
        <v>3</v>
      </c>
      <c r="Q508" s="6">
        <v>3</v>
      </c>
      <c r="CE508" s="1" t="s">
        <v>1047</v>
      </c>
    </row>
    <row r="509" spans="1:83" ht="15">
      <c r="A509" s="32" t="s">
        <v>577</v>
      </c>
      <c r="B509" s="6" t="s">
        <v>144</v>
      </c>
      <c r="K509" s="34">
        <v>3</v>
      </c>
      <c r="R509" s="6">
        <v>3</v>
      </c>
      <c r="CE509" s="1" t="s">
        <v>1045</v>
      </c>
    </row>
    <row r="510" spans="1:83" ht="15">
      <c r="A510" s="32" t="s">
        <v>578</v>
      </c>
      <c r="B510" s="6" t="s">
        <v>144</v>
      </c>
      <c r="K510" s="34">
        <v>3</v>
      </c>
      <c r="S510" s="6">
        <v>3</v>
      </c>
      <c r="CE510" s="6" t="s">
        <v>1040</v>
      </c>
    </row>
    <row r="511" spans="1:83" ht="15">
      <c r="A511" s="32" t="s">
        <v>579</v>
      </c>
      <c r="B511" s="6" t="s">
        <v>144</v>
      </c>
      <c r="K511" s="34">
        <v>4</v>
      </c>
      <c r="T511" s="6">
        <v>2</v>
      </c>
      <c r="CE511" s="6" t="s">
        <v>1053</v>
      </c>
    </row>
    <row r="512" spans="1:83" ht="15">
      <c r="A512" s="32" t="s">
        <v>1109</v>
      </c>
      <c r="B512" s="6" t="s">
        <v>144</v>
      </c>
      <c r="K512" s="34">
        <v>3</v>
      </c>
      <c r="O512" s="6">
        <v>4</v>
      </c>
      <c r="CE512" s="1" t="s">
        <v>1041</v>
      </c>
    </row>
    <row r="513" spans="1:83" ht="15">
      <c r="A513" s="32" t="s">
        <v>1110</v>
      </c>
      <c r="B513" s="6" t="s">
        <v>144</v>
      </c>
      <c r="K513" s="34">
        <v>3</v>
      </c>
      <c r="P513" s="6">
        <v>4</v>
      </c>
      <c r="CE513" s="1" t="s">
        <v>1048</v>
      </c>
    </row>
    <row r="514" spans="1:83" ht="15">
      <c r="A514" s="32" t="s">
        <v>1111</v>
      </c>
      <c r="B514" s="6" t="s">
        <v>144</v>
      </c>
      <c r="K514" s="34">
        <v>3</v>
      </c>
      <c r="Q514" s="6">
        <v>4</v>
      </c>
      <c r="CE514" s="1" t="s">
        <v>1047</v>
      </c>
    </row>
    <row r="515" spans="1:83" ht="15">
      <c r="A515" s="32" t="s">
        <v>1112</v>
      </c>
      <c r="B515" s="6" t="s">
        <v>144</v>
      </c>
      <c r="K515" s="34">
        <v>3</v>
      </c>
      <c r="R515" s="6">
        <v>4</v>
      </c>
      <c r="CE515" s="1" t="s">
        <v>1045</v>
      </c>
    </row>
    <row r="516" spans="1:83" ht="15">
      <c r="A516" s="32" t="s">
        <v>1113</v>
      </c>
      <c r="B516" s="6" t="s">
        <v>144</v>
      </c>
      <c r="K516" s="34">
        <v>3</v>
      </c>
      <c r="S516" s="6">
        <v>4</v>
      </c>
      <c r="CE516" s="6" t="s">
        <v>1040</v>
      </c>
    </row>
    <row r="517" spans="1:83" ht="15">
      <c r="A517" s="32" t="s">
        <v>1114</v>
      </c>
      <c r="B517" s="6" t="s">
        <v>144</v>
      </c>
      <c r="K517" s="34">
        <v>4</v>
      </c>
      <c r="T517" s="6">
        <v>3</v>
      </c>
      <c r="CE517" s="6" t="s">
        <v>1053</v>
      </c>
    </row>
    <row r="518" spans="1:83" ht="15">
      <c r="A518" s="32" t="s">
        <v>1230</v>
      </c>
      <c r="B518" s="6" t="s">
        <v>144</v>
      </c>
      <c r="K518" s="34">
        <v>3</v>
      </c>
      <c r="O518" s="6">
        <v>6</v>
      </c>
      <c r="CE518" s="1" t="s">
        <v>1041</v>
      </c>
    </row>
    <row r="519" spans="1:83" ht="15">
      <c r="A519" s="32" t="s">
        <v>1231</v>
      </c>
      <c r="B519" s="6" t="s">
        <v>144</v>
      </c>
      <c r="K519" s="34">
        <v>3</v>
      </c>
      <c r="P519" s="6">
        <v>6</v>
      </c>
      <c r="CE519" s="1" t="s">
        <v>1048</v>
      </c>
    </row>
    <row r="520" spans="1:83" ht="15">
      <c r="A520" s="32" t="s">
        <v>1232</v>
      </c>
      <c r="B520" s="6" t="s">
        <v>144</v>
      </c>
      <c r="K520" s="34">
        <v>3</v>
      </c>
      <c r="Q520" s="6">
        <v>6</v>
      </c>
      <c r="CE520" s="1" t="s">
        <v>1047</v>
      </c>
    </row>
    <row r="521" spans="1:83" ht="15">
      <c r="A521" s="32" t="s">
        <v>1233</v>
      </c>
      <c r="B521" s="6" t="s">
        <v>144</v>
      </c>
      <c r="K521" s="34">
        <v>3</v>
      </c>
      <c r="R521" s="6">
        <v>6</v>
      </c>
      <c r="CE521" s="1" t="s">
        <v>1045</v>
      </c>
    </row>
    <row r="522" spans="1:83" ht="15">
      <c r="A522" s="32" t="s">
        <v>580</v>
      </c>
      <c r="B522" s="6" t="s">
        <v>144</v>
      </c>
      <c r="K522" s="34">
        <v>6</v>
      </c>
      <c r="Z522" s="6">
        <v>1</v>
      </c>
      <c r="CE522" s="1" t="s">
        <v>1050</v>
      </c>
    </row>
    <row r="523" spans="1:83" ht="15">
      <c r="A523" s="32" t="s">
        <v>809</v>
      </c>
      <c r="B523" s="6" t="s">
        <v>144</v>
      </c>
      <c r="K523" s="34">
        <v>7</v>
      </c>
      <c r="Z523" s="6">
        <v>2</v>
      </c>
      <c r="CE523" s="1" t="s">
        <v>1050</v>
      </c>
    </row>
    <row r="524" spans="1:83" ht="15">
      <c r="A524" s="32" t="s">
        <v>1189</v>
      </c>
      <c r="B524" s="6" t="s">
        <v>144</v>
      </c>
      <c r="K524" s="34">
        <v>3</v>
      </c>
      <c r="X524" s="6">
        <v>1</v>
      </c>
      <c r="CE524" s="1" t="s">
        <v>1050</v>
      </c>
    </row>
    <row r="525" spans="1:83" ht="15">
      <c r="A525" s="32" t="s">
        <v>1190</v>
      </c>
      <c r="B525" s="6" t="s">
        <v>144</v>
      </c>
      <c r="K525" s="34">
        <v>4</v>
      </c>
      <c r="X525" s="6">
        <v>2</v>
      </c>
      <c r="CE525" s="1" t="s">
        <v>1050</v>
      </c>
    </row>
    <row r="526" spans="1:83" ht="15">
      <c r="A526" s="32" t="s">
        <v>1191</v>
      </c>
      <c r="B526" s="6" t="s">
        <v>144</v>
      </c>
      <c r="K526" s="34">
        <v>3</v>
      </c>
      <c r="Y526" s="6">
        <v>1</v>
      </c>
      <c r="CE526" s="1" t="s">
        <v>1050</v>
      </c>
    </row>
    <row r="527" spans="1:83" ht="15">
      <c r="A527" s="32" t="s">
        <v>1192</v>
      </c>
      <c r="B527" s="6" t="s">
        <v>144</v>
      </c>
      <c r="K527" s="34">
        <v>4</v>
      </c>
      <c r="Y527" s="6">
        <v>2</v>
      </c>
      <c r="CE527" s="1" t="s">
        <v>1050</v>
      </c>
    </row>
    <row r="528" spans="1:83" ht="15">
      <c r="A528" s="32" t="s">
        <v>581</v>
      </c>
      <c r="B528" s="6" t="s">
        <v>144</v>
      </c>
      <c r="K528" s="34">
        <v>3</v>
      </c>
      <c r="AT528" s="6">
        <v>1</v>
      </c>
    </row>
    <row r="529" spans="1:83" ht="15">
      <c r="A529" s="32" t="s">
        <v>1115</v>
      </c>
      <c r="B529" s="6" t="s">
        <v>144</v>
      </c>
      <c r="K529" s="34">
        <v>4</v>
      </c>
      <c r="AT529" s="6">
        <v>2</v>
      </c>
    </row>
    <row r="530" spans="1:83" ht="15">
      <c r="A530" s="32" t="s">
        <v>582</v>
      </c>
      <c r="B530" s="6" t="s">
        <v>144</v>
      </c>
      <c r="K530" s="34">
        <v>4</v>
      </c>
      <c r="AQ530" s="6">
        <v>1</v>
      </c>
    </row>
    <row r="531" spans="1:83" ht="15">
      <c r="A531" s="32" t="s">
        <v>583</v>
      </c>
      <c r="B531" s="6" t="s">
        <v>144</v>
      </c>
      <c r="K531" s="34">
        <v>4</v>
      </c>
      <c r="BN531" s="6">
        <v>3</v>
      </c>
    </row>
    <row r="532" spans="1:83" ht="15">
      <c r="A532" s="32" t="s">
        <v>584</v>
      </c>
      <c r="B532" s="6" t="s">
        <v>144</v>
      </c>
      <c r="K532" s="34">
        <v>5</v>
      </c>
    </row>
    <row r="533" spans="1:83" ht="15">
      <c r="A533" s="32" t="s">
        <v>585</v>
      </c>
      <c r="B533" s="6" t="s">
        <v>144</v>
      </c>
      <c r="K533" s="34">
        <v>3</v>
      </c>
      <c r="Y533" s="6">
        <v>1</v>
      </c>
      <c r="CE533" s="1" t="s">
        <v>1050</v>
      </c>
    </row>
    <row r="534" spans="1:83" ht="15">
      <c r="A534" s="32" t="s">
        <v>810</v>
      </c>
      <c r="B534" s="6" t="s">
        <v>144</v>
      </c>
      <c r="K534" s="34">
        <v>4</v>
      </c>
      <c r="Y534" s="6">
        <v>2</v>
      </c>
      <c r="CE534" s="1" t="s">
        <v>1050</v>
      </c>
    </row>
    <row r="535" spans="1:83" ht="15">
      <c r="A535" s="32" t="s">
        <v>586</v>
      </c>
      <c r="B535" s="6" t="s">
        <v>144</v>
      </c>
      <c r="K535" s="34">
        <v>4</v>
      </c>
      <c r="AF535" s="6">
        <v>1</v>
      </c>
    </row>
    <row r="536" spans="1:83" ht="15">
      <c r="A536" s="32" t="s">
        <v>587</v>
      </c>
      <c r="B536" s="6" t="s">
        <v>144</v>
      </c>
      <c r="K536" s="34">
        <v>4</v>
      </c>
      <c r="AI536" s="6">
        <v>1</v>
      </c>
    </row>
    <row r="537" spans="1:83" ht="15">
      <c r="A537" s="32" t="s">
        <v>696</v>
      </c>
      <c r="B537" s="6" t="s">
        <v>144</v>
      </c>
      <c r="K537" s="34">
        <v>4</v>
      </c>
      <c r="AJ537" s="6">
        <v>1</v>
      </c>
    </row>
    <row r="538" spans="1:83" ht="15">
      <c r="A538" s="32" t="s">
        <v>588</v>
      </c>
      <c r="B538" s="6" t="s">
        <v>144</v>
      </c>
      <c r="K538" s="34">
        <v>3</v>
      </c>
      <c r="AS538" s="6">
        <v>1</v>
      </c>
    </row>
    <row r="539" spans="1:83" ht="15">
      <c r="A539" s="32" t="s">
        <v>589</v>
      </c>
      <c r="B539" s="6" t="s">
        <v>144</v>
      </c>
      <c r="K539" s="34">
        <v>4</v>
      </c>
    </row>
    <row r="540" spans="1:83" ht="15">
      <c r="A540" s="32" t="s">
        <v>590</v>
      </c>
      <c r="B540" s="6" t="s">
        <v>144</v>
      </c>
      <c r="K540" s="34">
        <v>3</v>
      </c>
      <c r="AY540" s="6">
        <v>1</v>
      </c>
    </row>
    <row r="541" spans="1:83" ht="15">
      <c r="A541" s="32" t="s">
        <v>591</v>
      </c>
      <c r="B541" s="6" t="s">
        <v>144</v>
      </c>
      <c r="K541" s="34">
        <v>3</v>
      </c>
      <c r="BA541" s="6">
        <v>1</v>
      </c>
    </row>
    <row r="542" spans="1:83" ht="15">
      <c r="A542" s="32" t="s">
        <v>592</v>
      </c>
      <c r="B542" s="6" t="s">
        <v>144</v>
      </c>
      <c r="K542" s="34">
        <v>3</v>
      </c>
      <c r="BB542" s="6">
        <v>1</v>
      </c>
    </row>
    <row r="543" spans="1:83" ht="15">
      <c r="A543" s="32" t="s">
        <v>593</v>
      </c>
      <c r="B543" s="6" t="s">
        <v>144</v>
      </c>
      <c r="K543" s="34">
        <v>3</v>
      </c>
      <c r="BD543" s="6">
        <v>1</v>
      </c>
    </row>
    <row r="544" spans="1:83" ht="15">
      <c r="A544" s="32" t="s">
        <v>594</v>
      </c>
      <c r="B544" s="6" t="s">
        <v>144</v>
      </c>
      <c r="K544" s="34">
        <v>6</v>
      </c>
    </row>
    <row r="545" spans="1:83" ht="15">
      <c r="A545" s="32" t="s">
        <v>598</v>
      </c>
      <c r="B545" s="6" t="s">
        <v>144</v>
      </c>
      <c r="K545" s="34">
        <v>3</v>
      </c>
      <c r="N545" s="6">
        <v>2</v>
      </c>
    </row>
    <row r="546" spans="1:83" ht="15">
      <c r="A546" s="32" t="s">
        <v>600</v>
      </c>
      <c r="B546" s="6" t="s">
        <v>144</v>
      </c>
      <c r="K546" s="34">
        <v>3</v>
      </c>
      <c r="S546" s="6">
        <v>3</v>
      </c>
      <c r="CE546" s="1" t="s">
        <v>1040</v>
      </c>
    </row>
    <row r="547" spans="1:83" ht="15">
      <c r="A547" s="32" t="s">
        <v>602</v>
      </c>
      <c r="B547" s="6" t="s">
        <v>144</v>
      </c>
      <c r="K547" s="34">
        <v>4</v>
      </c>
      <c r="T547" s="6">
        <v>2</v>
      </c>
      <c r="CE547" s="6" t="s">
        <v>1053</v>
      </c>
    </row>
    <row r="548" spans="1:83" ht="15">
      <c r="A548" s="32" t="s">
        <v>604</v>
      </c>
      <c r="B548" s="6" t="s">
        <v>144</v>
      </c>
      <c r="K548" s="34">
        <v>3</v>
      </c>
      <c r="X548" s="6">
        <v>1</v>
      </c>
      <c r="CE548" s="1" t="s">
        <v>1050</v>
      </c>
    </row>
    <row r="549" spans="1:83" ht="15">
      <c r="A549" s="32" t="s">
        <v>811</v>
      </c>
      <c r="B549" s="6" t="s">
        <v>144</v>
      </c>
      <c r="K549" s="34">
        <v>4</v>
      </c>
      <c r="X549" s="6">
        <v>2</v>
      </c>
      <c r="CE549" s="1" t="s">
        <v>1050</v>
      </c>
    </row>
    <row r="550" spans="1:83" ht="15">
      <c r="A550" s="32" t="s">
        <v>606</v>
      </c>
      <c r="B550" s="6" t="s">
        <v>144</v>
      </c>
      <c r="K550" s="34">
        <v>4</v>
      </c>
      <c r="AG550" s="6">
        <v>1</v>
      </c>
    </row>
    <row r="551" spans="1:83" ht="15">
      <c r="A551" s="32" t="s">
        <v>609</v>
      </c>
      <c r="B551" s="6" t="s">
        <v>144</v>
      </c>
      <c r="K551" s="34">
        <v>4</v>
      </c>
      <c r="AM551" s="6">
        <v>1</v>
      </c>
    </row>
    <row r="552" spans="1:83" ht="15">
      <c r="A552" s="32" t="s">
        <v>612</v>
      </c>
      <c r="B552" s="6" t="s">
        <v>144</v>
      </c>
      <c r="K552" s="34">
        <v>4</v>
      </c>
    </row>
    <row r="553" spans="1:83" ht="15">
      <c r="A553" s="32" t="s">
        <v>613</v>
      </c>
      <c r="B553" s="6" t="s">
        <v>144</v>
      </c>
      <c r="K553" s="34">
        <v>4</v>
      </c>
      <c r="AQ553" s="6">
        <v>1</v>
      </c>
    </row>
    <row r="554" spans="1:83" ht="15">
      <c r="A554" s="32" t="s">
        <v>614</v>
      </c>
      <c r="B554" s="6" t="s">
        <v>144</v>
      </c>
      <c r="K554" s="34">
        <v>3</v>
      </c>
      <c r="AY554" s="6">
        <v>1</v>
      </c>
    </row>
    <row r="555" spans="1:83" ht="15">
      <c r="A555" s="32" t="s">
        <v>616</v>
      </c>
      <c r="B555" s="6" t="s">
        <v>144</v>
      </c>
      <c r="K555" s="34">
        <v>3</v>
      </c>
      <c r="BB555" s="6">
        <v>1</v>
      </c>
    </row>
    <row r="556" spans="1:83" ht="15">
      <c r="A556" s="32" t="s">
        <v>619</v>
      </c>
      <c r="B556" s="6" t="s">
        <v>144</v>
      </c>
      <c r="K556" s="34">
        <v>3</v>
      </c>
      <c r="BD556" s="6">
        <v>1</v>
      </c>
    </row>
    <row r="557" spans="1:83" ht="15">
      <c r="A557" s="32" t="s">
        <v>595</v>
      </c>
      <c r="B557" s="6" t="s">
        <v>144</v>
      </c>
      <c r="K557" s="34">
        <v>6</v>
      </c>
    </row>
    <row r="558" spans="1:83" ht="15">
      <c r="A558" s="32" t="s">
        <v>605</v>
      </c>
      <c r="B558" s="6" t="s">
        <v>144</v>
      </c>
      <c r="K558" s="34">
        <v>3</v>
      </c>
      <c r="AC558" s="6">
        <v>1</v>
      </c>
      <c r="CE558" s="1" t="s">
        <v>1050</v>
      </c>
    </row>
    <row r="559" spans="1:83" ht="15">
      <c r="A559" s="32" t="s">
        <v>610</v>
      </c>
      <c r="B559" s="6" t="s">
        <v>144</v>
      </c>
      <c r="K559" s="34">
        <v>4</v>
      </c>
      <c r="AP559" s="6">
        <v>1</v>
      </c>
    </row>
    <row r="560" spans="1:83" ht="15">
      <c r="A560" s="32" t="s">
        <v>615</v>
      </c>
      <c r="B560" s="6" t="s">
        <v>144</v>
      </c>
      <c r="K560" s="34">
        <v>3</v>
      </c>
      <c r="AZ560" s="6">
        <v>1</v>
      </c>
      <c r="CE560" s="1" t="s">
        <v>1044</v>
      </c>
    </row>
    <row r="561" spans="1:83" ht="15">
      <c r="A561" s="32" t="s">
        <v>621</v>
      </c>
      <c r="B561" s="6" t="s">
        <v>144</v>
      </c>
      <c r="K561" s="34">
        <v>3</v>
      </c>
      <c r="BJ561" s="6">
        <v>1</v>
      </c>
    </row>
    <row r="562" spans="1:83" ht="15">
      <c r="A562" s="32" t="s">
        <v>622</v>
      </c>
      <c r="B562" s="6" t="s">
        <v>144</v>
      </c>
      <c r="K562" s="34">
        <v>3</v>
      </c>
      <c r="BL562" s="6">
        <v>2</v>
      </c>
    </row>
    <row r="563" spans="1:83" ht="15">
      <c r="A563" s="32" t="s">
        <v>625</v>
      </c>
      <c r="B563" s="6" t="s">
        <v>144</v>
      </c>
      <c r="K563" s="34">
        <v>3</v>
      </c>
      <c r="BM563" s="6">
        <v>2</v>
      </c>
    </row>
    <row r="564" spans="1:83" ht="15">
      <c r="A564" s="32" t="s">
        <v>628</v>
      </c>
      <c r="B564" s="6" t="s">
        <v>144</v>
      </c>
      <c r="K564" s="34">
        <v>4</v>
      </c>
      <c r="BN564" s="6">
        <v>3</v>
      </c>
    </row>
    <row r="565" spans="1:83" ht="15">
      <c r="A565" s="32" t="s">
        <v>596</v>
      </c>
      <c r="B565" s="6" t="s">
        <v>144</v>
      </c>
      <c r="K565" s="34">
        <v>5</v>
      </c>
    </row>
    <row r="566" spans="1:83" ht="15">
      <c r="A566" s="32" t="s">
        <v>601</v>
      </c>
      <c r="B566" s="6" t="s">
        <v>144</v>
      </c>
      <c r="K566" s="34">
        <v>3</v>
      </c>
      <c r="S566" s="6">
        <v>3</v>
      </c>
      <c r="CE566" s="6" t="s">
        <v>1040</v>
      </c>
    </row>
    <row r="567" spans="1:83" ht="15">
      <c r="A567" s="32" t="s">
        <v>603</v>
      </c>
      <c r="B567" s="6" t="s">
        <v>144</v>
      </c>
      <c r="K567" s="34">
        <v>4</v>
      </c>
      <c r="T567" s="6">
        <v>2</v>
      </c>
      <c r="CE567" s="6" t="s">
        <v>1053</v>
      </c>
    </row>
    <row r="568" spans="1:83" ht="15">
      <c r="A568" s="32" t="s">
        <v>1091</v>
      </c>
      <c r="B568" s="6" t="s">
        <v>144</v>
      </c>
      <c r="K568" s="34">
        <v>3</v>
      </c>
      <c r="S568" s="6">
        <v>4</v>
      </c>
      <c r="CE568" s="6" t="s">
        <v>1040</v>
      </c>
    </row>
    <row r="569" spans="1:83" ht="15">
      <c r="A569" s="32" t="s">
        <v>1092</v>
      </c>
      <c r="B569" s="6" t="s">
        <v>144</v>
      </c>
      <c r="K569" s="34">
        <v>4</v>
      </c>
      <c r="T569" s="6">
        <v>3</v>
      </c>
      <c r="CE569" s="6" t="s">
        <v>1053</v>
      </c>
    </row>
    <row r="570" spans="1:83" ht="15">
      <c r="A570" s="32" t="s">
        <v>607</v>
      </c>
      <c r="B570" s="6" t="s">
        <v>144</v>
      </c>
      <c r="K570" s="34">
        <v>4</v>
      </c>
      <c r="AH570" s="6">
        <v>1</v>
      </c>
      <c r="CE570" s="1" t="s">
        <v>1053</v>
      </c>
    </row>
    <row r="571" spans="1:83" ht="15">
      <c r="A571" s="32" t="s">
        <v>611</v>
      </c>
      <c r="B571" s="6" t="s">
        <v>144</v>
      </c>
      <c r="K571" s="34">
        <v>3</v>
      </c>
      <c r="AS571" s="6">
        <v>1</v>
      </c>
    </row>
    <row r="572" spans="1:83" ht="15">
      <c r="A572" s="32" t="s">
        <v>617</v>
      </c>
      <c r="B572" s="6" t="s">
        <v>144</v>
      </c>
      <c r="K572" s="34">
        <v>3</v>
      </c>
      <c r="BC572" s="6">
        <v>1</v>
      </c>
    </row>
    <row r="573" spans="1:83" ht="15">
      <c r="A573" s="32" t="s">
        <v>623</v>
      </c>
      <c r="B573" s="6" t="s">
        <v>144</v>
      </c>
      <c r="K573" s="34">
        <v>3</v>
      </c>
      <c r="BL573" s="6">
        <v>2</v>
      </c>
    </row>
    <row r="574" spans="1:83" ht="15">
      <c r="A574" s="32" t="s">
        <v>626</v>
      </c>
      <c r="B574" s="6" t="s">
        <v>144</v>
      </c>
      <c r="K574" s="34">
        <v>3</v>
      </c>
      <c r="BM574" s="6">
        <v>2</v>
      </c>
    </row>
    <row r="575" spans="1:83" ht="15">
      <c r="A575" s="32" t="s">
        <v>1289</v>
      </c>
      <c r="B575" s="6" t="s">
        <v>144</v>
      </c>
      <c r="K575" s="34">
        <v>3</v>
      </c>
      <c r="BA575" s="6">
        <v>1</v>
      </c>
    </row>
    <row r="576" spans="1:83" ht="15">
      <c r="A576" s="32" t="s">
        <v>1290</v>
      </c>
      <c r="B576" s="6" t="s">
        <v>144</v>
      </c>
      <c r="K576" s="34">
        <v>3</v>
      </c>
      <c r="BB576" s="6">
        <v>1</v>
      </c>
    </row>
    <row r="577" spans="1:83" ht="15">
      <c r="A577" s="32" t="s">
        <v>1291</v>
      </c>
      <c r="B577" s="6" t="s">
        <v>144</v>
      </c>
      <c r="K577" s="34">
        <v>3</v>
      </c>
      <c r="BI577" s="6">
        <v>1</v>
      </c>
    </row>
    <row r="578" spans="1:83" ht="15">
      <c r="A578" s="32" t="s">
        <v>597</v>
      </c>
      <c r="B578" s="6" t="s">
        <v>144</v>
      </c>
      <c r="K578" s="34">
        <v>5</v>
      </c>
    </row>
    <row r="579" spans="1:83" ht="15">
      <c r="A579" s="32" t="s">
        <v>599</v>
      </c>
      <c r="B579" s="6" t="s">
        <v>144</v>
      </c>
      <c r="K579" s="34">
        <v>3</v>
      </c>
      <c r="N579" s="6">
        <v>2</v>
      </c>
    </row>
    <row r="580" spans="1:83" ht="15">
      <c r="A580" s="32" t="s">
        <v>608</v>
      </c>
      <c r="B580" s="6" t="s">
        <v>144</v>
      </c>
      <c r="K580" s="34">
        <v>4</v>
      </c>
      <c r="AH580" s="6">
        <v>1</v>
      </c>
      <c r="CE580" s="1" t="s">
        <v>1053</v>
      </c>
    </row>
    <row r="581" spans="1:83" ht="15">
      <c r="A581" s="32" t="s">
        <v>618</v>
      </c>
      <c r="B581" s="6" t="s">
        <v>144</v>
      </c>
      <c r="K581" s="34">
        <v>3</v>
      </c>
      <c r="BC581" s="6">
        <v>1</v>
      </c>
    </row>
    <row r="582" spans="1:83" ht="15">
      <c r="A582" s="32" t="s">
        <v>620</v>
      </c>
      <c r="B582" s="6" t="s">
        <v>144</v>
      </c>
      <c r="K582" s="34">
        <v>3</v>
      </c>
      <c r="BE582" s="6">
        <v>1</v>
      </c>
    </row>
    <row r="583" spans="1:83" ht="15">
      <c r="A583" s="32" t="s">
        <v>624</v>
      </c>
      <c r="B583" s="6" t="s">
        <v>144</v>
      </c>
      <c r="K583" s="34">
        <v>3</v>
      </c>
      <c r="BL583" s="6">
        <v>2</v>
      </c>
    </row>
    <row r="584" spans="1:83" ht="15">
      <c r="A584" s="32" t="s">
        <v>627</v>
      </c>
      <c r="B584" s="6" t="s">
        <v>144</v>
      </c>
      <c r="K584" s="34">
        <v>3</v>
      </c>
      <c r="BM584" s="6">
        <v>2</v>
      </c>
    </row>
    <row r="585" spans="1:83" ht="15">
      <c r="A585" s="32" t="s">
        <v>629</v>
      </c>
      <c r="B585" s="6" t="s">
        <v>144</v>
      </c>
      <c r="K585" s="34">
        <v>4</v>
      </c>
      <c r="BN585" s="6">
        <v>3</v>
      </c>
    </row>
    <row r="586" spans="1:83" ht="15">
      <c r="A586" s="2" t="s">
        <v>735</v>
      </c>
      <c r="B586" s="6" t="s">
        <v>144</v>
      </c>
      <c r="K586" s="35">
        <v>4</v>
      </c>
      <c r="AQ586" s="6">
        <v>1</v>
      </c>
    </row>
    <row r="587" spans="1:83" ht="15">
      <c r="A587" s="43" t="s">
        <v>822</v>
      </c>
      <c r="B587" s="6" t="s">
        <v>144</v>
      </c>
      <c r="K587" s="44">
        <v>4</v>
      </c>
      <c r="BZ587" s="18" t="s">
        <v>223</v>
      </c>
      <c r="CE587" s="1" t="s">
        <v>1047</v>
      </c>
    </row>
    <row r="588" spans="1:83" ht="15">
      <c r="A588" s="6" t="s">
        <v>823</v>
      </c>
      <c r="B588" s="6" t="s">
        <v>144</v>
      </c>
      <c r="K588" s="44">
        <v>4</v>
      </c>
      <c r="BZ588" s="18" t="s">
        <v>222</v>
      </c>
      <c r="CE588" s="1" t="s">
        <v>1041</v>
      </c>
    </row>
    <row r="589" spans="1:83" ht="15">
      <c r="A589" s="6" t="s">
        <v>824</v>
      </c>
      <c r="B589" s="6" t="s">
        <v>144</v>
      </c>
      <c r="K589" s="44">
        <v>4</v>
      </c>
      <c r="BZ589" s="18" t="s">
        <v>221</v>
      </c>
      <c r="CE589" s="1" t="s">
        <v>1048</v>
      </c>
    </row>
    <row r="590" spans="1:83" ht="15">
      <c r="A590" s="6" t="s">
        <v>825</v>
      </c>
      <c r="B590" s="6" t="s">
        <v>144</v>
      </c>
      <c r="K590" s="44">
        <v>4</v>
      </c>
      <c r="BZ590" s="18" t="s">
        <v>220</v>
      </c>
      <c r="CE590" s="6" t="s">
        <v>1040</v>
      </c>
    </row>
    <row r="591" spans="1:83" ht="15">
      <c r="A591" s="6" t="s">
        <v>826</v>
      </c>
      <c r="B591" s="6" t="s">
        <v>144</v>
      </c>
      <c r="K591" s="44">
        <v>4</v>
      </c>
      <c r="BZ591" s="18" t="s">
        <v>635</v>
      </c>
      <c r="CE591" s="6" t="s">
        <v>1042</v>
      </c>
    </row>
    <row r="592" spans="1:83" ht="15">
      <c r="A592" s="6" t="s">
        <v>827</v>
      </c>
      <c r="B592" s="6" t="s">
        <v>144</v>
      </c>
      <c r="K592" s="44">
        <v>4</v>
      </c>
      <c r="BZ592" s="18" t="s">
        <v>634</v>
      </c>
      <c r="CE592" s="6" t="s">
        <v>1042</v>
      </c>
    </row>
    <row r="593" spans="1:83" ht="15">
      <c r="A593" s="6" t="s">
        <v>828</v>
      </c>
      <c r="B593" s="6" t="s">
        <v>144</v>
      </c>
      <c r="K593" s="44">
        <v>4</v>
      </c>
      <c r="BZ593" s="18" t="s">
        <v>633</v>
      </c>
      <c r="CE593" s="6" t="s">
        <v>1042</v>
      </c>
    </row>
    <row r="594" spans="1:83" ht="15">
      <c r="A594" s="1" t="s">
        <v>1052</v>
      </c>
      <c r="B594" s="6" t="s">
        <v>144</v>
      </c>
      <c r="K594" s="44">
        <v>4</v>
      </c>
      <c r="BZ594" s="18" t="s">
        <v>1054</v>
      </c>
      <c r="CE594" s="6" t="s">
        <v>1042</v>
      </c>
    </row>
    <row r="595" spans="1:83" ht="15">
      <c r="A595" s="6" t="s">
        <v>829</v>
      </c>
      <c r="B595" s="6" t="s">
        <v>144</v>
      </c>
      <c r="K595" s="44">
        <v>4</v>
      </c>
      <c r="BZ595" s="18" t="s">
        <v>632</v>
      </c>
      <c r="CE595" s="6" t="s">
        <v>1042</v>
      </c>
    </row>
    <row r="596" spans="1:83" ht="15">
      <c r="A596" s="6" t="s">
        <v>830</v>
      </c>
      <c r="B596" s="6" t="s">
        <v>144</v>
      </c>
      <c r="K596" s="44">
        <v>3</v>
      </c>
      <c r="BZ596" s="18" t="s">
        <v>719</v>
      </c>
      <c r="CE596" s="6" t="s">
        <v>1047</v>
      </c>
    </row>
    <row r="597" spans="1:83" ht="15">
      <c r="A597" s="6" t="s">
        <v>831</v>
      </c>
      <c r="B597" s="6" t="s">
        <v>144</v>
      </c>
      <c r="K597" s="44">
        <v>3</v>
      </c>
      <c r="BZ597" s="18" t="s">
        <v>718</v>
      </c>
      <c r="CE597" s="6" t="s">
        <v>1041</v>
      </c>
    </row>
    <row r="598" spans="1:83" ht="15">
      <c r="A598" s="6" t="s">
        <v>832</v>
      </c>
      <c r="B598" s="6" t="s">
        <v>144</v>
      </c>
      <c r="K598" s="44">
        <v>3</v>
      </c>
      <c r="BZ598" s="18" t="s">
        <v>717</v>
      </c>
      <c r="CE598" s="6" t="s">
        <v>1047</v>
      </c>
    </row>
    <row r="599" spans="1:83" ht="15">
      <c r="A599" s="6" t="s">
        <v>833</v>
      </c>
      <c r="B599" s="6" t="s">
        <v>144</v>
      </c>
      <c r="K599" s="44">
        <v>4</v>
      </c>
      <c r="BZ599" s="18" t="s">
        <v>716</v>
      </c>
      <c r="CE599" s="6" t="s">
        <v>1041</v>
      </c>
    </row>
    <row r="600" spans="1:83" ht="15">
      <c r="A600" s="6" t="s">
        <v>834</v>
      </c>
      <c r="B600" s="6" t="s">
        <v>144</v>
      </c>
      <c r="K600" s="44">
        <v>4</v>
      </c>
      <c r="BZ600" s="18" t="s">
        <v>715</v>
      </c>
      <c r="CE600" s="6" t="s">
        <v>1041</v>
      </c>
    </row>
    <row r="601" spans="1:83" ht="15">
      <c r="A601" s="6" t="s">
        <v>835</v>
      </c>
      <c r="B601" s="6" t="s">
        <v>144</v>
      </c>
      <c r="K601" s="44">
        <v>4</v>
      </c>
      <c r="BZ601" s="18" t="s">
        <v>714</v>
      </c>
      <c r="CE601" s="6" t="s">
        <v>1041</v>
      </c>
    </row>
    <row r="602" spans="1:83" ht="15">
      <c r="A602" s="6" t="s">
        <v>836</v>
      </c>
      <c r="B602" s="6" t="s">
        <v>144</v>
      </c>
      <c r="K602" s="44">
        <v>4</v>
      </c>
      <c r="BZ602" s="18" t="s">
        <v>713</v>
      </c>
      <c r="CE602" s="6" t="s">
        <v>1042</v>
      </c>
    </row>
    <row r="603" spans="1:83" ht="15">
      <c r="A603" s="6" t="s">
        <v>837</v>
      </c>
      <c r="B603" s="6" t="s">
        <v>144</v>
      </c>
      <c r="K603" s="44">
        <v>4</v>
      </c>
      <c r="BZ603" s="18" t="s">
        <v>712</v>
      </c>
      <c r="CE603" s="6" t="s">
        <v>1042</v>
      </c>
    </row>
    <row r="604" spans="1:83" ht="15">
      <c r="A604" s="6" t="s">
        <v>838</v>
      </c>
      <c r="B604" s="6" t="s">
        <v>144</v>
      </c>
      <c r="K604" s="44">
        <v>4</v>
      </c>
      <c r="BZ604" s="18" t="s">
        <v>711</v>
      </c>
      <c r="CE604" s="6" t="s">
        <v>1042</v>
      </c>
    </row>
    <row r="605" spans="1:83" ht="15">
      <c r="A605" s="6" t="s">
        <v>839</v>
      </c>
      <c r="B605" s="6" t="s">
        <v>144</v>
      </c>
      <c r="K605" s="44">
        <v>4</v>
      </c>
      <c r="BZ605" s="18" t="s">
        <v>710</v>
      </c>
      <c r="CE605" s="6" t="s">
        <v>1044</v>
      </c>
    </row>
    <row r="606" spans="1:83" ht="15">
      <c r="A606" s="6" t="s">
        <v>840</v>
      </c>
      <c r="B606" s="6" t="s">
        <v>144</v>
      </c>
      <c r="K606" s="44">
        <v>4</v>
      </c>
      <c r="BZ606" s="18" t="s">
        <v>709</v>
      </c>
      <c r="CE606" s="6" t="s">
        <v>1044</v>
      </c>
    </row>
    <row r="607" spans="1:83" ht="15">
      <c r="A607" s="6" t="s">
        <v>841</v>
      </c>
      <c r="B607" s="6" t="s">
        <v>144</v>
      </c>
      <c r="K607" s="44">
        <v>4</v>
      </c>
      <c r="BZ607" s="18" t="s">
        <v>708</v>
      </c>
      <c r="CE607" s="6" t="s">
        <v>1043</v>
      </c>
    </row>
    <row r="608" spans="1:83" ht="15">
      <c r="A608" s="6" t="s">
        <v>842</v>
      </c>
      <c r="B608" s="6" t="s">
        <v>144</v>
      </c>
      <c r="K608" s="44">
        <v>3</v>
      </c>
      <c r="BZ608" s="18" t="s">
        <v>707</v>
      </c>
    </row>
    <row r="609" spans="1:83" ht="15">
      <c r="A609" s="6" t="s">
        <v>843</v>
      </c>
      <c r="B609" s="6" t="s">
        <v>144</v>
      </c>
      <c r="K609" s="44">
        <v>4</v>
      </c>
      <c r="BZ609" s="18" t="s">
        <v>219</v>
      </c>
      <c r="CE609" s="6" t="s">
        <v>1042</v>
      </c>
    </row>
    <row r="610" spans="1:83" ht="15">
      <c r="A610" s="6" t="s">
        <v>844</v>
      </c>
      <c r="B610" s="6" t="s">
        <v>144</v>
      </c>
      <c r="K610" s="44">
        <v>4</v>
      </c>
      <c r="BZ610" s="18" t="s">
        <v>218</v>
      </c>
      <c r="CE610" s="6" t="s">
        <v>1041</v>
      </c>
    </row>
    <row r="611" spans="1:83" ht="15">
      <c r="A611" s="6" t="s">
        <v>845</v>
      </c>
      <c r="B611" s="6" t="s">
        <v>144</v>
      </c>
      <c r="K611" s="44">
        <v>4</v>
      </c>
      <c r="BZ611" s="18" t="s">
        <v>217</v>
      </c>
      <c r="CE611" s="6" t="s">
        <v>1048</v>
      </c>
    </row>
    <row r="612" spans="1:83" ht="15">
      <c r="A612" s="6" t="s">
        <v>846</v>
      </c>
      <c r="B612" s="6" t="s">
        <v>144</v>
      </c>
      <c r="K612" s="44">
        <v>4</v>
      </c>
      <c r="BZ612" s="18" t="s">
        <v>216</v>
      </c>
      <c r="CE612" s="6" t="s">
        <v>1040</v>
      </c>
    </row>
    <row r="613" spans="1:83" ht="15">
      <c r="A613" s="6" t="s">
        <v>847</v>
      </c>
      <c r="B613" s="6" t="s">
        <v>144</v>
      </c>
      <c r="K613" s="44">
        <v>4</v>
      </c>
      <c r="BZ613" s="18" t="s">
        <v>819</v>
      </c>
      <c r="CE613" s="6" t="s">
        <v>1048</v>
      </c>
    </row>
    <row r="614" spans="1:83" ht="15">
      <c r="A614" s="1" t="s">
        <v>1021</v>
      </c>
      <c r="B614" s="6" t="s">
        <v>144</v>
      </c>
      <c r="I614" s="6">
        <v>4</v>
      </c>
      <c r="K614" s="61">
        <v>3</v>
      </c>
      <c r="BZ614" s="18" t="s">
        <v>818</v>
      </c>
    </row>
    <row r="615" spans="1:83" ht="15">
      <c r="A615" s="1" t="s">
        <v>1186</v>
      </c>
      <c r="B615" s="6" t="s">
        <v>144</v>
      </c>
      <c r="K615" s="34">
        <v>3</v>
      </c>
      <c r="BW615" s="1" t="s">
        <v>1217</v>
      </c>
      <c r="CE615" s="1" t="s">
        <v>1042</v>
      </c>
    </row>
    <row r="616" spans="1:83" ht="15">
      <c r="A616" s="1" t="s">
        <v>1187</v>
      </c>
      <c r="B616" s="6" t="s">
        <v>144</v>
      </c>
      <c r="K616" s="34">
        <v>3.4</v>
      </c>
      <c r="BW616" s="1" t="s">
        <v>1293</v>
      </c>
      <c r="CE616" s="1" t="s">
        <v>1042</v>
      </c>
    </row>
    <row r="617" spans="1:83" ht="15">
      <c r="A617" s="1" t="s">
        <v>1218</v>
      </c>
      <c r="B617" s="6" t="s">
        <v>144</v>
      </c>
      <c r="K617" s="34">
        <v>3.8</v>
      </c>
      <c r="BW617" s="1" t="s">
        <v>1219</v>
      </c>
      <c r="CE617" s="1" t="s">
        <v>1042</v>
      </c>
    </row>
    <row r="618" spans="1:83" ht="15">
      <c r="A618" s="1" t="s">
        <v>1271</v>
      </c>
      <c r="B618" s="6" t="s">
        <v>144</v>
      </c>
      <c r="K618" s="34">
        <v>3</v>
      </c>
      <c r="BW618" s="1" t="s">
        <v>1269</v>
      </c>
      <c r="CE618" s="1" t="s">
        <v>1042</v>
      </c>
    </row>
    <row r="619" spans="1:83" ht="15">
      <c r="A619" s="1" t="s">
        <v>1272</v>
      </c>
      <c r="B619" s="6" t="s">
        <v>144</v>
      </c>
      <c r="K619" s="34">
        <v>3.4</v>
      </c>
      <c r="BW619" s="1" t="s">
        <v>1294</v>
      </c>
      <c r="CE619" s="1" t="s">
        <v>1042</v>
      </c>
    </row>
    <row r="620" spans="1:83" ht="15">
      <c r="A620" s="1" t="s">
        <v>1273</v>
      </c>
      <c r="B620" s="6" t="s">
        <v>144</v>
      </c>
      <c r="K620" s="34">
        <v>3.8</v>
      </c>
      <c r="BW620" s="1" t="s">
        <v>1270</v>
      </c>
      <c r="CE620" s="1" t="s">
        <v>1042</v>
      </c>
    </row>
    <row r="621" spans="1:83" ht="15">
      <c r="A621" s="1" t="s">
        <v>1274</v>
      </c>
      <c r="B621" s="6" t="s">
        <v>144</v>
      </c>
      <c r="K621" s="34">
        <v>3</v>
      </c>
      <c r="BW621" s="1" t="s">
        <v>1275</v>
      </c>
      <c r="CE621" s="1" t="s">
        <v>1042</v>
      </c>
    </row>
    <row r="622" spans="1:83" ht="15">
      <c r="A622" s="1" t="s">
        <v>1276</v>
      </c>
      <c r="B622" s="6" t="s">
        <v>144</v>
      </c>
      <c r="K622" s="34">
        <v>3.4</v>
      </c>
      <c r="BW622" s="1" t="s">
        <v>1295</v>
      </c>
      <c r="CE622" s="1" t="s">
        <v>1042</v>
      </c>
    </row>
    <row r="623" spans="1:83" ht="15">
      <c r="A623" s="1" t="s">
        <v>1277</v>
      </c>
      <c r="B623" s="6" t="s">
        <v>144</v>
      </c>
      <c r="K623" s="34">
        <v>3.8</v>
      </c>
      <c r="BW623" s="1" t="s">
        <v>1278</v>
      </c>
      <c r="CE623" s="1" t="s">
        <v>1042</v>
      </c>
    </row>
    <row r="624" spans="1:83" ht="15">
      <c r="A624" s="1" t="s">
        <v>1279</v>
      </c>
      <c r="B624" s="6" t="s">
        <v>144</v>
      </c>
      <c r="K624" s="34">
        <v>3</v>
      </c>
      <c r="BW624" s="1" t="s">
        <v>1280</v>
      </c>
      <c r="CE624" s="1" t="s">
        <v>1042</v>
      </c>
    </row>
    <row r="625" spans="1:83" ht="15">
      <c r="A625" s="1" t="s">
        <v>1281</v>
      </c>
      <c r="B625" s="6" t="s">
        <v>144</v>
      </c>
      <c r="K625" s="34">
        <v>3.4</v>
      </c>
      <c r="BW625" s="1" t="s">
        <v>1296</v>
      </c>
      <c r="CE625" s="1" t="s">
        <v>1042</v>
      </c>
    </row>
    <row r="626" spans="1:83" ht="15">
      <c r="A626" s="1" t="s">
        <v>1282</v>
      </c>
      <c r="B626" s="6" t="s">
        <v>144</v>
      </c>
      <c r="K626" s="34">
        <v>3.8</v>
      </c>
      <c r="BW626" s="1" t="s">
        <v>1283</v>
      </c>
      <c r="CE626" s="1" t="s">
        <v>1042</v>
      </c>
    </row>
    <row r="627" spans="1:83" ht="15">
      <c r="A627" s="1" t="s">
        <v>1284</v>
      </c>
      <c r="B627" s="6" t="s">
        <v>144</v>
      </c>
      <c r="K627" s="34">
        <v>3</v>
      </c>
      <c r="BW627" s="1" t="s">
        <v>1285</v>
      </c>
      <c r="CE627" s="1" t="s">
        <v>1042</v>
      </c>
    </row>
    <row r="628" spans="1:83" ht="15">
      <c r="A628" s="1" t="s">
        <v>1286</v>
      </c>
      <c r="B628" s="6" t="s">
        <v>144</v>
      </c>
      <c r="K628" s="34">
        <v>3.4</v>
      </c>
      <c r="BW628" s="1" t="s">
        <v>1297</v>
      </c>
      <c r="CE628" s="1" t="s">
        <v>1042</v>
      </c>
    </row>
    <row r="629" spans="1:83" ht="15">
      <c r="A629" s="1" t="s">
        <v>1287</v>
      </c>
      <c r="B629" s="6" t="s">
        <v>144</v>
      </c>
      <c r="K629" s="34">
        <v>3.8</v>
      </c>
      <c r="BW629" s="1" t="s">
        <v>1288</v>
      </c>
      <c r="CE629" s="1" t="s">
        <v>1042</v>
      </c>
    </row>
    <row r="630" spans="1:83" ht="15">
      <c r="A630" s="65" t="s">
        <v>1120</v>
      </c>
      <c r="B630" s="6" t="s">
        <v>144</v>
      </c>
      <c r="K630" s="66">
        <v>1</v>
      </c>
      <c r="CE630" s="6" t="s">
        <v>928</v>
      </c>
    </row>
    <row r="631" spans="1:83" ht="15">
      <c r="A631" s="62" t="s">
        <v>1061</v>
      </c>
      <c r="B631" s="6" t="s">
        <v>144</v>
      </c>
      <c r="CE631" s="6" t="s">
        <v>1053</v>
      </c>
    </row>
    <row r="632" spans="1:83">
      <c r="A632" s="1" t="s">
        <v>1062</v>
      </c>
      <c r="B632" s="6" t="s">
        <v>144</v>
      </c>
      <c r="CE632" s="6" t="s">
        <v>1047</v>
      </c>
    </row>
    <row r="633" spans="1:83">
      <c r="A633" s="1" t="s">
        <v>1063</v>
      </c>
      <c r="B633" s="6" t="s">
        <v>144</v>
      </c>
      <c r="CE633" s="6" t="s">
        <v>1044</v>
      </c>
    </row>
    <row r="634" spans="1:83">
      <c r="A634" s="1" t="s">
        <v>1064</v>
      </c>
      <c r="B634" s="6" t="s">
        <v>144</v>
      </c>
      <c r="CE634" s="6" t="s">
        <v>1046</v>
      </c>
    </row>
    <row r="635" spans="1:83">
      <c r="A635" s="1" t="s">
        <v>1065</v>
      </c>
      <c r="B635" s="6" t="s">
        <v>144</v>
      </c>
      <c r="CE635" s="6" t="s">
        <v>1041</v>
      </c>
    </row>
    <row r="636" spans="1:83">
      <c r="A636" s="1" t="s">
        <v>1066</v>
      </c>
      <c r="B636" s="6" t="s">
        <v>144</v>
      </c>
      <c r="CE636" s="6" t="s">
        <v>1042</v>
      </c>
    </row>
    <row r="637" spans="1:83">
      <c r="A637" s="1" t="s">
        <v>1067</v>
      </c>
      <c r="B637" s="6" t="s">
        <v>144</v>
      </c>
      <c r="CE637" s="6" t="s">
        <v>1050</v>
      </c>
    </row>
    <row r="638" spans="1:83">
      <c r="A638" s="1" t="s">
        <v>1298</v>
      </c>
      <c r="B638" s="6" t="s">
        <v>144</v>
      </c>
      <c r="CE638" s="6" t="s">
        <v>1225</v>
      </c>
    </row>
    <row r="639" spans="1:83">
      <c r="A639" s="1" t="s">
        <v>1299</v>
      </c>
      <c r="B639" s="6" t="s">
        <v>144</v>
      </c>
      <c r="CE639" s="6" t="s">
        <v>1224</v>
      </c>
    </row>
    <row r="640" spans="1:83">
      <c r="A640" s="1" t="s">
        <v>1300</v>
      </c>
      <c r="B640" s="6" t="s">
        <v>144</v>
      </c>
      <c r="CE640" s="6" t="s">
        <v>1223</v>
      </c>
    </row>
    <row r="641" spans="1:76">
      <c r="A641" s="1" t="s">
        <v>1097</v>
      </c>
      <c r="B641" s="6" t="s">
        <v>144</v>
      </c>
      <c r="K641" s="6">
        <v>4</v>
      </c>
      <c r="BX641" s="18" t="s">
        <v>1098</v>
      </c>
    </row>
    <row r="642" spans="1:76">
      <c r="A642" s="1" t="s">
        <v>1104</v>
      </c>
      <c r="B642" s="6" t="s">
        <v>144</v>
      </c>
      <c r="K642" s="6">
        <v>4</v>
      </c>
      <c r="BX642" s="18" t="s">
        <v>1103</v>
      </c>
    </row>
    <row r="643" spans="1:76">
      <c r="A643" s="1" t="s">
        <v>1099</v>
      </c>
      <c r="B643" s="6" t="s">
        <v>144</v>
      </c>
      <c r="K643" s="6">
        <v>4</v>
      </c>
      <c r="BX643" s="18" t="s">
        <v>1100</v>
      </c>
    </row>
    <row r="644" spans="1:76">
      <c r="A644" s="1" t="s">
        <v>1102</v>
      </c>
      <c r="B644" s="6" t="s">
        <v>144</v>
      </c>
      <c r="K644" s="6">
        <v>4</v>
      </c>
      <c r="BX644" s="18" t="s">
        <v>1101</v>
      </c>
    </row>
    <row r="645" spans="1:76">
      <c r="A645" s="1" t="s">
        <v>1106</v>
      </c>
      <c r="B645" s="6" t="s">
        <v>144</v>
      </c>
      <c r="K645" s="6">
        <v>4</v>
      </c>
      <c r="BX645" s="18" t="s">
        <v>1105</v>
      </c>
    </row>
    <row r="646" spans="1:76">
      <c r="A646" s="1" t="s">
        <v>1108</v>
      </c>
      <c r="B646" s="6" t="s">
        <v>144</v>
      </c>
      <c r="K646" s="6">
        <v>4</v>
      </c>
      <c r="BX646" s="18" t="s">
        <v>1107</v>
      </c>
    </row>
    <row r="647" spans="1:76">
      <c r="A647" s="6" t="s">
        <v>1181</v>
      </c>
      <c r="B647" s="6" t="s">
        <v>144</v>
      </c>
      <c r="C647" s="6" t="s">
        <v>1180</v>
      </c>
      <c r="D647" s="6" t="s">
        <v>1180</v>
      </c>
      <c r="E647" s="6" t="s">
        <v>1180</v>
      </c>
      <c r="I647" s="6" t="s">
        <v>1180</v>
      </c>
      <c r="J647" s="6" t="s">
        <v>1180</v>
      </c>
      <c r="K647" s="6">
        <v>4</v>
      </c>
      <c r="AL647" s="6">
        <v>1</v>
      </c>
    </row>
    <row r="648" spans="1:76">
      <c r="A648" s="6" t="s">
        <v>1183</v>
      </c>
      <c r="B648" s="6" t="s">
        <v>144</v>
      </c>
      <c r="C648" s="6" t="s">
        <v>1180</v>
      </c>
      <c r="E648" s="6" t="s">
        <v>1180</v>
      </c>
      <c r="F648" s="6" t="s">
        <v>1180</v>
      </c>
      <c r="G648" s="6" t="s">
        <v>1180</v>
      </c>
      <c r="J648" s="6" t="s">
        <v>1180</v>
      </c>
      <c r="K648" s="6">
        <v>4</v>
      </c>
      <c r="AK648" s="6">
        <v>1</v>
      </c>
    </row>
    <row r="649" spans="1:76">
      <c r="A649" s="1" t="s">
        <v>1184</v>
      </c>
      <c r="B649" s="6" t="s">
        <v>144</v>
      </c>
      <c r="K649" s="6">
        <v>4</v>
      </c>
      <c r="AK649" s="6">
        <v>1</v>
      </c>
    </row>
    <row r="650" spans="1:76">
      <c r="A650" s="6" t="s">
        <v>1182</v>
      </c>
      <c r="B650" s="6" t="s">
        <v>144</v>
      </c>
      <c r="K650" s="6">
        <v>4</v>
      </c>
      <c r="AL650" s="6">
        <v>1</v>
      </c>
    </row>
    <row r="651" spans="1:76">
      <c r="A651" s="6" t="s">
        <v>1185</v>
      </c>
      <c r="B651" s="6" t="s">
        <v>144</v>
      </c>
      <c r="K651" s="6">
        <v>4</v>
      </c>
      <c r="AK651" s="6">
        <v>1</v>
      </c>
    </row>
    <row r="652" spans="1:76">
      <c r="A652" s="6" t="s">
        <v>1247</v>
      </c>
      <c r="B652" s="6" t="s">
        <v>144</v>
      </c>
      <c r="G652" s="1" t="s">
        <v>1261</v>
      </c>
      <c r="K652" s="6">
        <v>3</v>
      </c>
      <c r="BX652" s="18" t="s">
        <v>1236</v>
      </c>
    </row>
    <row r="653" spans="1:76">
      <c r="A653" s="6" t="s">
        <v>1248</v>
      </c>
      <c r="B653" s="6" t="s">
        <v>144</v>
      </c>
      <c r="G653" s="1" t="s">
        <v>1261</v>
      </c>
      <c r="K653" s="6">
        <v>4</v>
      </c>
      <c r="BX653" s="18" t="s">
        <v>1237</v>
      </c>
    </row>
    <row r="654" spans="1:76">
      <c r="A654" s="6" t="s">
        <v>1249</v>
      </c>
      <c r="B654" s="6" t="s">
        <v>144</v>
      </c>
      <c r="G654" s="1" t="s">
        <v>1262</v>
      </c>
      <c r="K654" s="6">
        <v>4</v>
      </c>
      <c r="BX654" s="18" t="s">
        <v>1238</v>
      </c>
    </row>
    <row r="655" spans="1:76">
      <c r="A655" s="6" t="s">
        <v>1250</v>
      </c>
      <c r="B655" s="6" t="s">
        <v>144</v>
      </c>
      <c r="G655" s="1" t="s">
        <v>1262</v>
      </c>
      <c r="K655" s="6">
        <v>4</v>
      </c>
      <c r="BX655" s="18" t="s">
        <v>1239</v>
      </c>
    </row>
    <row r="656" spans="1:76">
      <c r="A656" s="6" t="s">
        <v>1251</v>
      </c>
      <c r="B656" s="6" t="s">
        <v>144</v>
      </c>
      <c r="G656" s="1" t="s">
        <v>1263</v>
      </c>
      <c r="K656" s="6">
        <v>4.2</v>
      </c>
      <c r="BX656" s="18" t="s">
        <v>1240</v>
      </c>
    </row>
    <row r="657" spans="1:76">
      <c r="A657" s="6" t="s">
        <v>1252</v>
      </c>
      <c r="B657" s="6" t="s">
        <v>144</v>
      </c>
      <c r="G657" s="1" t="s">
        <v>1263</v>
      </c>
      <c r="K657" s="6">
        <v>4.2</v>
      </c>
      <c r="BX657" s="18" t="s">
        <v>1241</v>
      </c>
    </row>
    <row r="658" spans="1:76">
      <c r="A658" s="6" t="s">
        <v>1253</v>
      </c>
      <c r="B658" s="6" t="s">
        <v>144</v>
      </c>
      <c r="G658" s="1" t="s">
        <v>761</v>
      </c>
      <c r="K658" s="6">
        <v>3</v>
      </c>
      <c r="BX658" s="18" t="s">
        <v>1292</v>
      </c>
    </row>
    <row r="659" spans="1:76">
      <c r="A659" s="6" t="s">
        <v>1254</v>
      </c>
      <c r="B659" s="6" t="s">
        <v>144</v>
      </c>
      <c r="G659" s="1" t="s">
        <v>1264</v>
      </c>
      <c r="K659" s="6">
        <v>4.2</v>
      </c>
      <c r="BX659" s="18" t="s">
        <v>1234</v>
      </c>
    </row>
    <row r="660" spans="1:76">
      <c r="A660" s="6" t="s">
        <v>1255</v>
      </c>
      <c r="B660" s="6" t="s">
        <v>144</v>
      </c>
      <c r="G660" s="1" t="s">
        <v>761</v>
      </c>
      <c r="K660" s="6">
        <v>3.5</v>
      </c>
      <c r="BX660" s="18" t="s">
        <v>1235</v>
      </c>
    </row>
    <row r="661" spans="1:76">
      <c r="A661" s="6" t="s">
        <v>1256</v>
      </c>
      <c r="B661" s="6" t="s">
        <v>144</v>
      </c>
      <c r="K661" s="6">
        <v>3</v>
      </c>
      <c r="BX661" s="18" t="s">
        <v>1242</v>
      </c>
    </row>
    <row r="662" spans="1:76">
      <c r="A662" s="6" t="s">
        <v>1257</v>
      </c>
      <c r="B662" s="6" t="s">
        <v>144</v>
      </c>
      <c r="G662" s="1" t="s">
        <v>1261</v>
      </c>
      <c r="K662" s="6">
        <v>3.6</v>
      </c>
      <c r="BX662" s="18" t="s">
        <v>1243</v>
      </c>
    </row>
    <row r="663" spans="1:76">
      <c r="A663" s="6" t="s">
        <v>1258</v>
      </c>
      <c r="B663" s="6" t="s">
        <v>144</v>
      </c>
      <c r="G663" s="1" t="s">
        <v>1261</v>
      </c>
      <c r="K663" s="6">
        <v>3.6</v>
      </c>
      <c r="BX663" s="18" t="s">
        <v>1244</v>
      </c>
    </row>
    <row r="664" spans="1:76">
      <c r="A664" s="6" t="s">
        <v>1259</v>
      </c>
      <c r="B664" s="6" t="s">
        <v>144</v>
      </c>
      <c r="G664" s="1" t="s">
        <v>1261</v>
      </c>
      <c r="K664" s="6">
        <v>3.6</v>
      </c>
      <c r="BX664" s="18" t="s">
        <v>1245</v>
      </c>
    </row>
    <row r="665" spans="1:76">
      <c r="A665" s="6" t="s">
        <v>1260</v>
      </c>
      <c r="B665" s="6" t="s">
        <v>144</v>
      </c>
      <c r="G665" s="1" t="s">
        <v>1261</v>
      </c>
      <c r="K665" s="6">
        <v>3.6</v>
      </c>
      <c r="BX665" s="18" t="s">
        <v>1246</v>
      </c>
    </row>
    <row r="666" spans="1:76">
      <c r="A666" s="1" t="s">
        <v>1265</v>
      </c>
      <c r="B666" s="6" t="s">
        <v>144</v>
      </c>
      <c r="K666" s="6">
        <v>3</v>
      </c>
      <c r="BX666" s="18" t="s">
        <v>1266</v>
      </c>
    </row>
    <row r="667" spans="1:76">
      <c r="A667" s="1" t="s">
        <v>1267</v>
      </c>
      <c r="B667" s="6" t="s">
        <v>144</v>
      </c>
      <c r="C667" s="77"/>
      <c r="K667" s="6">
        <v>3</v>
      </c>
      <c r="BX667" s="18" t="s">
        <v>1268</v>
      </c>
    </row>
    <row r="668" spans="1:76">
      <c r="A668" s="1"/>
      <c r="C668" s="77"/>
    </row>
    <row r="669" spans="1:76">
      <c r="A669" s="1"/>
      <c r="C669" s="77"/>
    </row>
    <row r="670" spans="1:76">
      <c r="A670" s="1"/>
      <c r="C670" s="77"/>
    </row>
    <row r="671" spans="1:76">
      <c r="A671" s="1"/>
      <c r="C671" s="77"/>
    </row>
    <row r="672" spans="1:76">
      <c r="A672" s="1"/>
      <c r="C672" s="77"/>
    </row>
    <row r="673" spans="1:3">
      <c r="A673" s="1"/>
      <c r="C673" s="77"/>
    </row>
    <row r="674" spans="1:3">
      <c r="A674" s="1"/>
      <c r="C674" s="77"/>
    </row>
    <row r="675" spans="1:3">
      <c r="A675" s="1"/>
      <c r="C675" s="77"/>
    </row>
    <row r="676" spans="1:3">
      <c r="A676" s="1"/>
      <c r="C676" s="77"/>
    </row>
    <row r="677" spans="1:3">
      <c r="A677" s="1"/>
      <c r="C677" s="77"/>
    </row>
    <row r="678" spans="1:3">
      <c r="A678" s="1"/>
      <c r="C678" s="77"/>
    </row>
    <row r="679" spans="1:3">
      <c r="A679" s="1"/>
      <c r="C679" s="77"/>
    </row>
    <row r="680" spans="1:3">
      <c r="A680" s="1"/>
      <c r="C680" s="77"/>
    </row>
  </sheetData>
  <sheetProtection selectLockedCells="1" selectUnlockedCells="1"/>
  <dataValidations count="12">
    <dataValidation type="list" allowBlank="1" showInputMessage="1" showErrorMessage="1" sqref="D2:D161 D317:D543 D164:D313 D681:D65527 D649:D666 D565:D647">
      <formula1>Value_Act</formula1>
    </dataValidation>
    <dataValidation type="list" allowBlank="1" showInputMessage="1" showErrorMessage="1" sqref="E661:E65527 E2:E161 E164:E543 C565:C578 E558:E651">
      <formula1>Value_ActPart</formula1>
    </dataValidation>
    <dataValidation type="list" allowBlank="1" showInputMessage="1" showErrorMessage="1" sqref="I2:J161 I317:J527 I650:J65527 I649 I164:J313 I528:I647 J528:J649">
      <formula1>Value_Qualifier</formula1>
    </dataValidation>
    <dataValidation errorStyle="warning" allowBlank="1" showInputMessage="1" showErrorMessage="1" errorTitle="Invalid" error="This may be invalid! Unless you're creating something with multiple requirement types. Don't forget to use ; to sum them up. No spaces." sqref="G2:G161 G648:G1048576 G164:G242 G244:G313 G317:G646"/>
    <dataValidation type="list" allowBlank="1" showInputMessage="1" showErrorMessage="1" sqref="O2:BO83 O317:AJ517 BV2:BV161 M2:M161 AM645:AP65527 BC645:BO65527 AR645:AZ65527 O645:AH65527 BA645:BB1048576 AI645:AJ1048576 AQ645:AQ1048576 AM84:BO161 M164:M313 O84:AJ161 BR2:BS161 O164:AJ313 BR164:BS313 AM164:BO313 BV164:BV313 Z518:Z523 Y518:Y528 AK84:AL1048576 BR317:BS65527 M317:M65527 BV317:BV65527 AM317:BO644 Y529:Z644 AA518:AJ644 O518:X644">
      <formula1>Value_PenaltyQualifier</formula1>
    </dataValidation>
    <dataValidation type="list" allowBlank="1" showInputMessage="1" showErrorMessage="1" sqref="C2:C161 C317:C543 C164:C313 C681:C65527 C579:C666">
      <formula1>Value_ModifierType</formula1>
    </dataValidation>
    <dataValidation type="list" allowBlank="1" showInputMessage="1" showErrorMessage="1" sqref="F2:F161 F648:F65527 F164:F313 F317:F646">
      <formula1>Value_Itemslot</formula1>
    </dataValidation>
    <dataValidation type="list" allowBlank="1" showInputMessage="1" showErrorMessage="1" sqref="K164:K313 K2:K161 K317:K65527">
      <formula1>Value_PreciseQualifier</formula1>
    </dataValidation>
    <dataValidation type="list" allowBlank="1" showInputMessage="1" showErrorMessage="1" sqref="CC2:CC161 CC164:CC313 CC317:CC1048576">
      <formula1>Value_InventoryTabs</formula1>
    </dataValidation>
    <dataValidation type="list" allowBlank="1" showInputMessage="1" showErrorMessage="1" sqref="CD2:CD31 CD33:CD313 CD317:CD1048576">
      <formula1>Value_ArmorType</formula1>
    </dataValidation>
    <dataValidation type="list" allowBlank="1" showInputMessage="1" showErrorMessage="1" sqref="CE2:CE1048576">
      <formula1>Value_ItemColor</formula1>
    </dataValidation>
    <dataValidation type="list" allowBlank="1" showInputMessage="1" showErrorMessage="1" sqref="C667:C680">
      <formula1>Value_BoostType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Armor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2013_Anim1</cp:lastModifiedBy>
  <dcterms:created xsi:type="dcterms:W3CDTF">2013-10-15T09:20:02Z</dcterms:created>
  <dcterms:modified xsi:type="dcterms:W3CDTF">2015-08-07T09:42:18Z</dcterms:modified>
</cp:coreProperties>
</file>