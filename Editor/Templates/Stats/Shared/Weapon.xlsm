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comments2.xml" ContentType="application/vnd.openxmlformats-officedocument.spreadsheetml.comment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14400" yWindow="-15" windowWidth="5010" windowHeight="11760" activeTab="1"/>
  </bookViews>
  <sheets>
    <sheet name="ValueLists" sheetId="650" r:id="rId1"/>
    <sheet name="Weapon" sheetId="1" r:id="rId2"/>
  </sheets>
  <definedNames>
    <definedName name="Axe2HDamage">Weapon!$J$198</definedName>
    <definedName name="Axe2HDamageRange">Weapon!$K$198</definedName>
    <definedName name="AxeDamage">Weapon!$J$123</definedName>
    <definedName name="AxeDamageRange">Weapon!$K$123</definedName>
    <definedName name="BowDamage">Weapon!$J$430</definedName>
    <definedName name="BowDamageRange">Weapon!$K$430</definedName>
    <definedName name="ClubDamage">Weapon!$J$160</definedName>
    <definedName name="ClubDamageRange">Weapon!$K$160</definedName>
    <definedName name="CrossbowDamage">Weapon!$J$469</definedName>
    <definedName name="CrossbowDamageRange">Weapon!$K$469</definedName>
    <definedName name="DaggerDamage">Weapon!$J$13</definedName>
    <definedName name="DaggerDamageRange">Weapon!$K$13</definedName>
    <definedName name="SpearDamage">Weapon!$J$278</definedName>
    <definedName name="SpearDamageRange">Weapon!$K$278</definedName>
    <definedName name="StaffDamage">Weapon!$J$318</definedName>
    <definedName name="StaffDamageRange">Weapon!$K$318</definedName>
    <definedName name="Sword2HDamage">Weapon!$J$242</definedName>
    <definedName name="Sword2HDamageRange">Weapon!$K$242</definedName>
    <definedName name="SwordDamage">Weapon!$J$77</definedName>
    <definedName name="SwordDamageRange">Weapon!$K$77</definedName>
    <definedName name="Value_Ability">ValueLists!$B$40:$AK$40</definedName>
    <definedName name="Value_Act">ValueLists!$B$21:$B$21</definedName>
    <definedName name="Value_ActPart">ValueLists!$B$22:$V$22</definedName>
    <definedName name="Value_AnimType">ValueLists!$B$39:$S$39</definedName>
    <definedName name="Value_ArmorType">ValueLists!$B$38:$G$38</definedName>
    <definedName name="Value_AtmosphereType">ValueLists!$B$37:$D$37</definedName>
    <definedName name="Value_BigQualifier">ValueLists!$B$25:$CX$25</definedName>
    <definedName name="Value_Bool">ValueLists!$B$14:$C$14</definedName>
    <definedName name="Value_BoostType">ValueLists!$B$46:$F$46</definedName>
    <definedName name="Value_CastCheckType">ValueLists!$B$43:$C$43</definedName>
    <definedName name="Value_DamageType">ValueLists!$B$4:$K$4</definedName>
    <definedName name="Value_DeathType">ValueLists!$B$5:$M$5</definedName>
    <definedName name="Value_Handedness">ValueLists!$B$3:$D$3</definedName>
    <definedName name="Value_InventoryTabs">ValueLists!$B$36:$I$36</definedName>
    <definedName name="Value_ItemColor">ValueLists!$B$48:$Q$48</definedName>
    <definedName name="Value_Itemslot">ValueLists!$B$13:$O$13</definedName>
    <definedName name="Value_ItemType">ValueLists!$B$47:$H$47</definedName>
    <definedName name="Value_ModifierType">ValueLists!$B$16:$G$16</definedName>
    <definedName name="Value_PenaltyPreciseQualifier">ValueLists!$B$23:$GU$23</definedName>
    <definedName name="Value_PenaltyQualifier">ValueLists!$B$24:$W$24</definedName>
    <definedName name="Value_PreciseQualifier">ValueLists!$B$26:$CY$26</definedName>
    <definedName name="Value_ProjectileAccuracy">ValueLists!$B$42:$C$42</definedName>
    <definedName name="Value_Qualifier">ValueLists!$B$6:$M$6</definedName>
    <definedName name="Value_SavingThrow">ValueLists!$B$35:$AF$35</definedName>
    <definedName name="Value_SkillAbility">ValueLists!$B$17:$H$17</definedName>
    <definedName name="Value_SkillElement">ValueLists!$B$18:$G$18</definedName>
    <definedName name="Value_SkillRequirement">ValueLists!$B$19:$G$19</definedName>
    <definedName name="Value_SkillTier">ValueLists!$B$41:$E$41</definedName>
    <definedName name="Value_SurfaceType">ValueLists!$B$8:$P$8</definedName>
    <definedName name="Value_TreasureCategory">ValueLists!$B$49:$DD$49</definedName>
    <definedName name="Value_ValueTypes">ValueLists!$A$3:$A$43</definedName>
    <definedName name="Value_Weapontype">ValueLists!$B$15:$L$15</definedName>
    <definedName name="WandDamage">Weapon!$K$498</definedName>
    <definedName name="WandDamageRange">Weapon!$K$498</definedName>
  </definedNames>
  <calcPr calcId="124519"/>
</workbook>
</file>

<file path=xl/calcChain.xml><?xml version="1.0" encoding="utf-8"?>
<calcChain xmlns="http://schemas.openxmlformats.org/spreadsheetml/2006/main">
  <c r="L120" i="1"/>
  <c r="L335"/>
  <c r="L336"/>
  <c r="L337"/>
  <c r="L338"/>
  <c r="L339"/>
  <c r="L340"/>
  <c r="L341"/>
  <c r="L426"/>
  <c r="L427"/>
  <c r="L428"/>
  <c r="L429"/>
  <c r="L347"/>
  <c r="L348"/>
  <c r="L349"/>
  <c r="L350"/>
  <c r="L351"/>
  <c r="L352"/>
  <c r="L353"/>
  <c r="L354"/>
  <c r="L355"/>
  <c r="L356"/>
  <c r="L357"/>
  <c r="L358"/>
  <c r="L359"/>
  <c r="L360"/>
  <c r="L361"/>
  <c r="L362"/>
  <c r="L363"/>
  <c r="L364"/>
  <c r="L365"/>
  <c r="L366"/>
  <c r="L367"/>
  <c r="L368"/>
  <c r="L369"/>
  <c r="L370"/>
  <c r="L371"/>
  <c r="L372"/>
  <c r="L373"/>
  <c r="L374"/>
  <c r="L375"/>
  <c r="L376"/>
  <c r="L377"/>
  <c r="L378"/>
  <c r="L379"/>
  <c r="L380"/>
  <c r="L381"/>
  <c r="L382"/>
  <c r="L383"/>
  <c r="L384"/>
  <c r="L385"/>
  <c r="L386"/>
  <c r="L387"/>
  <c r="L388"/>
  <c r="L389"/>
  <c r="L390"/>
  <c r="L391"/>
  <c r="L392"/>
  <c r="L393"/>
  <c r="L394"/>
  <c r="L395"/>
  <c r="L396"/>
  <c r="L397"/>
  <c r="L398"/>
  <c r="L399"/>
  <c r="L400"/>
  <c r="L401"/>
  <c r="L402"/>
  <c r="L403"/>
  <c r="L404"/>
  <c r="L405"/>
  <c r="L406"/>
  <c r="L407"/>
  <c r="L408"/>
  <c r="L409"/>
  <c r="L410"/>
  <c r="L411"/>
  <c r="L412"/>
  <c r="L413"/>
  <c r="L414"/>
  <c r="L415"/>
  <c r="L416"/>
  <c r="L417"/>
  <c r="L418"/>
  <c r="L419"/>
  <c r="L420"/>
  <c r="L421"/>
  <c r="L422"/>
  <c r="L423"/>
  <c r="L424"/>
  <c r="L425"/>
  <c r="L346"/>
  <c r="L578"/>
  <c r="F363"/>
  <c r="L305"/>
  <c r="F305"/>
  <c r="L310"/>
  <c r="F310"/>
  <c r="L309"/>
  <c r="F309"/>
  <c r="L304"/>
  <c r="F304"/>
  <c r="L291"/>
  <c r="F292"/>
  <c r="L292"/>
  <c r="F293"/>
  <c r="L293"/>
  <c r="F294"/>
  <c r="L294"/>
  <c r="F295"/>
  <c r="L295"/>
  <c r="F251"/>
  <c r="L251"/>
  <c r="F256"/>
  <c r="L256"/>
  <c r="F257"/>
  <c r="L257"/>
  <c r="F252"/>
  <c r="L252"/>
  <c r="F253"/>
  <c r="L253"/>
  <c r="L232"/>
  <c r="F232"/>
  <c r="L175"/>
  <c r="F175"/>
  <c r="F181"/>
  <c r="F178"/>
  <c r="L173"/>
  <c r="F173"/>
  <c r="F142"/>
  <c r="F143"/>
  <c r="F141"/>
  <c r="F139"/>
  <c r="L53"/>
  <c r="L500"/>
  <c r="L501"/>
  <c r="L502"/>
  <c r="L503"/>
  <c r="L504"/>
  <c r="L505"/>
  <c r="L506"/>
  <c r="L507"/>
  <c r="L508"/>
  <c r="L509"/>
  <c r="L510"/>
  <c r="L511"/>
  <c r="L512"/>
  <c r="L513"/>
  <c r="L514"/>
  <c r="L515"/>
  <c r="L516"/>
  <c r="L517"/>
  <c r="L518"/>
  <c r="L519"/>
  <c r="L520"/>
  <c r="L521"/>
  <c r="L522"/>
  <c r="L523"/>
  <c r="L524"/>
  <c r="L525"/>
  <c r="L526"/>
  <c r="L527"/>
  <c r="L528"/>
  <c r="L529"/>
  <c r="L530"/>
  <c r="L531"/>
  <c r="L532"/>
  <c r="L533"/>
  <c r="L534"/>
  <c r="L535"/>
  <c r="L536"/>
  <c r="L537"/>
  <c r="L538"/>
  <c r="L539"/>
  <c r="L540"/>
  <c r="L541"/>
  <c r="L542"/>
  <c r="L543"/>
  <c r="L544"/>
  <c r="L545"/>
  <c r="L546"/>
  <c r="L547"/>
  <c r="L548"/>
  <c r="L549"/>
  <c r="L550"/>
  <c r="L551"/>
  <c r="L552"/>
  <c r="L553"/>
  <c r="L554"/>
  <c r="L555"/>
  <c r="L556"/>
  <c r="L557"/>
  <c r="L558"/>
  <c r="L559"/>
  <c r="L560"/>
  <c r="L561"/>
  <c r="L562"/>
  <c r="L563"/>
  <c r="L564"/>
  <c r="L565"/>
  <c r="L566"/>
  <c r="L567"/>
  <c r="L568"/>
  <c r="L569"/>
  <c r="L570"/>
  <c r="L571"/>
  <c r="L572"/>
  <c r="L573"/>
  <c r="L574"/>
  <c r="L575"/>
  <c r="L576"/>
  <c r="L577"/>
  <c r="L579"/>
  <c r="L580"/>
  <c r="L581"/>
  <c r="L582"/>
  <c r="L583"/>
  <c r="L584"/>
  <c r="L585"/>
  <c r="L499"/>
  <c r="F27"/>
  <c r="F28"/>
  <c r="F29"/>
  <c r="F30"/>
  <c r="F31"/>
  <c r="F32"/>
  <c r="F33"/>
  <c r="F34"/>
  <c r="F35"/>
  <c r="F36"/>
  <c r="F37"/>
  <c r="F38"/>
  <c r="F39"/>
  <c r="F40"/>
  <c r="F41"/>
  <c r="F42"/>
  <c r="F43"/>
  <c r="F44"/>
  <c r="F45"/>
  <c r="F20"/>
  <c r="F19"/>
  <c r="F26"/>
  <c r="F25"/>
  <c r="F46"/>
  <c r="F47"/>
  <c r="F48"/>
  <c r="F129"/>
  <c r="F165"/>
  <c r="F164"/>
  <c r="F166"/>
  <c r="F167"/>
  <c r="F168"/>
  <c r="F169"/>
  <c r="L302"/>
  <c r="L306"/>
  <c r="L301"/>
  <c r="L298"/>
  <c r="L296"/>
  <c r="L297"/>
  <c r="L299"/>
  <c r="L303"/>
  <c r="L307"/>
  <c r="L300"/>
  <c r="L311"/>
  <c r="L312"/>
  <c r="L313"/>
  <c r="L314"/>
  <c r="L315"/>
  <c r="L316"/>
  <c r="L317"/>
  <c r="L308"/>
  <c r="L203"/>
  <c r="L204"/>
  <c r="L205"/>
  <c r="L206"/>
  <c r="L220"/>
  <c r="L207"/>
  <c r="L208"/>
  <c r="L209"/>
  <c r="L210"/>
  <c r="L211"/>
  <c r="L212"/>
  <c r="L214"/>
  <c r="L215"/>
  <c r="L217"/>
  <c r="L218"/>
  <c r="L221"/>
  <c r="L222"/>
  <c r="L224"/>
  <c r="L216"/>
  <c r="L219"/>
  <c r="L223"/>
  <c r="L213"/>
  <c r="L225"/>
  <c r="L226"/>
  <c r="L227"/>
  <c r="L228"/>
  <c r="L229"/>
  <c r="L230"/>
  <c r="L231"/>
  <c r="L233"/>
  <c r="L234"/>
  <c r="L235"/>
  <c r="L236"/>
  <c r="L237"/>
  <c r="L238"/>
  <c r="L239"/>
  <c r="L240"/>
  <c r="L241"/>
  <c r="L248"/>
  <c r="L249"/>
  <c r="L250"/>
  <c r="L254"/>
  <c r="L255"/>
  <c r="L267"/>
  <c r="L268"/>
  <c r="L259"/>
  <c r="L260"/>
  <c r="L261"/>
  <c r="L262"/>
  <c r="L263"/>
  <c r="L264"/>
  <c r="L265"/>
  <c r="L269"/>
  <c r="L270"/>
  <c r="L258"/>
  <c r="L266"/>
  <c r="L271"/>
  <c r="L272"/>
  <c r="L273"/>
  <c r="L274"/>
  <c r="L275"/>
  <c r="L276"/>
  <c r="L277"/>
  <c r="F493"/>
  <c r="F494"/>
  <c r="F495"/>
  <c r="F496"/>
  <c r="F497"/>
  <c r="F492"/>
  <c r="F491"/>
  <c r="F459"/>
  <c r="L438"/>
  <c r="L437"/>
  <c r="L441"/>
  <c r="L444"/>
  <c r="L442"/>
  <c r="L445"/>
  <c r="L446"/>
  <c r="L448"/>
  <c r="L449"/>
  <c r="L450"/>
  <c r="L451"/>
  <c r="L456"/>
  <c r="L455"/>
  <c r="L439"/>
  <c r="L452"/>
  <c r="L453"/>
  <c r="L443"/>
  <c r="L440"/>
  <c r="L447"/>
  <c r="L457"/>
  <c r="L454"/>
  <c r="L49" l="1"/>
  <c r="L50"/>
  <c r="L51"/>
  <c r="L52"/>
  <c r="L54"/>
  <c r="L55"/>
  <c r="L56"/>
  <c r="L57"/>
  <c r="L58"/>
  <c r="L59"/>
  <c r="L60"/>
  <c r="L70"/>
  <c r="L71"/>
  <c r="L72"/>
  <c r="L73"/>
  <c r="L74"/>
  <c r="L75"/>
  <c r="L76"/>
  <c r="L61"/>
  <c r="L62"/>
  <c r="L63"/>
  <c r="L64"/>
  <c r="L65"/>
  <c r="L93"/>
  <c r="L95"/>
  <c r="L134"/>
  <c r="L136"/>
  <c r="L474"/>
  <c r="L475"/>
  <c r="L476"/>
  <c r="L477"/>
  <c r="L478"/>
  <c r="L479"/>
  <c r="L480"/>
  <c r="L481"/>
  <c r="L482"/>
  <c r="L483"/>
  <c r="L484"/>
  <c r="L485"/>
  <c r="L486"/>
  <c r="L487"/>
  <c r="L488"/>
  <c r="L489"/>
  <c r="L490"/>
  <c r="F522" l="1"/>
  <c r="F521"/>
  <c r="F520"/>
  <c r="F519"/>
  <c r="F514"/>
  <c r="F513"/>
  <c r="F512"/>
  <c r="F511"/>
  <c r="F506"/>
  <c r="F505"/>
  <c r="F504"/>
  <c r="F503"/>
  <c r="L26"/>
  <c r="L25"/>
  <c r="L27"/>
  <c r="L28"/>
  <c r="L29"/>
  <c r="L30"/>
  <c r="L31"/>
  <c r="L32"/>
  <c r="L33"/>
  <c r="L34"/>
  <c r="L35"/>
  <c r="L36"/>
  <c r="L38"/>
  <c r="L37"/>
  <c r="L39"/>
  <c r="L40"/>
  <c r="L41"/>
  <c r="L42"/>
  <c r="L43"/>
  <c r="L44"/>
  <c r="L45"/>
  <c r="F24" l="1"/>
  <c r="F23"/>
  <c r="F556"/>
  <c r="F557"/>
  <c r="F558"/>
  <c r="F559"/>
  <c r="F560"/>
  <c r="F561"/>
  <c r="F562"/>
  <c r="F563"/>
  <c r="F564"/>
  <c r="F565"/>
  <c r="F566"/>
  <c r="F567"/>
  <c r="F568"/>
  <c r="F569"/>
  <c r="F570"/>
  <c r="F571"/>
  <c r="F572"/>
  <c r="F573"/>
  <c r="F574"/>
  <c r="F575"/>
  <c r="F576"/>
  <c r="F577"/>
  <c r="F578"/>
  <c r="F579"/>
  <c r="F580"/>
  <c r="F581"/>
  <c r="F582"/>
  <c r="F583"/>
  <c r="F584"/>
  <c r="F585"/>
  <c r="F500"/>
  <c r="F501"/>
  <c r="F502"/>
  <c r="F507"/>
  <c r="F508"/>
  <c r="F509"/>
  <c r="F510"/>
  <c r="F515"/>
  <c r="F516"/>
  <c r="F517"/>
  <c r="F518"/>
  <c r="F523"/>
  <c r="F524"/>
  <c r="F525"/>
  <c r="F526"/>
  <c r="F527"/>
  <c r="F528"/>
  <c r="F529"/>
  <c r="F530"/>
  <c r="F531"/>
  <c r="F532"/>
  <c r="F533"/>
  <c r="F534"/>
  <c r="F535"/>
  <c r="F536"/>
  <c r="F537"/>
  <c r="F538"/>
  <c r="F539"/>
  <c r="F540"/>
  <c r="F541"/>
  <c r="F542"/>
  <c r="F543"/>
  <c r="F544"/>
  <c r="F545"/>
  <c r="F546"/>
  <c r="F547"/>
  <c r="F548"/>
  <c r="F549"/>
  <c r="F550"/>
  <c r="F551"/>
  <c r="F552"/>
  <c r="F553"/>
  <c r="F554"/>
  <c r="F555"/>
  <c r="F499"/>
  <c r="F475"/>
  <c r="F476"/>
  <c r="F477"/>
  <c r="F478"/>
  <c r="F479"/>
  <c r="F480"/>
  <c r="F481"/>
  <c r="F482"/>
  <c r="F483"/>
  <c r="F484"/>
  <c r="F485"/>
  <c r="F486"/>
  <c r="F487"/>
  <c r="F488"/>
  <c r="F489"/>
  <c r="F490"/>
  <c r="F474"/>
  <c r="F460"/>
  <c r="F461"/>
  <c r="F462"/>
  <c r="F463"/>
  <c r="F464"/>
  <c r="F466"/>
  <c r="F467"/>
  <c r="F468"/>
  <c r="F465"/>
  <c r="F458"/>
  <c r="F438"/>
  <c r="F437"/>
  <c r="F441"/>
  <c r="F444"/>
  <c r="F442"/>
  <c r="F445"/>
  <c r="F446"/>
  <c r="F448"/>
  <c r="F449"/>
  <c r="F450"/>
  <c r="F451"/>
  <c r="F456"/>
  <c r="F455"/>
  <c r="F439"/>
  <c r="F452"/>
  <c r="F453"/>
  <c r="F443"/>
  <c r="F440"/>
  <c r="F447"/>
  <c r="F454"/>
  <c r="F457"/>
  <c r="F436"/>
  <c r="F426"/>
  <c r="F427"/>
  <c r="F428"/>
  <c r="F429"/>
  <c r="F386"/>
  <c r="F403"/>
  <c r="F387"/>
  <c r="F388"/>
  <c r="F389"/>
  <c r="F390"/>
  <c r="F391"/>
  <c r="F401"/>
  <c r="F402"/>
  <c r="F392"/>
  <c r="F393"/>
  <c r="F404"/>
  <c r="F394"/>
  <c r="F405"/>
  <c r="F395"/>
  <c r="F396"/>
  <c r="F397"/>
  <c r="F398"/>
  <c r="F399"/>
  <c r="F400"/>
  <c r="F406"/>
  <c r="F423"/>
  <c r="F407"/>
  <c r="F408"/>
  <c r="F409"/>
  <c r="F410"/>
  <c r="F411"/>
  <c r="F421"/>
  <c r="F422"/>
  <c r="F412"/>
  <c r="F413"/>
  <c r="F424"/>
  <c r="F414"/>
  <c r="F425"/>
  <c r="F415"/>
  <c r="F416"/>
  <c r="F417"/>
  <c r="F418"/>
  <c r="F419"/>
  <c r="F420"/>
  <c r="F344"/>
  <c r="F345"/>
  <c r="F346"/>
  <c r="F347"/>
  <c r="F348"/>
  <c r="F349"/>
  <c r="F350"/>
  <c r="F351"/>
  <c r="F361"/>
  <c r="F362"/>
  <c r="F352"/>
  <c r="F353"/>
  <c r="F364"/>
  <c r="F354"/>
  <c r="F365"/>
  <c r="F355"/>
  <c r="F356"/>
  <c r="F357"/>
  <c r="F358"/>
  <c r="F359"/>
  <c r="F360"/>
  <c r="F366"/>
  <c r="F383"/>
  <c r="F367"/>
  <c r="F368"/>
  <c r="F369"/>
  <c r="F370"/>
  <c r="F371"/>
  <c r="F381"/>
  <c r="F382"/>
  <c r="F372"/>
  <c r="F373"/>
  <c r="F384"/>
  <c r="F374"/>
  <c r="F385"/>
  <c r="F375"/>
  <c r="F376"/>
  <c r="F377"/>
  <c r="F378"/>
  <c r="F379"/>
  <c r="F380"/>
  <c r="F336"/>
  <c r="F337"/>
  <c r="F338"/>
  <c r="F339"/>
  <c r="F340"/>
  <c r="F341"/>
  <c r="F342"/>
  <c r="F343"/>
  <c r="F335"/>
  <c r="F313"/>
  <c r="F314"/>
  <c r="F315"/>
  <c r="F316"/>
  <c r="F317"/>
  <c r="F302"/>
  <c r="F306"/>
  <c r="F301"/>
  <c r="F298"/>
  <c r="F296"/>
  <c r="F297"/>
  <c r="F299"/>
  <c r="F303"/>
  <c r="F307"/>
  <c r="F300"/>
  <c r="F308"/>
  <c r="F285"/>
  <c r="F286"/>
  <c r="F284"/>
  <c r="F250"/>
  <c r="F254"/>
  <c r="F255"/>
  <c r="F267"/>
  <c r="F268"/>
  <c r="F259"/>
  <c r="F260"/>
  <c r="F261"/>
  <c r="F262"/>
  <c r="F263"/>
  <c r="F264"/>
  <c r="F265"/>
  <c r="F269"/>
  <c r="F270"/>
  <c r="F258"/>
  <c r="F266"/>
  <c r="F249"/>
  <c r="F239"/>
  <c r="F240"/>
  <c r="F238"/>
  <c r="F237"/>
  <c r="F236"/>
  <c r="F235"/>
  <c r="F234"/>
  <c r="F231"/>
  <c r="F227"/>
  <c r="F228"/>
  <c r="F229"/>
  <c r="F230"/>
  <c r="F233"/>
  <c r="F226"/>
  <c r="F204"/>
  <c r="F205"/>
  <c r="F220"/>
  <c r="F206"/>
  <c r="F207"/>
  <c r="F208"/>
  <c r="F209"/>
  <c r="F210"/>
  <c r="F211"/>
  <c r="F212"/>
  <c r="F214"/>
  <c r="F215"/>
  <c r="F217"/>
  <c r="F218"/>
  <c r="F221"/>
  <c r="F222"/>
  <c r="F224"/>
  <c r="F216"/>
  <c r="F219"/>
  <c r="F223"/>
  <c r="F213"/>
  <c r="F225"/>
  <c r="F203"/>
  <c r="F197"/>
  <c r="F196"/>
  <c r="F195"/>
  <c r="F194"/>
  <c r="F193"/>
  <c r="F192"/>
  <c r="F191"/>
  <c r="F171"/>
  <c r="F172"/>
  <c r="F176"/>
  <c r="F177"/>
  <c r="F179"/>
  <c r="F180"/>
  <c r="F182"/>
  <c r="F183"/>
  <c r="F184"/>
  <c r="F185"/>
  <c r="F186"/>
  <c r="F187"/>
  <c r="F188"/>
  <c r="F189"/>
  <c r="F190"/>
  <c r="F174"/>
  <c r="F170"/>
  <c r="F159"/>
  <c r="F158"/>
  <c r="F157"/>
  <c r="F156"/>
  <c r="F155"/>
  <c r="F154"/>
  <c r="F153"/>
  <c r="F131"/>
  <c r="F132"/>
  <c r="F133"/>
  <c r="F134"/>
  <c r="F135"/>
  <c r="F136"/>
  <c r="F140"/>
  <c r="F144"/>
  <c r="F137"/>
  <c r="F146"/>
  <c r="F147"/>
  <c r="F138"/>
  <c r="F148"/>
  <c r="F149"/>
  <c r="F150"/>
  <c r="F145"/>
  <c r="F151"/>
  <c r="F152"/>
  <c r="F130"/>
  <c r="F114"/>
  <c r="F115"/>
  <c r="F116"/>
  <c r="F117"/>
  <c r="F118"/>
  <c r="F113"/>
  <c r="F112"/>
  <c r="F84"/>
  <c r="F85"/>
  <c r="F86"/>
  <c r="F87"/>
  <c r="F88"/>
  <c r="F89"/>
  <c r="F90"/>
  <c r="F91"/>
  <c r="F92"/>
  <c r="F93"/>
  <c r="F95"/>
  <c r="F96"/>
  <c r="F97"/>
  <c r="F94"/>
  <c r="F98"/>
  <c r="F99"/>
  <c r="F100"/>
  <c r="F101"/>
  <c r="F104"/>
  <c r="F102"/>
  <c r="F103"/>
  <c r="F105"/>
  <c r="F106"/>
  <c r="F107"/>
  <c r="F109"/>
  <c r="F110"/>
  <c r="F111"/>
  <c r="F108"/>
  <c r="F83"/>
  <c r="F22"/>
  <c r="F21"/>
  <c r="F71"/>
  <c r="F72"/>
  <c r="F73"/>
  <c r="F74"/>
  <c r="F75"/>
  <c r="F76"/>
  <c r="F70"/>
  <c r="F69"/>
  <c r="F68"/>
  <c r="F67"/>
  <c r="F66"/>
  <c r="F65"/>
  <c r="F64"/>
  <c r="F63"/>
  <c r="F62"/>
  <c r="F53"/>
  <c r="F61"/>
  <c r="F60"/>
  <c r="F59"/>
  <c r="F58"/>
  <c r="F57"/>
  <c r="F56"/>
  <c r="F55"/>
  <c r="F54"/>
  <c r="F51"/>
  <c r="F50"/>
  <c r="F49"/>
  <c r="F52"/>
  <c r="F163"/>
  <c r="L163"/>
  <c r="L121" l="1"/>
  <c r="L122"/>
  <c r="L119"/>
  <c r="F120"/>
  <c r="F121"/>
  <c r="F122"/>
  <c r="F119"/>
  <c r="F277" l="1"/>
  <c r="F276"/>
  <c r="F275"/>
  <c r="F274"/>
  <c r="F273"/>
  <c r="L130"/>
  <c r="L85"/>
  <c r="F312"/>
  <c r="F311"/>
  <c r="F272"/>
  <c r="F271"/>
  <c r="L172" l="1"/>
  <c r="L176"/>
  <c r="L174"/>
  <c r="L87"/>
  <c r="F473"/>
</calcChain>
</file>

<file path=xl/comments1.xml><?xml version="1.0" encoding="utf-8"?>
<comments xmlns="http://schemas.openxmlformats.org/spreadsheetml/2006/main">
  <authors>
    <author>David</author>
  </authors>
  <commentList>
    <comment ref="CE49" authorId="0">
      <text>
        <r>
          <rPr>
            <b/>
            <sz val="9"/>
            <color indexed="81"/>
            <rFont val="Tahoma"/>
            <family val="2"/>
          </rPr>
          <t>David:</t>
        </r>
        <r>
          <rPr>
            <sz val="9"/>
            <color indexed="81"/>
            <rFont val="Tahoma"/>
            <family val="2"/>
          </rPr>
          <t xml:space="preserve">
NOTE: There are not a lot of real actual junk items in the game (or in stats) so don't exaggerate or people will have nothing but spoons and broken bottles</t>
        </r>
      </text>
    </comment>
  </commentList>
</comments>
</file>

<file path=xl/comments2.xml><?xml version="1.0" encoding="utf-8"?>
<comments xmlns="http://schemas.openxmlformats.org/spreadsheetml/2006/main">
  <authors>
    <author>David Walgrave</author>
    <author>Edouard</author>
  </authors>
  <commentList>
    <comment ref="CZ1" authorId="0">
      <text>
        <r>
          <rPr>
            <b/>
            <sz val="9"/>
            <color indexed="81"/>
            <rFont val="Tahoma"/>
            <family val="2"/>
          </rPr>
          <t>David Walgrave:</t>
        </r>
        <r>
          <rPr>
            <sz val="9"/>
            <color indexed="81"/>
            <rFont val="Tahoma"/>
            <family val="2"/>
          </rPr>
          <t xml:space="preserve">
Used in treasure generation (see TreasureTable). Free to group items under any name.</t>
        </r>
      </text>
    </comment>
    <comment ref="DC1" authorId="0">
      <text>
        <r>
          <rPr>
            <b/>
            <sz val="9"/>
            <color indexed="81"/>
            <rFont val="Tahoma"/>
            <family val="2"/>
          </rPr>
          <t>David Walgrave:</t>
        </r>
        <r>
          <rPr>
            <sz val="9"/>
            <color indexed="81"/>
            <rFont val="Tahoma"/>
            <family val="2"/>
          </rPr>
          <t xml:space="preserve">
The lower this number, the higher the chance it will drop within its category.</t>
        </r>
      </text>
    </comment>
    <comment ref="A816" authorId="1">
      <text>
        <r>
          <rPr>
            <b/>
            <sz val="9"/>
            <color indexed="81"/>
            <rFont val="Tahoma"/>
            <family val="2"/>
          </rPr>
          <t>Edouard:</t>
        </r>
        <r>
          <rPr>
            <sz val="9"/>
            <color indexed="81"/>
            <rFont val="Tahoma"/>
            <family val="2"/>
          </rPr>
          <t xml:space="preserve">
associated with super slow zombie, therefore deals heavy damage</t>
        </r>
      </text>
    </comment>
  </commentList>
</comments>
</file>

<file path=xl/sharedStrings.xml><?xml version="1.0" encoding="utf-8"?>
<sst xmlns="http://schemas.openxmlformats.org/spreadsheetml/2006/main" count="6573" uniqueCount="1930">
  <si>
    <t>Name</t>
  </si>
  <si>
    <t>Using</t>
  </si>
  <si>
    <t>ModifierType</t>
  </si>
  <si>
    <t>Act</t>
  </si>
  <si>
    <t>Act part</t>
  </si>
  <si>
    <t>Requirements</t>
  </si>
  <si>
    <t>Handedness</t>
  </si>
  <si>
    <t>AttackAPCost</t>
  </si>
  <si>
    <t>Damage Type</t>
  </si>
  <si>
    <t>Damage</t>
  </si>
  <si>
    <t>Damage Range</t>
  </si>
  <si>
    <t>CriticalDamage</t>
  </si>
  <si>
    <t>CriticalChance</t>
  </si>
  <si>
    <t>WeaponRange</t>
  </si>
  <si>
    <t>Durability</t>
  </si>
  <si>
    <t>DurabilityDegradeSpeed</t>
  </si>
  <si>
    <t>Value</t>
  </si>
  <si>
    <t>Weight</t>
  </si>
  <si>
    <t>Movement</t>
  </si>
  <si>
    <t>Initiative</t>
  </si>
  <si>
    <t>WeaponType</t>
  </si>
  <si>
    <t>Slot</t>
  </si>
  <si>
    <t>StrengthBoost</t>
  </si>
  <si>
    <t>DexterityBoost</t>
  </si>
  <si>
    <t>IntelligenceBoost</t>
  </si>
  <si>
    <t>ConstitutionBoost</t>
  </si>
  <si>
    <t>SpeedBoost</t>
  </si>
  <si>
    <t>PerceptionBoost</t>
  </si>
  <si>
    <t>WarriorLore</t>
  </si>
  <si>
    <t>RangerLore</t>
  </si>
  <si>
    <t>SingleHanded</t>
  </si>
  <si>
    <t>TwoHanded</t>
  </si>
  <si>
    <t>Blackrock</t>
  </si>
  <si>
    <t>Shield</t>
  </si>
  <si>
    <t>Reflexes</t>
  </si>
  <si>
    <t>ArmorMastery</t>
  </si>
  <si>
    <t>Sourcery</t>
  </si>
  <si>
    <t>Telekinesis</t>
  </si>
  <si>
    <t>Willpower</t>
  </si>
  <si>
    <t>FireSpecialist</t>
  </si>
  <si>
    <t>WaterSpecialist</t>
  </si>
  <si>
    <t>AirSpecialist</t>
  </si>
  <si>
    <t>EarthSpecialist</t>
  </si>
  <si>
    <t>Repair</t>
  </si>
  <si>
    <t>Sneaking</t>
  </si>
  <si>
    <t>Loremaster</t>
  </si>
  <si>
    <t>Crafting</t>
  </si>
  <si>
    <t>Barter</t>
  </si>
  <si>
    <t>Charm</t>
  </si>
  <si>
    <t>Intimidate</t>
  </si>
  <si>
    <t>Reason</t>
  </si>
  <si>
    <t>Charisma</t>
  </si>
  <si>
    <t>Leadership</t>
  </si>
  <si>
    <t>Luck</t>
  </si>
  <si>
    <t>FireResistanceBoost</t>
  </si>
  <si>
    <t>EarthResistanceBoost</t>
  </si>
  <si>
    <t>WaterResistanceBoost</t>
  </si>
  <si>
    <t>AirResistanceBoost</t>
  </si>
  <si>
    <t>ShadowResistanceBoost</t>
  </si>
  <si>
    <t>PoisonResistanceBoost</t>
  </si>
  <si>
    <t>SightBoost</t>
  </si>
  <si>
    <t>HearingBoost</t>
  </si>
  <si>
    <t>VitalityBoost</t>
  </si>
  <si>
    <t>OffenseRatingBoost</t>
  </si>
  <si>
    <t>DefenseRatingBoost</t>
  </si>
  <si>
    <t>ExtraProperties</t>
  </si>
  <si>
    <t>RootTemplate</t>
  </si>
  <si>
    <t>ObjectCategory</t>
  </si>
  <si>
    <t>MinAmount</t>
  </si>
  <si>
    <t>MaxAmount</t>
  </si>
  <si>
    <t>Priority</t>
  </si>
  <si>
    <t>Unique</t>
  </si>
  <si>
    <t>NoWeapon</t>
  </si>
  <si>
    <t>Item</t>
  </si>
  <si>
    <t>Crushing</t>
  </si>
  <si>
    <t>None</t>
  </si>
  <si>
    <t>Weapon</t>
  </si>
  <si>
    <t>_Daggers</t>
  </si>
  <si>
    <t>Piercing</t>
  </si>
  <si>
    <t>Knife</t>
  </si>
  <si>
    <t>FUR_Rich_Fork_A</t>
  </si>
  <si>
    <t>8ab5a04b-9262-48c1-b65c-3058a55c6c21</t>
  </si>
  <si>
    <t>FUR_Cutlery_Knife_A</t>
  </si>
  <si>
    <t>262a9a07-c20f-41b0-8747-343886cc34c1</t>
  </si>
  <si>
    <t>FUR_PaperKnife</t>
  </si>
  <si>
    <t>FUR_Rich_Knife_A</t>
  </si>
  <si>
    <t>b8c69b5d-2b10-4001-b63f-c968b7b79376</t>
  </si>
  <si>
    <t>WPN_PocketKnife</t>
  </si>
  <si>
    <t>Dagger</t>
  </si>
  <si>
    <t>WPN_FightingKnife</t>
  </si>
  <si>
    <t>WPN_Dagger_A_Dagger</t>
  </si>
  <si>
    <t>262e9525-6fbd-49be-947a-10ad19ed4861</t>
  </si>
  <si>
    <t>WPN_Rondel</t>
  </si>
  <si>
    <t>WPN_PushDagger</t>
  </si>
  <si>
    <t>WPN_Mercygiver</t>
  </si>
  <si>
    <t>WPN_Wooden_Stake</t>
  </si>
  <si>
    <t>WPN_Estoc</t>
  </si>
  <si>
    <t>WPN_UNIQUE_Snakebite</t>
  </si>
  <si>
    <t>_Swords</t>
  </si>
  <si>
    <t>Slashing</t>
  </si>
  <si>
    <t>Sword</t>
  </si>
  <si>
    <t>WPN_Sword_A_Training_Sword</t>
  </si>
  <si>
    <t>WPN_CysealGuardSword</t>
  </si>
  <si>
    <t>WPN_ShortSword</t>
  </si>
  <si>
    <t>WPN_BastardSword</t>
  </si>
  <si>
    <t>WPN_LongSword</t>
  </si>
  <si>
    <t>WPN_Scimitar</t>
  </si>
  <si>
    <t>WPN_Goblins_Sword_A</t>
  </si>
  <si>
    <t>1bd4c1c6-7aaa-4b47-abc8-d2619c4a9011</t>
  </si>
  <si>
    <t>b39c1c53-2745-425d-ae8b-168cfe473ce1</t>
  </si>
  <si>
    <t>STAT_Quest_Knights_WPN_Sword_A</t>
  </si>
  <si>
    <t>411545bf-9141-4ff9-bc6f-e0e36257f7cf</t>
  </si>
  <si>
    <t>WPN_DarkMinions_SmallSword</t>
  </si>
  <si>
    <t>24ca1cbc-97d3-4017-a26a-1f07a71ac293</t>
  </si>
  <si>
    <t>60b8b82c-429c-4f9f-888f-f52fd35ae37b</t>
  </si>
  <si>
    <t>WPN_UNIQUE_Coffinfeeder</t>
  </si>
  <si>
    <t>Poison</t>
  </si>
  <si>
    <t>_Axes</t>
  </si>
  <si>
    <t>Axe</t>
  </si>
  <si>
    <t>WPN_SmallHandAxeTool_1H</t>
  </si>
  <si>
    <t>WPN_HatchetTool_1H</t>
  </si>
  <si>
    <t>c919c5b1-7262-4618-9b1d-6beac9ccab56</t>
  </si>
  <si>
    <t>WPN_DarkMinions_SingleAxe</t>
  </si>
  <si>
    <t>cadc3c0f-26aa-49d6-b46d-4ff6663b513a</t>
  </si>
  <si>
    <t>WPN_DarkMinions_DoubleAxe</t>
  </si>
  <si>
    <t>ac816d94-f31b-401a-84bc-53bd77bd8007</t>
  </si>
  <si>
    <t>WPN_Undead_Pickaxe_A</t>
  </si>
  <si>
    <t>0f11d7e7-4e0b-4921-aa63-f8c6511ac631</t>
  </si>
  <si>
    <t>WPN_UNIQUE_HacksawDecapitator</t>
  </si>
  <si>
    <t>_Clubs</t>
  </si>
  <si>
    <t>Club</t>
  </si>
  <si>
    <t>WPN_Branch_A</t>
  </si>
  <si>
    <t>Wood</t>
  </si>
  <si>
    <t>WPN_Branch_A_Nails</t>
  </si>
  <si>
    <t>3ee2064e-5f14-4d96-8d30-cfa6e44e3549</t>
  </si>
  <si>
    <t>FUR_Pan</t>
  </si>
  <si>
    <t>a7489fbd-a1e7-4f95-abc6-0755d7e1f399</t>
  </si>
  <si>
    <t>WPN_Wollocks_Guitar_A</t>
  </si>
  <si>
    <t>1f623448-aec3-46ab-93dc-0dce65fea8ca</t>
  </si>
  <si>
    <t>STAT_Quest_Knights_WPN_Mace_A</t>
  </si>
  <si>
    <t>5dabace5-9a44-4d7c-b2a8-10945321f2d8</t>
  </si>
  <si>
    <t>TOOL_Hammer</t>
  </si>
  <si>
    <t>4f67d82f-9397-4c48-9134-4679fc9ea770</t>
  </si>
  <si>
    <t>WPN_Cudgel</t>
  </si>
  <si>
    <t>WPN_KnobbedMace</t>
  </si>
  <si>
    <t>WPN_FlangedMace</t>
  </si>
  <si>
    <t>WPN_SpikedClub</t>
  </si>
  <si>
    <t>WPN_Gada</t>
  </si>
  <si>
    <t>WPN_UNIQUE_ClobberingTime</t>
  </si>
  <si>
    <t>_TwoHandedAxes</t>
  </si>
  <si>
    <t>STAT_Quest_Knights_WPN_2H_Axe_A</t>
  </si>
  <si>
    <t>10ad1981-3672-4642-bf27-af356f8e19f6</t>
  </si>
  <si>
    <t>TwoHandedAxe</t>
  </si>
  <si>
    <t>TOOL_2H_WoodAxe_A</t>
  </si>
  <si>
    <t>f4fa071b-cf2b-4343-8b78-3efd00e3f801</t>
  </si>
  <si>
    <t>WPN_2H_Axe_A</t>
  </si>
  <si>
    <t>00c6592c-8a5f-4012-a9fb-3498d64246c6</t>
  </si>
  <si>
    <t>WPN_PeasantsBlackBillPolearm_2H</t>
  </si>
  <si>
    <t>WPN_WoodMaulTool_2H</t>
  </si>
  <si>
    <t>WPN_Glaive_2H</t>
  </si>
  <si>
    <t>WPN_PoleCleaver_2H</t>
  </si>
  <si>
    <t>WPN_Bardiche_2H</t>
  </si>
  <si>
    <t>WPN_Fauchard_2H</t>
  </si>
  <si>
    <t>WPN_Cyclops_Staff_A_Scythe</t>
  </si>
  <si>
    <t>6cdc23fe-d66e-4671-99e6-b9bea05765d8</t>
  </si>
  <si>
    <t>_TwoHandedSwords</t>
  </si>
  <si>
    <t>WPN_DecorationSword_2H</t>
  </si>
  <si>
    <t>TwoHandedSword</t>
  </si>
  <si>
    <t>WPN_CeremonialSword_2H</t>
  </si>
  <si>
    <t>WPN_PracticeSword2H</t>
  </si>
  <si>
    <t>WPN_HeadingSword2H</t>
  </si>
  <si>
    <t>WPN_Flammenschwert</t>
  </si>
  <si>
    <t>WPN_Claymore_2H</t>
  </si>
  <si>
    <t>_Spears</t>
  </si>
  <si>
    <t>Spear</t>
  </si>
  <si>
    <t>STAT_Quest_Knights_WPN_2H_Polearm_A</t>
  </si>
  <si>
    <t>ba7771a1-a576-46b5-9f67-849c9d5686a9</t>
  </si>
  <si>
    <t>WPN_Pitchfork</t>
  </si>
  <si>
    <t>WPN_Spear</t>
  </si>
  <si>
    <t>WPN_Trident</t>
  </si>
  <si>
    <t>WPN_Menaulion</t>
  </si>
  <si>
    <t>WPN_Lance</t>
  </si>
  <si>
    <t>WPN_UNIQUE_Impaler</t>
  </si>
  <si>
    <t>_Staffs</t>
  </si>
  <si>
    <t>Staff</t>
  </si>
  <si>
    <t>TOOL_FishingRod_A</t>
  </si>
  <si>
    <t>81cbf17f-cc71-4e09-9ab3-ca2a5cb0cefc</t>
  </si>
  <si>
    <t>TOOL_FishingRod_B</t>
  </si>
  <si>
    <t>90cdb693-3564-415a-a8fa-4027b7f76f41</t>
  </si>
  <si>
    <t>TOOL_FishingRod_C</t>
  </si>
  <si>
    <t>9fc3cb5f-894e-4783-9eef-fbceef0104b0</t>
  </si>
  <si>
    <t>TOOL_Broom_A</t>
  </si>
  <si>
    <t>0291fc01-b613-4f68-90f6-9263537cb680</t>
  </si>
  <si>
    <t>_Bows</t>
  </si>
  <si>
    <t>Bow</t>
  </si>
  <si>
    <t>WPN_StandardIssueBow</t>
  </si>
  <si>
    <t>09db8ed4-61df-4587-ba48-c4d89c8aa0cc</t>
  </si>
  <si>
    <t>WPN_CysealGuardBow</t>
  </si>
  <si>
    <t>WPN_ShortBow</t>
  </si>
  <si>
    <t>WPN_OakFlatBow</t>
  </si>
  <si>
    <t>ca1742ff-3c26-4ba6-82fd-fd20fa9f6200</t>
  </si>
  <si>
    <t>WPN_Goblins_Bow_A_Hunter</t>
  </si>
  <si>
    <t>WPN_Bow_A_1_Composite_Bow</t>
  </si>
  <si>
    <t>WPN_Longbow</t>
  </si>
  <si>
    <t>WPN_YewLongbow</t>
  </si>
  <si>
    <t>_Crossbows</t>
  </si>
  <si>
    <t>Crossbow</t>
  </si>
  <si>
    <t>WPN_Lightcrossbow</t>
  </si>
  <si>
    <t>WPN_Regularcrossbow</t>
  </si>
  <si>
    <t>WPN_Heavycrossbow</t>
  </si>
  <si>
    <t>WPN_Steelcrossbow</t>
  </si>
  <si>
    <t>WPN_Arbalest</t>
  </si>
  <si>
    <t>Wand</t>
  </si>
  <si>
    <t>Shadow</t>
  </si>
  <si>
    <t>_Specific_Enemy_Attacks</t>
  </si>
  <si>
    <t>_Summon_IceElementalAttack</t>
  </si>
  <si>
    <t>Water</t>
  </si>
  <si>
    <t>28e00823-2ba4-43bb-be10-e4d6d89e179f</t>
  </si>
  <si>
    <t>_Summon_FireElementalAttack</t>
  </si>
  <si>
    <t>Fire</t>
  </si>
  <si>
    <t>Burning,10,2</t>
  </si>
  <si>
    <t>_Summon_EarthElementalAttack</t>
  </si>
  <si>
    <t>Earth</t>
  </si>
  <si>
    <t>_Summon_AirElementalAttack</t>
  </si>
  <si>
    <t>Air</t>
  </si>
  <si>
    <t>_Crab</t>
  </si>
  <si>
    <t>_Undead_Skeleton_Grunt_ALW</t>
  </si>
  <si>
    <t>_Undead_Skeleton_Grunt_ALS</t>
  </si>
  <si>
    <t>_Undead_Skeleton_Grunt_ALSS</t>
  </si>
  <si>
    <t>_Undead_Skeleton_Grunt_AMW</t>
  </si>
  <si>
    <t>_Undead_Skeleton_Grunt_AMS</t>
  </si>
  <si>
    <t>_Undead_Skeleton_Grunt_AMSS</t>
  </si>
  <si>
    <t>_Undead_Skeleton_Grunt_AMSH</t>
  </si>
  <si>
    <t>_Undead_Skeleton_Grunt_AMSSH</t>
  </si>
  <si>
    <t>_Undead_Skeleton_Grunt_SLW</t>
  </si>
  <si>
    <t>_Undead_Skeleton_Grunt_SLS</t>
  </si>
  <si>
    <t>_Undead_Skeleton_Grunt_SLSS</t>
  </si>
  <si>
    <t>_Undead_Skeleton_Grunt_SMW</t>
  </si>
  <si>
    <t>_Undead_Skeleton_Grunt_SMS</t>
  </si>
  <si>
    <t>_Undead_Skeleton_Grunt_SMSS</t>
  </si>
  <si>
    <t>_Undead_Skeleton_Grunt_SMSH</t>
  </si>
  <si>
    <t>_Undead_Skeleton_Grunt_SMSSH</t>
  </si>
  <si>
    <t>_Undead_Skeleton_Grunt_CLW</t>
  </si>
  <si>
    <t>_Undead_Skeleton_Grunt_CLS</t>
  </si>
  <si>
    <t>_Undead_Skeleton_Grunt_CLSS</t>
  </si>
  <si>
    <t>_Undead_Skeleton_Grunt_CMW</t>
  </si>
  <si>
    <t>_Undead_Skeleton_Grunt_CMS</t>
  </si>
  <si>
    <t>_Undead_Skeleton_Grunt_CMSS</t>
  </si>
  <si>
    <t>_Undead_Skeleton_Grunt_CMSH</t>
  </si>
  <si>
    <t>_Undead_Skeleton_Grunt_CMSSH</t>
  </si>
  <si>
    <t>_Undead_Skeleton_Grunt_BLW</t>
  </si>
  <si>
    <t>_Undead_Skeleton_Grunt_BLS</t>
  </si>
  <si>
    <t>_Undead_Skeleton_Grunt_BMW</t>
  </si>
  <si>
    <t>_Undead_Skeleton_Grunt_BMS</t>
  </si>
  <si>
    <t>_Undead_Skeleton_Grunt_BMSH</t>
  </si>
  <si>
    <t>_Undead_Skeleton_Grunt_2SMS</t>
  </si>
  <si>
    <t>_Undead_Skeleton_Grunt_2AMS</t>
  </si>
  <si>
    <t>_Undead_Skeleton_Fire_A</t>
  </si>
  <si>
    <t>_Undead_SkeletonBard_A</t>
  </si>
  <si>
    <t>_Undead_Infernal_A</t>
  </si>
  <si>
    <t>_Undead_Skeleton_Metal_A</t>
  </si>
  <si>
    <t>_Undead_Zombie_A</t>
  </si>
  <si>
    <t>_Orc_WeakLeather_C</t>
  </si>
  <si>
    <t>_Orc_StrongLeather_C</t>
  </si>
  <si>
    <t>_Orc_StrongLeather_CH</t>
  </si>
  <si>
    <t>_Orc_WeakLeather_1A</t>
  </si>
  <si>
    <t>_Orc_StrongLeather_1A</t>
  </si>
  <si>
    <t>_Orc_StrongLeather_1AH</t>
  </si>
  <si>
    <t>_Orc_WeakLeather_1S</t>
  </si>
  <si>
    <t>_Orc_StrongLeather_1S</t>
  </si>
  <si>
    <t>_Orc_StrongLeather_1SH</t>
  </si>
  <si>
    <t>_Orc_WeakLeather_2A</t>
  </si>
  <si>
    <t>_Orc_StrongLeather_2A</t>
  </si>
  <si>
    <t>_Orc_StrongLeather_2AH</t>
  </si>
  <si>
    <t>_Orc_WeakLeather_2S</t>
  </si>
  <si>
    <t>_Orc_StrongLeather_2S</t>
  </si>
  <si>
    <t>_Orc_StrongLeather_2SH</t>
  </si>
  <si>
    <t>_Orc_WeakLeather_B</t>
  </si>
  <si>
    <t>_Orc_StrongLeather_B</t>
  </si>
  <si>
    <t>_Orc_StrongLeather_BH</t>
  </si>
  <si>
    <t>_Orc_Female_Normal</t>
  </si>
  <si>
    <t>_Orc_Female_Strong</t>
  </si>
  <si>
    <t>_Orc_Shaman_Weak</t>
  </si>
  <si>
    <t>_Orc_Shaman_Normal</t>
  </si>
  <si>
    <t>_Orc_Shaman_Strong</t>
  </si>
  <si>
    <t>_Orc_Drummer_Normal</t>
  </si>
  <si>
    <t>_Orc_Drummer_Strong</t>
  </si>
  <si>
    <t>_Orc_Bruiser_Normal</t>
  </si>
  <si>
    <t>_Orc_Bruiser_Strong</t>
  </si>
  <si>
    <t>_Goblins_Warrior_A_C</t>
  </si>
  <si>
    <t>_Goblins_Grunt_A_C</t>
  </si>
  <si>
    <t>_Goblins_Warrior_A_S</t>
  </si>
  <si>
    <t>_Goblins_Grunt_A_S</t>
  </si>
  <si>
    <t>_Goblins_TrapDropper_A</t>
  </si>
  <si>
    <t>_Goblins_Tank_A</t>
  </si>
  <si>
    <t>_Goblins_Catapult_A</t>
  </si>
  <si>
    <t>_Demons_SandDemon</t>
  </si>
  <si>
    <t>_Demons_SandDevil</t>
  </si>
  <si>
    <t>_Demons_SandHorror</t>
  </si>
  <si>
    <t>_Demons_SandMinion</t>
  </si>
  <si>
    <t>Poison,20,2</t>
  </si>
  <si>
    <t>_BOOSTS_Weapon</t>
  </si>
  <si>
    <t>Boost</t>
  </si>
  <si>
    <t>_Damage_WeaponBoost</t>
  </si>
  <si>
    <t>_Value_WeaponBoost</t>
  </si>
  <si>
    <t>_Strength_WeaponBoost</t>
  </si>
  <si>
    <t>_Dexterity_WeaponBoost</t>
  </si>
  <si>
    <t>_Speed_WeaponBoost</t>
  </si>
  <si>
    <t>_Perception_WeaponBoost</t>
  </si>
  <si>
    <t>_Intelligence_WeaponBoost</t>
  </si>
  <si>
    <t>_Constitution_WeaponBoost</t>
  </si>
  <si>
    <t>_Luck_WeaponBoost</t>
  </si>
  <si>
    <t>_FireResistance_WeaponBoost</t>
  </si>
  <si>
    <t>_EarthResistance_WeaponBoost</t>
  </si>
  <si>
    <t>_WaterResistance_WeaponBoost</t>
  </si>
  <si>
    <t>_AirResistance_WeaponBoost</t>
  </si>
  <si>
    <t>_ShadowResistance_WeaponBoost</t>
  </si>
  <si>
    <t>_Vitality_WeaponBoost</t>
  </si>
  <si>
    <t>_SKILLS</t>
  </si>
  <si>
    <t>_EoC_Spell_Attack</t>
  </si>
  <si>
    <t>_DarkMinions_DeathKnight</t>
  </si>
  <si>
    <t>_DarkMinions_DeathLord</t>
  </si>
  <si>
    <t>_DarkMinions_DreadKnight</t>
  </si>
  <si>
    <t>_DarkMinions_DreadLord</t>
  </si>
  <si>
    <t>_DarkMinions_DeathLord_Xbow</t>
  </si>
  <si>
    <t>_DarkMinions_DreadLord_Xbow</t>
  </si>
  <si>
    <t>ComboCategory</t>
  </si>
  <si>
    <t>FishingRod</t>
  </si>
  <si>
    <t>_Wollock_Mount</t>
  </si>
  <si>
    <t>TOOL_Shears_A</t>
  </si>
  <si>
    <t>7d507bb0-7f15-45bc-b2ff-9a9753c4c7c7</t>
  </si>
  <si>
    <t>_GiantCrab</t>
  </si>
  <si>
    <t>_Undead_Skeleton_Grunt_BLW_Dagger</t>
  </si>
  <si>
    <t>_Undead_Skeleton_Grunt_BLS_Dagger</t>
  </si>
  <si>
    <t>_Undead_Skeleton_Grunt_BMW_Dagger</t>
  </si>
  <si>
    <t>_Undead_Skeleton_Grunt_BMS_Dagger</t>
  </si>
  <si>
    <t>_Undead_Skeleton_Grunt_BMSH_Dagger</t>
  </si>
  <si>
    <t>_Animals_BoarWild_A</t>
  </si>
  <si>
    <t>_Animals_BoarWild_A_Strong</t>
  </si>
  <si>
    <t>_Animals_BoarWild_A_Zombie_A</t>
  </si>
  <si>
    <t>_Animals_BoarWild_A_Zombie_A_Strong</t>
  </si>
  <si>
    <t>_Animals_Boar_A</t>
  </si>
  <si>
    <t>_Animals_Boar_A_Strong</t>
  </si>
  <si>
    <t>_Animals_Boar_A_Zombie_A</t>
  </si>
  <si>
    <t>_Animals_Boar_A_Zombie_A_Strong</t>
  </si>
  <si>
    <t>_Animals_Bull_A</t>
  </si>
  <si>
    <t>_Animals_Bull_B</t>
  </si>
  <si>
    <t>_Animals_Cat_A</t>
  </si>
  <si>
    <t>_Animals_Chicken_A</t>
  </si>
  <si>
    <t>_Animals_Cow_A</t>
  </si>
  <si>
    <t>_Animals_Cow_B</t>
  </si>
  <si>
    <t>_Animals_Cow_C</t>
  </si>
  <si>
    <t>_Animals_Cow_D</t>
  </si>
  <si>
    <t>_Animals_Crab_A</t>
  </si>
  <si>
    <t>_Animals_Crab_Giant_A</t>
  </si>
  <si>
    <t>_Animals_Crab_Giant_A_Strong</t>
  </si>
  <si>
    <t>_Animals_Deer_A</t>
  </si>
  <si>
    <t>_Animals_Dog_A</t>
  </si>
  <si>
    <t>_Animals_Dog_A_Zombie_A</t>
  </si>
  <si>
    <t>_Animals_Dog_A_Zombie_A_Strong</t>
  </si>
  <si>
    <t>_Animals_Dog_Labrador_A</t>
  </si>
  <si>
    <t>_Animals_Pig_A</t>
  </si>
  <si>
    <t>_Animals_Rabbit_A</t>
  </si>
  <si>
    <t>_Animals_Rat_A</t>
  </si>
  <si>
    <t>_Animals_Rat_A_Strong</t>
  </si>
  <si>
    <t>_Animals_Rat_King_A</t>
  </si>
  <si>
    <t>_Animals_Rat_King_A_Strong</t>
  </si>
  <si>
    <t>_Animals_RoosterMechanic_A</t>
  </si>
  <si>
    <t>_Animals_Rooster_A</t>
  </si>
  <si>
    <t>_Animals_Sheep_A</t>
  </si>
  <si>
    <t>_Animals_Sheep_B</t>
  </si>
  <si>
    <t>_Animals_WereSheep_A</t>
  </si>
  <si>
    <t>_Animals_WereSheep_A_Strong</t>
  </si>
  <si>
    <t>_Animals_Wolf_A</t>
  </si>
  <si>
    <t>_Animals_Wolf_A_Strong</t>
  </si>
  <si>
    <t>_Animals_Wolf_A_Black</t>
  </si>
  <si>
    <t>_Animals_Wolf_A_Black_Strong</t>
  </si>
  <si>
    <t>_Animals_Wolf_A_White</t>
  </si>
  <si>
    <t>_Animals_Wolf_A_White_Strong</t>
  </si>
  <si>
    <t>_Animals_Wolf_A_Zombie_A</t>
  </si>
  <si>
    <t>_Animals_Wolf_A_Zombie_A_Strong</t>
  </si>
  <si>
    <t>_Cyclops_BoneCasterSkeleton_A</t>
  </si>
  <si>
    <t>_Cyclops_BoneCasterSkeleton_A_Strong</t>
  </si>
  <si>
    <t>_Cyclops_BoneCaster_Fem_A</t>
  </si>
  <si>
    <t>_Cyclops_BoneCaster_Fem_A_Strong</t>
  </si>
  <si>
    <t>_Cyclops_BoneFanatic_A</t>
  </si>
  <si>
    <t>_Cyclops_BoneFanatic_A_Strong</t>
  </si>
  <si>
    <t>_Cyclops_BoneFighter_A</t>
  </si>
  <si>
    <t>_Cyclops_BoneFighter_A_Strong</t>
  </si>
  <si>
    <t>_Cyclops_Floater_A</t>
  </si>
  <si>
    <t>_Cyclops_Floater_A_Strong</t>
  </si>
  <si>
    <t>_Cyclops_Warrior_A</t>
  </si>
  <si>
    <t>_Cyclops_Warrior_A_Strong</t>
  </si>
  <si>
    <t>_Cyclops_Wizard_A</t>
  </si>
  <si>
    <t>_Cyclops_Wizard_A_Strong</t>
  </si>
  <si>
    <t>_Goblins_Catapult_A_Strong</t>
  </si>
  <si>
    <t>_Goblins_Elite_A_C</t>
  </si>
  <si>
    <t>_Goblins_Elite_A_C_Strong</t>
  </si>
  <si>
    <t>_Goblins_Elite_A_S</t>
  </si>
  <si>
    <t>_Goblins_Elite_A_S_Strong</t>
  </si>
  <si>
    <t>_Goblins_Greater_A_C</t>
  </si>
  <si>
    <t>_Goblins_Greater_A_C_Strong</t>
  </si>
  <si>
    <t>_Goblins_Greater_A_S</t>
  </si>
  <si>
    <t>_Goblins_Greater_A_S_Strong</t>
  </si>
  <si>
    <t>_Goblins_Grunt_A_C_Strong</t>
  </si>
  <si>
    <t>_Goblins_Grunt_A_S_Strong</t>
  </si>
  <si>
    <t>_Goblins_Ranger_A</t>
  </si>
  <si>
    <t>_Goblins_Ranger_A_Strong</t>
  </si>
  <si>
    <t>_Goblins_Tank_A_Strong</t>
  </si>
  <si>
    <t>_Goblins_TrapDropper_A_Strong</t>
  </si>
  <si>
    <t>_Goblins_Warrior_A_C_Strong</t>
  </si>
  <si>
    <t>_Goblins_Warrior_A_S_Strong</t>
  </si>
  <si>
    <t>_ENV_Artillery_Flower_A</t>
  </si>
  <si>
    <t>_ENV_Artillery_Flower_A_Strong</t>
  </si>
  <si>
    <t>_ENV_Evil_Mushroom_A</t>
  </si>
  <si>
    <t>_ENV_Evil_Mushroom_A_Strong</t>
  </si>
  <si>
    <t>_Shadows_Caster_A</t>
  </si>
  <si>
    <t>_Shadows_Caster_A_Strong</t>
  </si>
  <si>
    <t>_Shadows_FloatingLight_A</t>
  </si>
  <si>
    <t>_Shadows_FloatingLight_A_Strong</t>
  </si>
  <si>
    <t>_Shadows_Ghoul_A</t>
  </si>
  <si>
    <t>_Shadows_Ghoul_A_Strong</t>
  </si>
  <si>
    <t>_Shadows_Mage_A</t>
  </si>
  <si>
    <t>_Shadows_Mage_A_Strong</t>
  </si>
  <si>
    <t>_Shadows_Spider_A</t>
  </si>
  <si>
    <t>_Shadows_Spider_A_Strong</t>
  </si>
  <si>
    <t>_Trolls_Grunt</t>
  </si>
  <si>
    <t>_Trolls_Grunt_Strong</t>
  </si>
  <si>
    <t>_Trolls_Grunt_Snow</t>
  </si>
  <si>
    <t>_Trolls_Grunt_Snow_Strong</t>
  </si>
  <si>
    <t>_Undead_Zombie_A_Headless_A</t>
  </si>
  <si>
    <t>_Undead_Zombie_A_Headless_A_Strong</t>
  </si>
  <si>
    <t>Knockdown,15,2</t>
  </si>
  <si>
    <t>Burning,5,2</t>
  </si>
  <si>
    <t>Poison,5,2</t>
  </si>
  <si>
    <t>25a8cf6b-f51c-4d0b-a217-c12cc66e53cc</t>
  </si>
  <si>
    <t>7a715594-05f4-4dad-a059-d15c9662dd2c</t>
  </si>
  <si>
    <t>8628c683-7098-4429-95cc-4d0021cda702</t>
  </si>
  <si>
    <t>63b6f542-1a86-40dc-a7d5-68c344a97aaa</t>
  </si>
  <si>
    <t>c70cbf4b-f2b5-4d03-b46e-365bfc2e943e</t>
  </si>
  <si>
    <t>6523725d-751d-4489-b897-a5576e094ddd</t>
  </si>
  <si>
    <t>WPN_Human_Normal_Scythe_A</t>
  </si>
  <si>
    <t>963958d7-1e99-40fd-a699-94de68f950b0</t>
  </si>
  <si>
    <t>e0a63976-b5ab-451a-b06f-84da3061409d</t>
  </si>
  <si>
    <t>14eb19e7-ab9c-4077-9835-f8a7e29a514f</t>
  </si>
  <si>
    <t>5a11cc86-16d6-4060-9eab-4f692f0d25fe</t>
  </si>
  <si>
    <t>WPN_Human_Normal_2H_Axe_A</t>
  </si>
  <si>
    <t>WPN_Human_Normal_Mace_A</t>
  </si>
  <si>
    <t>WPN_Imps_2H_Spear_A</t>
  </si>
  <si>
    <t>_Wollock_Clubber</t>
  </si>
  <si>
    <t>_Orc_CYS_GiantOrc</t>
  </si>
  <si>
    <t>Knockdown,20,1</t>
  </si>
  <si>
    <t>_Undead_Infernal_A_Mini</t>
  </si>
  <si>
    <t>_Undead_Skeleton_Grunt_Pirate</t>
  </si>
  <si>
    <t>_Undead_Skeleton_Grunt_Pirate_Archer</t>
  </si>
  <si>
    <t>_Undead_Skeleton_Grunt_Pirate_Archer_Dagger</t>
  </si>
  <si>
    <t>_Undead_Skeleton_Grunt_PirateMage</t>
  </si>
  <si>
    <t>WPN_Lightcrossbow_B</t>
  </si>
  <si>
    <t>WPN_StandardIssueBow_B</t>
  </si>
  <si>
    <t>_Trolls_Grunt_Zombie</t>
  </si>
  <si>
    <t>_Cyseal_Bellegar_WaterDemon</t>
  </si>
  <si>
    <t>_Cyseal_Bellegar_FireDemon</t>
  </si>
  <si>
    <t>_Cyseal_Bellegar_AirDemon</t>
  </si>
  <si>
    <t>_Cyseal_Bellegar_EarthDemon</t>
  </si>
  <si>
    <t>_PoisonDamage_WeaponBoost</t>
  </si>
  <si>
    <t>_Tormented_WeaponBoost</t>
  </si>
  <si>
    <t>_FireDamage_WeaponBoost</t>
  </si>
  <si>
    <t>_WaterDamage_WeaponBoost</t>
  </si>
  <si>
    <t>_EarthDamage_WeaponBoost</t>
  </si>
  <si>
    <t>_AirDamage_WeaponBoost</t>
  </si>
  <si>
    <t>_Undead_ZombieCrawler_B</t>
  </si>
  <si>
    <t>_Durability_WeaponBoost</t>
  </si>
  <si>
    <t>_Reflexes_WeaponBoost</t>
  </si>
  <si>
    <t>_ActionPoint_WeaponBoost</t>
  </si>
  <si>
    <t>_Damage_Medium_WeaponBoost</t>
  </si>
  <si>
    <t>_Damage_Large_WeaponBoost</t>
  </si>
  <si>
    <t>_Crit_WeaponBoost</t>
  </si>
  <si>
    <t>_Reflexes_Large_WeaponBoost</t>
  </si>
  <si>
    <t>_Crit_Large_WeaponBoost</t>
  </si>
  <si>
    <t>_ActionPoint_Large_WeaponBoost</t>
  </si>
  <si>
    <t>_Luck_Large_WeaponBoost</t>
  </si>
  <si>
    <t>_Vitality_Large_WeaponBoost</t>
  </si>
  <si>
    <t>_FireDamage_Large_WeaponBoost</t>
  </si>
  <si>
    <t>_WaterDamage_Large_WeaponBoost</t>
  </si>
  <si>
    <t>_EarthDamage_Large_WeaponBoost</t>
  </si>
  <si>
    <t>_AirDamage_Large_WeaponBoost</t>
  </si>
  <si>
    <t>WPN_Imps_2H_Spear_ZixZax</t>
  </si>
  <si>
    <t>WPN_KnightlySourceHunter_2H</t>
  </si>
  <si>
    <t>WPN_SourceHunter_Mace</t>
  </si>
  <si>
    <t>WPN_PushDagger_B</t>
  </si>
  <si>
    <t>WPN_LongDagger_B</t>
  </si>
  <si>
    <t>WPN_Poniard_B</t>
  </si>
  <si>
    <t>WPN_Rapier_B</t>
  </si>
  <si>
    <t>WPN_Mercygiver_B</t>
  </si>
  <si>
    <t>WPN_Flammenschwert_B</t>
  </si>
  <si>
    <t>WPN_Claymore_2H_B</t>
  </si>
  <si>
    <t>WPN_Spear_A</t>
  </si>
  <si>
    <t>WPN_Spear_B</t>
  </si>
  <si>
    <t>WPN_Spear_C</t>
  </si>
  <si>
    <t>WPN_Spear_D</t>
  </si>
  <si>
    <t>WPN_Spear_E</t>
  </si>
  <si>
    <t>WPN_ShortBow_B</t>
  </si>
  <si>
    <t>WPN_Longbow_B</t>
  </si>
  <si>
    <t>WPN_Longbow_C</t>
  </si>
  <si>
    <t>WPN_YewLongbow_B</t>
  </si>
  <si>
    <t>WPN_YewLongbow_C</t>
  </si>
  <si>
    <t>WPN_Regularcrossbow_B</t>
  </si>
  <si>
    <t>WPN_Heavycrossbow_B</t>
  </si>
  <si>
    <t>WPN_Steelcrossbow_B</t>
  </si>
  <si>
    <t>WPN_Arbalest_B</t>
  </si>
  <si>
    <t>WPN_Arbalest_C</t>
  </si>
  <si>
    <t>WPN_2H_Axe_B</t>
  </si>
  <si>
    <t>WPN_UNIQUE_Pergamon</t>
  </si>
  <si>
    <t>_APCost_WeaponBoost</t>
  </si>
  <si>
    <t>_Fear_WeaponBoost</t>
  </si>
  <si>
    <t>_Fear_Large_WeaponBoost</t>
  </si>
  <si>
    <t>_SingleHanded_WeaponBoost</t>
  </si>
  <si>
    <t>_TwoHanded_WeaponBoost</t>
  </si>
  <si>
    <t>_Ranged_WeaponBoost</t>
  </si>
  <si>
    <t>_WillPower_WeaponBoost</t>
  </si>
  <si>
    <t>Junk</t>
  </si>
  <si>
    <t>_Weapon_Boost_StreetFighter</t>
  </si>
  <si>
    <t>_Weapon_Boost_Leadership</t>
  </si>
  <si>
    <t>APMaximum</t>
  </si>
  <si>
    <t>APStart</t>
  </si>
  <si>
    <t>APRecovery</t>
  </si>
  <si>
    <t>ChanceToHitBoost</t>
  </si>
  <si>
    <t>WPN_Axe_B_1_Cleaver_B</t>
  </si>
  <si>
    <t>WPN_Axe_B_1_Cleaver_C</t>
  </si>
  <si>
    <t>DamageBoost</t>
  </si>
  <si>
    <t>_Orc_WeakLeather_BDagger</t>
  </si>
  <si>
    <t>_Orc_StrongLeather_BHDagger</t>
  </si>
  <si>
    <t>_Orc_StrongLeather_BDagger</t>
  </si>
  <si>
    <t>WPN_Rondel_B</t>
  </si>
  <si>
    <t>WPN_PushDagger_C</t>
  </si>
  <si>
    <t>WPN_LongDagger_A</t>
  </si>
  <si>
    <t>WPN_LongDagger_C</t>
  </si>
  <si>
    <t>WPN_Rapier_C</t>
  </si>
  <si>
    <t>WPN_Mercygiver_C</t>
  </si>
  <si>
    <t>WPN_BastardSword_B</t>
  </si>
  <si>
    <t>WPN_BastardSword_C</t>
  </si>
  <si>
    <t>WPN_Scimitar_B</t>
  </si>
  <si>
    <t>WPN_Scimitar_C</t>
  </si>
  <si>
    <t>WPN_BattleAxe_1H_E</t>
  </si>
  <si>
    <t>WPN_BattleAxe_1H_F</t>
  </si>
  <si>
    <t>WPN_BeardedAxe_1H_B</t>
  </si>
  <si>
    <t>WPN_SmallHandAxeTool_1H_B</t>
  </si>
  <si>
    <t>WPN_Cudgel_B</t>
  </si>
  <si>
    <t>WPN_KnobbedMace_B</t>
  </si>
  <si>
    <t>WPN_Human_Normal_Mace_B</t>
  </si>
  <si>
    <t>WPN_SpikedClub_C</t>
  </si>
  <si>
    <t>WPN_SpikedClub_D</t>
  </si>
  <si>
    <t>WPN_FlangedMace_B</t>
  </si>
  <si>
    <t>WPN_FlangedMace_C</t>
  </si>
  <si>
    <t>32de53ae-e7bd-4cfa-ac03-032a709e82ff</t>
  </si>
  <si>
    <t>WPN_Human_Normal_2H_Axe_B</t>
  </si>
  <si>
    <t>OnRangedAttack</t>
  </si>
  <si>
    <t>OnMeleeAttack</t>
  </si>
  <si>
    <t>SkillBoostConditions</t>
  </si>
  <si>
    <t>Conditions</t>
  </si>
  <si>
    <t>Torch</t>
  </si>
  <si>
    <t>PoisonContact</t>
  </si>
  <si>
    <t>StunContact</t>
  </si>
  <si>
    <t>BurnContact</t>
  </si>
  <si>
    <t>FreezeContact</t>
  </si>
  <si>
    <t>MuteImmunity</t>
  </si>
  <si>
    <t>KnockdownImmunity</t>
  </si>
  <si>
    <t>FearImmunity</t>
  </si>
  <si>
    <t>CharmImmunity</t>
  </si>
  <si>
    <t>PoisonImmunity</t>
  </si>
  <si>
    <t>StunImmunity</t>
  </si>
  <si>
    <t>BurnImmunity</t>
  </si>
  <si>
    <t>FreezeImmunity</t>
  </si>
  <si>
    <t>AttributeFlags</t>
  </si>
  <si>
    <t>SurfaceCollisionFlags</t>
  </si>
  <si>
    <t>Properties</t>
  </si>
  <si>
    <t>FixedString</t>
  </si>
  <si>
    <t>ConstantInt</t>
  </si>
  <si>
    <t>PreciseQualifier</t>
  </si>
  <si>
    <t>BigQualifier</t>
  </si>
  <si>
    <t>Penalty Qualifier</t>
  </si>
  <si>
    <t>Penalty PreciseQualifier</t>
  </si>
  <si>
    <t>ActPart</t>
  </si>
  <si>
    <t>NonSelf</t>
  </si>
  <si>
    <t>Self</t>
  </si>
  <si>
    <t>NonSummon</t>
  </si>
  <si>
    <t>Summon</t>
  </si>
  <si>
    <t>Dead</t>
  </si>
  <si>
    <t>Character</t>
  </si>
  <si>
    <t>Enemy</t>
  </si>
  <si>
    <t>Ally</t>
  </si>
  <si>
    <t>Locked</t>
  </si>
  <si>
    <t>SkillTargetCondition</t>
  </si>
  <si>
    <t>RangedWeapon</t>
  </si>
  <si>
    <t>MeleeWeapon</t>
  </si>
  <si>
    <t>SkillRequirement</t>
  </si>
  <si>
    <t>SkillElement</t>
  </si>
  <si>
    <t>Ranger</t>
  </si>
  <si>
    <t>Warrior</t>
  </si>
  <si>
    <t>Defensive</t>
  </si>
  <si>
    <t>Offensive</t>
  </si>
  <si>
    <t>SkillAbility</t>
  </si>
  <si>
    <t>Food</t>
  </si>
  <si>
    <t>Crystal</t>
  </si>
  <si>
    <t>Skill</t>
  </si>
  <si>
    <t>Arrow</t>
  </si>
  <si>
    <t>Yes</t>
  </si>
  <si>
    <t>No</t>
  </si>
  <si>
    <t>YesNo</t>
  </si>
  <si>
    <t>Arrow3</t>
  </si>
  <si>
    <t>Arrow2</t>
  </si>
  <si>
    <t>Ring2</t>
  </si>
  <si>
    <t>Amulet</t>
  </si>
  <si>
    <t>Gloves</t>
  </si>
  <si>
    <t>Boots</t>
  </si>
  <si>
    <t>Belt</t>
  </si>
  <si>
    <t>Ring</t>
  </si>
  <si>
    <t>Leggings</t>
  </si>
  <si>
    <t>Breast</t>
  </si>
  <si>
    <t>Helmet</t>
  </si>
  <si>
    <t>Itemslot</t>
  </si>
  <si>
    <t>Resurrect</t>
  </si>
  <si>
    <t>Osiris Task</t>
  </si>
  <si>
    <t>TargetCreateSurface</t>
  </si>
  <si>
    <t>CreateSurface</t>
  </si>
  <si>
    <t>Douse</t>
  </si>
  <si>
    <t>Game Action</t>
  </si>
  <si>
    <t>Electrify</t>
  </si>
  <si>
    <t>Freeze</t>
  </si>
  <si>
    <t>Melt</t>
  </si>
  <si>
    <t>Ignite</t>
  </si>
  <si>
    <t>Surface Change</t>
  </si>
  <si>
    <t>CloudSmoke</t>
  </si>
  <si>
    <t>CloudSteam</t>
  </si>
  <si>
    <t>CloudStatic</t>
  </si>
  <si>
    <t>CloudPoison</t>
  </si>
  <si>
    <t>BloodElectrified</t>
  </si>
  <si>
    <t>BloodFrozen</t>
  </si>
  <si>
    <t>Blood</t>
  </si>
  <si>
    <t>Lava</t>
  </si>
  <si>
    <t>Oil</t>
  </si>
  <si>
    <t>Electrified</t>
  </si>
  <si>
    <t>Ooze</t>
  </si>
  <si>
    <t>Ice</t>
  </si>
  <si>
    <t>Surface Type</t>
  </si>
  <si>
    <t>Stance</t>
  </si>
  <si>
    <t>BlackRocked</t>
  </si>
  <si>
    <t>Healing</t>
  </si>
  <si>
    <t>Consume</t>
  </si>
  <si>
    <t>Fear</t>
  </si>
  <si>
    <t>Knockdown</t>
  </si>
  <si>
    <t>Mute</t>
  </si>
  <si>
    <t>Wet</t>
  </si>
  <si>
    <t>Stun</t>
  </si>
  <si>
    <t>Frozen</t>
  </si>
  <si>
    <t>Burning</t>
  </si>
  <si>
    <t>Unlock</t>
  </si>
  <si>
    <t>InstantKnockdown</t>
  </si>
  <si>
    <t>Status Type</t>
  </si>
  <si>
    <t>Qualifier</t>
  </si>
  <si>
    <t>FrozenShatter</t>
  </si>
  <si>
    <t>Electrocution</t>
  </si>
  <si>
    <t>Acid</t>
  </si>
  <si>
    <t>Incinerate</t>
  </si>
  <si>
    <t>DoT</t>
  </si>
  <si>
    <t>Death Type</t>
  </si>
  <si>
    <t>Value List</t>
  </si>
  <si>
    <t>Value Type</t>
  </si>
  <si>
    <t>WPN_PoleCleaver_2H_B</t>
  </si>
  <si>
    <t>WPN_CeremonialSword_2H_B</t>
  </si>
  <si>
    <t>WPN_PracticeSword2H_B</t>
  </si>
  <si>
    <t>WPN_HeadingSword2H_B</t>
  </si>
  <si>
    <t>WPN_Claymore_2H_C</t>
  </si>
  <si>
    <t>WPN_Claymore_2H_D</t>
  </si>
  <si>
    <t>WPN_Claymore_2H_E</t>
  </si>
  <si>
    <t>WPN_Claymore_2H_F</t>
  </si>
  <si>
    <t>WPN_Claymore_2H_G</t>
  </si>
  <si>
    <t>WPN_ShortBow_C</t>
  </si>
  <si>
    <t>WPN_YewLongbow_D</t>
  </si>
  <si>
    <t>WPN_YewLongbow_E</t>
  </si>
  <si>
    <t>WPN_YewLongbow_F</t>
  </si>
  <si>
    <t>WPN_YewLongbow_G</t>
  </si>
  <si>
    <t>WPN_Bow_A_1_Composite_Bow_B</t>
  </si>
  <si>
    <t>WPN_Quarterstaff_Henchman_Jahan</t>
  </si>
  <si>
    <t>WPN_DecorationSword_Henchman_Madoc</t>
  </si>
  <si>
    <t>Stunned</t>
  </si>
  <si>
    <t>KnockDown</t>
  </si>
  <si>
    <t>SavingThrow</t>
  </si>
  <si>
    <t>WPN_Goblins_Mace_A_Spiked_Club</t>
  </si>
  <si>
    <t>WPN_Unique_Heartseeker</t>
  </si>
  <si>
    <t>WPN_Human_Normal_Scythe_B</t>
  </si>
  <si>
    <t>4e50b02c-8704-42d7-9d7f-303ab66fc2de</t>
  </si>
  <si>
    <t>1e83ff08-d2ac-487f-9905-26b0f69f4925</t>
  </si>
  <si>
    <t>568ab219-039b-4200-a24b-d29c9500fe4f</t>
  </si>
  <si>
    <t>WPN_Trolls_2H_Staff_IceKing_A</t>
  </si>
  <si>
    <t>d79e6530-953e-48a5-aff9-86355bd119fc</t>
  </si>
  <si>
    <t>f9765ab4-f661-4635-a0be-91de0f711f5e</t>
  </si>
  <si>
    <t>9d6f1a91-52a7-424b-a4aa-c8d40e29ed19</t>
  </si>
  <si>
    <t>Strength 8</t>
  </si>
  <si>
    <t>WPN_Rapier_A</t>
  </si>
  <si>
    <t>WPN_Axe_A_1_Axe_B</t>
  </si>
  <si>
    <t>WPN_ShepherdsAxe_1H</t>
  </si>
  <si>
    <t>WPN_Glaive_2H_B</t>
  </si>
  <si>
    <t>Dexterity 0</t>
  </si>
  <si>
    <t>Strength 0</t>
  </si>
  <si>
    <t>0362f875-19ee-42ba-b761-fd1c24aaad3d</t>
  </si>
  <si>
    <t>WPN_FightingKnife_B</t>
  </si>
  <si>
    <t>97c9dec1-c307-4080-94ab-ad70ce511c3e</t>
  </si>
  <si>
    <t>a7dfb3d1-8a60-4ac8-90ba-730e3364a6e4</t>
  </si>
  <si>
    <t>4c04f006-d631-4be7-855c-3ccd2c3ba0e2</t>
  </si>
  <si>
    <t>3558e14c-ec8b-4b57-92bf-1ade459d3650</t>
  </si>
  <si>
    <t>cdbff750-4463-4754-8299-220bb262deb6</t>
  </si>
  <si>
    <t>87f6c70d-51ed-4760-ac33-b9e4758cb305</t>
  </si>
  <si>
    <t>af92727c-6a22-4373-a6e7-41eb3e75e324</t>
  </si>
  <si>
    <t>09795109-3ef7-4697-adc6-c6f0d68ebedc</t>
  </si>
  <si>
    <t>8e08abd2-d947-4b16-919b-12978e897450</t>
  </si>
  <si>
    <t>Knockdown,15,1</t>
  </si>
  <si>
    <t>Knockdown,20,2</t>
  </si>
  <si>
    <t>Hidden</t>
  </si>
  <si>
    <t>Misc</t>
  </si>
  <si>
    <t>Ingredient</t>
  </si>
  <si>
    <t>Magical</t>
  </si>
  <si>
    <t>Consumable</t>
  </si>
  <si>
    <t>Auto</t>
  </si>
  <si>
    <t>InventoryTabs</t>
  </si>
  <si>
    <t>InventoryTab</t>
  </si>
  <si>
    <t>_Animals_AttackDog_A</t>
  </si>
  <si>
    <t>Damage_Burning</t>
  </si>
  <si>
    <t>Damage_Poisoned</t>
  </si>
  <si>
    <t>_Animals_Sea_Spider_Boss</t>
  </si>
  <si>
    <t>Equipment</t>
  </si>
  <si>
    <t>Intelligence 0</t>
  </si>
  <si>
    <t>_Animals_Spider</t>
  </si>
  <si>
    <t>_Animals_BurrowedCrab_A</t>
  </si>
  <si>
    <t>_Animals_Wolf_A_Black_StrongBoss</t>
  </si>
  <si>
    <t>Poison,15,2</t>
  </si>
  <si>
    <t>Poison,20,3</t>
  </si>
  <si>
    <t>QUEST_Jakes_Knife</t>
  </si>
  <si>
    <t>_Goblins_Ranger_A_Dagger</t>
  </si>
  <si>
    <t>_Goblins_Mage</t>
  </si>
  <si>
    <t>_Wollocks_Shaman_A</t>
  </si>
  <si>
    <t>Damage_Bleeding</t>
  </si>
  <si>
    <t>_RangedXbow_WeaponBoost</t>
  </si>
  <si>
    <t>a60feb19-fcce-4d37-a390-5d29b4bdd00f</t>
  </si>
  <si>
    <t>Drunk</t>
  </si>
  <si>
    <t>Petrified</t>
  </si>
  <si>
    <t>InfectiousDiseased</t>
  </si>
  <si>
    <t>Diseased</t>
  </si>
  <si>
    <t>Slowed</t>
  </si>
  <si>
    <t>Weak</t>
  </si>
  <si>
    <t>Cursed</t>
  </si>
  <si>
    <t>Blind</t>
  </si>
  <si>
    <t>Crippled</t>
  </si>
  <si>
    <t>Bleeding</t>
  </si>
  <si>
    <t>DrunkImmunity</t>
  </si>
  <si>
    <t>PetrifiedImmunity</t>
  </si>
  <si>
    <t>InfectiousDiseasedImmunity</t>
  </si>
  <si>
    <t>DiseasedImmunity</t>
  </si>
  <si>
    <t>SlowedImmunity</t>
  </si>
  <si>
    <t>WeakImmunity</t>
  </si>
  <si>
    <t>CursedImmunity</t>
  </si>
  <si>
    <t>BlindImmunity</t>
  </si>
  <si>
    <t>CrippledImmunity</t>
  </si>
  <si>
    <t>BleedingImmunity</t>
  </si>
  <si>
    <t>WetImmunity</t>
  </si>
  <si>
    <t>WarmImmunity</t>
  </si>
  <si>
    <t>ChilledImmunity</t>
  </si>
  <si>
    <t>BodyBuilding</t>
  </si>
  <si>
    <t>Blessed</t>
  </si>
  <si>
    <t>Fortified</t>
  </si>
  <si>
    <t>Clean</t>
  </si>
  <si>
    <t>Smelly</t>
  </si>
  <si>
    <t>Lucky</t>
  </si>
  <si>
    <t>Raged</t>
  </si>
  <si>
    <t>Hasted</t>
  </si>
  <si>
    <t>Invisible</t>
  </si>
  <si>
    <t>Warm</t>
  </si>
  <si>
    <t>Chilled</t>
  </si>
  <si>
    <t>Knockdown,35,1</t>
  </si>
  <si>
    <t>Poison,25,2</t>
  </si>
  <si>
    <t>Bleeding,20,4</t>
  </si>
  <si>
    <t>Frozen,15,1</t>
  </si>
  <si>
    <t>Stun,15,1</t>
  </si>
  <si>
    <t>Crippled,25,2</t>
  </si>
  <si>
    <t>_Cripple_WeaponBoost</t>
  </si>
  <si>
    <t>_Bleeding_WeaponBoost</t>
  </si>
  <si>
    <t>_Cripple_Large_WeaponBoost</t>
  </si>
  <si>
    <t>_Bleeding_Large_WeaponBoost</t>
  </si>
  <si>
    <t>_Petrify_WeaponBoost</t>
  </si>
  <si>
    <t>_Petrify_Large_WeaponBoost</t>
  </si>
  <si>
    <t>PetrifiedShatter</t>
  </si>
  <si>
    <t>WPN_Sword_Tenebrium_A</t>
  </si>
  <si>
    <t>_Orc_Female_Assassin</t>
  </si>
  <si>
    <t>_Orc_Female_Ranger</t>
  </si>
  <si>
    <t>_Orc_Female_Assassin_Crossbow</t>
  </si>
  <si>
    <t>Invulnerable</t>
  </si>
  <si>
    <t>VoidAura</t>
  </si>
  <si>
    <t>_Summon_Earth_Wolf</t>
  </si>
  <si>
    <t>_Summon_Earth_Bloodswarm</t>
  </si>
  <si>
    <t>_Summon_Earth_Spider</t>
  </si>
  <si>
    <t>_Summon_Source_Undead</t>
  </si>
  <si>
    <t>_Summon_Source_GreaterUndead</t>
  </si>
  <si>
    <t>Bleeding,10,2</t>
  </si>
  <si>
    <t>Source</t>
  </si>
  <si>
    <t>f503c202-c9cc-4698-936e-3385aaf358d8</t>
  </si>
  <si>
    <t>b35ed578-dffd-4474-ba46-45c9704fdb1e</t>
  </si>
  <si>
    <t>36139545-8744-4d99-83c1-657ed4a5094a</t>
  </si>
  <si>
    <t>7ce90c5b-20bf-48e0-9498-c0aa69ec1f5d</t>
  </si>
  <si>
    <t>5d9b15b3-6d9f-493a-b81a-8a08c3454146</t>
  </si>
  <si>
    <t>9728e267-a187-4a46-9bb4-5db3478e0fbf</t>
  </si>
  <si>
    <t>4d6d60f8-3daa-41ef-99c5-a4a6f1b5ea05</t>
  </si>
  <si>
    <t>c9279141-bb0d-40d5-9090-22158823fe4e</t>
  </si>
  <si>
    <t>8c79b325-6f09-4e65-af72-437ba6fe6df8</t>
  </si>
  <si>
    <t>562c8a00-78c7-490b-8d2f-7ead252c2d28</t>
  </si>
  <si>
    <t>91fb4812-2b30-4ecb-beda-9cb51b3bacd9</t>
  </si>
  <si>
    <t>fe92828f-79d3-4308-b526-80226af27141</t>
  </si>
  <si>
    <t>3e711f2e-5ca5-48a9-9ec2-9ff0a8abbab9</t>
  </si>
  <si>
    <t>8f9d4746-7401-42b2-9469-3c200efaf7a8</t>
  </si>
  <si>
    <t>3c79e509-9cf3-4102-9224-03e429b3bdd4</t>
  </si>
  <si>
    <t>34b8e721-db7f-4ff3-92c0-b661ddc0c048</t>
  </si>
  <si>
    <t>Bleeding,10,4</t>
  </si>
  <si>
    <t>Stun,10,2</t>
  </si>
  <si>
    <t>_Mute_WeaponBoost</t>
  </si>
  <si>
    <t>_Mute_Large_WeaponBoost</t>
  </si>
  <si>
    <t>Mute,15,2</t>
  </si>
  <si>
    <t>_WaterDamage_Frozen_WeaponBoost</t>
  </si>
  <si>
    <t>_WaterDamage_Large_Frozen_WeaponBoost</t>
  </si>
  <si>
    <t>Frozen,20,3</t>
  </si>
  <si>
    <t>Frozen,15,2</t>
  </si>
  <si>
    <t>_Blind_WeaponBoost</t>
  </si>
  <si>
    <t>_Blind_Large_WeaponBoost</t>
  </si>
  <si>
    <t>Blind,15,2</t>
  </si>
  <si>
    <t>_Cursed_WeaponBoost</t>
  </si>
  <si>
    <t>_Cursed_Large_WeaponBoost</t>
  </si>
  <si>
    <t>Cursed,15,2</t>
  </si>
  <si>
    <t>Cursed,25,3</t>
  </si>
  <si>
    <t>Diseased,25,3</t>
  </si>
  <si>
    <t>Diseased,15,2</t>
  </si>
  <si>
    <t>_Diseased_WeaponBoost</t>
  </si>
  <si>
    <t>_Diseased_Large_WeaponBoost</t>
  </si>
  <si>
    <t>_Animals_RoosterMechanic_B</t>
  </si>
  <si>
    <t>Dexterity 5</t>
  </si>
  <si>
    <t>Storm</t>
  </si>
  <si>
    <t>Rain</t>
  </si>
  <si>
    <t>AtmosphereType</t>
  </si>
  <si>
    <t>_CYS_Cathedral_Guardian_Sword</t>
  </si>
  <si>
    <t>_CYS_Cathedral_Guardian_Polearm</t>
  </si>
  <si>
    <t>WPN_CYS_UNI_Cathedral_Guardian_Sword</t>
  </si>
  <si>
    <t>Petrified,100,2</t>
  </si>
  <si>
    <t>_Undead_Infernal_Boss</t>
  </si>
  <si>
    <t>Burning,10,2,Knockdown,10,1</t>
  </si>
  <si>
    <t>Bleeding,25,4</t>
  </si>
  <si>
    <t>Diseased,20,4</t>
  </si>
  <si>
    <t>WPN_CraftedDagger_01</t>
  </si>
  <si>
    <t>WPN_CraftedDagger_02</t>
  </si>
  <si>
    <t>WPN_CraftedDagger_03</t>
  </si>
  <si>
    <t>WPN_CraftedDagger_04</t>
  </si>
  <si>
    <t>WPN_CraftedDagger_05</t>
  </si>
  <si>
    <t>WPN_CraftedSword_01</t>
  </si>
  <si>
    <t>WPN_CraftedSword_02</t>
  </si>
  <si>
    <t>WPN_CraftedSword_03</t>
  </si>
  <si>
    <t>WPN_CraftedSword_04</t>
  </si>
  <si>
    <t>WPN_CraftedSword_05</t>
  </si>
  <si>
    <t>Strength 6</t>
  </si>
  <si>
    <t>WPN_CraftedAxe_01</t>
  </si>
  <si>
    <t>WPN_CraftedAxe_02</t>
  </si>
  <si>
    <t>WPN_CraftedAxe_03</t>
  </si>
  <si>
    <t>WPN_CraftedAxe_04</t>
  </si>
  <si>
    <t>WPN_CraftedAxe_05</t>
  </si>
  <si>
    <t>WPN_Crafted2HAxe_02</t>
  </si>
  <si>
    <t>WPN_Crafted2HAxe_03</t>
  </si>
  <si>
    <t>WPN_Crafted2HAxe_04</t>
  </si>
  <si>
    <t>WPN_Crafted2HAxe_05</t>
  </si>
  <si>
    <t>Strength 9</t>
  </si>
  <si>
    <t>WPN_Crafted2HSword_01</t>
  </si>
  <si>
    <t>WPN_Crafted2HSword_02</t>
  </si>
  <si>
    <t>WPN_Crafted2HSword_03</t>
  </si>
  <si>
    <t>WPN_Crafted2HSword_04</t>
  </si>
  <si>
    <t>WPN_Crafted2HSword_05</t>
  </si>
  <si>
    <t>WPN_CraftedSpear_01</t>
  </si>
  <si>
    <t>WPN_CraftedSpear_02</t>
  </si>
  <si>
    <t>WPN_CraftedSpear_03</t>
  </si>
  <si>
    <t>WPN_CraftedSpear_04</t>
  </si>
  <si>
    <t>WPN_CraftedSpear_05</t>
  </si>
  <si>
    <t>Intelligence 6</t>
  </si>
  <si>
    <t>WPN_CraftedBow_01</t>
  </si>
  <si>
    <t>WPN_CraftedBow_02</t>
  </si>
  <si>
    <t>WPN_CraftedBow_03</t>
  </si>
  <si>
    <t>WPN_CraftedBow_04</t>
  </si>
  <si>
    <t>WPN_CraftedBow_05</t>
  </si>
  <si>
    <t>Dexterity 6</t>
  </si>
  <si>
    <t>WPN_CraftedCrossbow_02</t>
  </si>
  <si>
    <t>WPN_CraftedCrossbow_03</t>
  </si>
  <si>
    <t>WPN_CraftedCrossbow_04</t>
  </si>
  <si>
    <t>WPN_CraftedCrossbow_05</t>
  </si>
  <si>
    <t>_CYS_Shambling_Mound_Lava</t>
  </si>
  <si>
    <t>_CYS_Elemental_Rock_Fire</t>
  </si>
  <si>
    <t>_Undead_FireSkeleton_Sword_Shield</t>
  </si>
  <si>
    <t>_Undead_FireSkeleton_2HAxe</t>
  </si>
  <si>
    <t>_Undead_FireSkeleton_2HSword</t>
  </si>
  <si>
    <t>_Undead_FireSkeleton_Mage</t>
  </si>
  <si>
    <t>_Undead_FireSkeleton_Ranger</t>
  </si>
  <si>
    <t>Burning,10,2,Knockdown,15,1</t>
  </si>
  <si>
    <t>Burning,10,2,Crippled,15,2</t>
  </si>
  <si>
    <t>_Undead_FireSkeleton_Pikeman</t>
  </si>
  <si>
    <t>StaffWeapon</t>
  </si>
  <si>
    <t>WPN_CraftedQuarterstaff_01_Earth</t>
  </si>
  <si>
    <t>WPN_CraftedQuarterstaff_01_Fire</t>
  </si>
  <si>
    <t>WPN_CraftedQuarterstaff_01_Air</t>
  </si>
  <si>
    <t>WPN_CraftedQuarterstaff_01_Water</t>
  </si>
  <si>
    <t>WPN_CraftedQuarterstaff_02_Earth</t>
  </si>
  <si>
    <t>WPN_CraftedQuarterstaff_02_Air</t>
  </si>
  <si>
    <t>WPN_CraftedQuarterstaff_02_Fire</t>
  </si>
  <si>
    <t>WPN_CraftedQuarterstaff_02_Water</t>
  </si>
  <si>
    <t>WPN_CraftedQuarterstaff_03_Earth</t>
  </si>
  <si>
    <t>WPN_CraftedQuarterstaff_03_Air</t>
  </si>
  <si>
    <t>WPN_CraftedQuarterstaff_03_Fire</t>
  </si>
  <si>
    <t>WPN_CraftedQuarterstaff_03_Water</t>
  </si>
  <si>
    <t>WPN_CraftedQuarterstaff_04_Earth</t>
  </si>
  <si>
    <t>WPN_CraftedQuarterstaff_04_Air</t>
  </si>
  <si>
    <t>WPN_CraftedQuarterstaff_04_Fire</t>
  </si>
  <si>
    <t>WPN_CraftedQuarterstaff_04_Water</t>
  </si>
  <si>
    <t>WPN_Quarterstaff_Earth</t>
  </si>
  <si>
    <t>WPN_Quarterstaff_Air</t>
  </si>
  <si>
    <t>WPN_Quarterstaff_Fire</t>
  </si>
  <si>
    <t>WPN_Quarterstaff_Water</t>
  </si>
  <si>
    <t>WPN_Quarterstaff_Sourcehunter_Earth</t>
  </si>
  <si>
    <t>WPN_Quarterstaff_Sourcehunter_Air</t>
  </si>
  <si>
    <t>WPN_Quarterstaff_Sourcehunter_Fire</t>
  </si>
  <si>
    <t>WPN_Quarterstaff_Sourcehunter_Water</t>
  </si>
  <si>
    <t>Frozen,10,2</t>
  </si>
  <si>
    <t>Knockdown,10,2</t>
  </si>
  <si>
    <t>WPN_Orcs_Shaman_Staff_A_Fighting_Staff_Earth</t>
  </si>
  <si>
    <t>WPN_Quarterstaff_B_Earth</t>
  </si>
  <si>
    <t>WPN_Quarterstaff_C_Earth</t>
  </si>
  <si>
    <t>WPN_Quarterstaff_D_Earth</t>
  </si>
  <si>
    <t>WPN_Quarterstaff_F_Earth</t>
  </si>
  <si>
    <t>WPN_Quarterstaff_G_Earth</t>
  </si>
  <si>
    <t>WPN_Goblins_Staff_A_BlueGlowStaff_Earth</t>
  </si>
  <si>
    <t>WPN_Goblins_Staff_A_BlueGlowStaff_B_Earth</t>
  </si>
  <si>
    <t>WPN_Quarterstaff_E_Earth</t>
  </si>
  <si>
    <t>WPN_Quarterstaff_H_Earth</t>
  </si>
  <si>
    <t>WPN_Wollocks_Staff_A_SkullHorns_Earth</t>
  </si>
  <si>
    <t>WPN_Quarterstaff_I_Earth</t>
  </si>
  <si>
    <t>WPN_Cyclops_Staff_B_Fighting_Staff_Earth</t>
  </si>
  <si>
    <t>WPN_Quarterstaff_J_Earth</t>
  </si>
  <si>
    <t>WPN_Quarterstaff_K_Earth</t>
  </si>
  <si>
    <t>WPN_Quarterstaff_L_Earth</t>
  </si>
  <si>
    <t>WPN_Quarterstaff_M_Earth</t>
  </si>
  <si>
    <t>WPN_Quarterstaff_N_Earth</t>
  </si>
  <si>
    <t>WPN_Quarterstaff_O_Earth</t>
  </si>
  <si>
    <t>WPN_Orcs_Shaman_Staff_A_Fighting_Staff_Air</t>
  </si>
  <si>
    <t>WPN_Quarterstaff_B_Air</t>
  </si>
  <si>
    <t>WPN_Quarterstaff_C_Air</t>
  </si>
  <si>
    <t>WPN_Quarterstaff_D_Air</t>
  </si>
  <si>
    <t>WPN_Quarterstaff_F_Air</t>
  </si>
  <si>
    <t>WPN_Quarterstaff_G_Air</t>
  </si>
  <si>
    <t>WPN_Goblins_Staff_A_BlueGlowStaff_Air</t>
  </si>
  <si>
    <t>WPN_Goblins_Staff_A_BlueGlowStaff_B_Air</t>
  </si>
  <si>
    <t>WPN_Quarterstaff_E_Air</t>
  </si>
  <si>
    <t>WPN_Quarterstaff_H_Air</t>
  </si>
  <si>
    <t>WPN_Wollocks_Staff_A_SkullHorns_Air</t>
  </si>
  <si>
    <t>WPN_Quarterstaff_I_Air</t>
  </si>
  <si>
    <t>WPN_Cyclops_Staff_B_Fighting_Staff_Air</t>
  </si>
  <si>
    <t>WPN_Quarterstaff_J_Air</t>
  </si>
  <si>
    <t>WPN_Quarterstaff_K_Air</t>
  </si>
  <si>
    <t>WPN_Quarterstaff_L_Air</t>
  </si>
  <si>
    <t>WPN_Quarterstaff_M_Air</t>
  </si>
  <si>
    <t>WPN_Quarterstaff_N_Air</t>
  </si>
  <si>
    <t>WPN_Quarterstaff_O_Air</t>
  </si>
  <si>
    <t>WPN_Orcs_Shaman_Staff_A_Fighting_Staff_Fire</t>
  </si>
  <si>
    <t>WPN_Quarterstaff_B_Fire</t>
  </si>
  <si>
    <t>WPN_Quarterstaff_C_Fire</t>
  </si>
  <si>
    <t>WPN_Quarterstaff_D_Fire</t>
  </si>
  <si>
    <t>WPN_Quarterstaff_F_Fire</t>
  </si>
  <si>
    <t>WPN_Quarterstaff_G_Fire</t>
  </si>
  <si>
    <t>WPN_Goblins_Staff_A_BlueGlowStaff_Fire</t>
  </si>
  <si>
    <t>WPN_Goblins_Staff_A_BlueGlowStaff_B_Fire</t>
  </si>
  <si>
    <t>WPN_Quarterstaff_E_Fire</t>
  </si>
  <si>
    <t>WPN_Quarterstaff_H_Fire</t>
  </si>
  <si>
    <t>WPN_Wollocks_Staff_A_SkullHorns_Fire</t>
  </si>
  <si>
    <t>WPN_Quarterstaff_I_Fire</t>
  </si>
  <si>
    <t>WPN_Cyclops_Staff_B_Fighting_Staff_Fire</t>
  </si>
  <si>
    <t>WPN_Quarterstaff_J_Fire</t>
  </si>
  <si>
    <t>WPN_Quarterstaff_K_Fire</t>
  </si>
  <si>
    <t>WPN_Quarterstaff_L_Fire</t>
  </si>
  <si>
    <t>WPN_Quarterstaff_M_Fire</t>
  </si>
  <si>
    <t>WPN_Quarterstaff_N_Fire</t>
  </si>
  <si>
    <t>WPN_Quarterstaff_O_Fire</t>
  </si>
  <si>
    <t>WPN_Orcs_Shaman_Staff_A_Fighting_Staff_Water</t>
  </si>
  <si>
    <t>WPN_Quarterstaff_B_Water</t>
  </si>
  <si>
    <t>WPN_Quarterstaff_C_Water</t>
  </si>
  <si>
    <t>WPN_Quarterstaff_D_Water</t>
  </si>
  <si>
    <t>WPN_Quarterstaff_F_Water</t>
  </si>
  <si>
    <t>WPN_Quarterstaff_G_Water</t>
  </si>
  <si>
    <t>WPN_Goblins_Staff_A_BlueGlowStaff_Water</t>
  </si>
  <si>
    <t>WPN_Goblins_Staff_A_BlueGlowStaff_B_Water</t>
  </si>
  <si>
    <t>WPN_Quarterstaff_E_Water</t>
  </si>
  <si>
    <t>WPN_Quarterstaff_H_Water</t>
  </si>
  <si>
    <t>WPN_Wollocks_Staff_A_SkullHorns_Water</t>
  </si>
  <si>
    <t>WPN_Quarterstaff_I_Water</t>
  </si>
  <si>
    <t>WPN_Cyclops_Staff_B_Fighting_Staff_Water</t>
  </si>
  <si>
    <t>WPN_Quarterstaff_J_Water</t>
  </si>
  <si>
    <t>WPN_Quarterstaff_K_Water</t>
  </si>
  <si>
    <t>WPN_Quarterstaff_L_Water</t>
  </si>
  <si>
    <t>WPN_Quarterstaff_M_Water</t>
  </si>
  <si>
    <t>WPN_Quarterstaff_N_Water</t>
  </si>
  <si>
    <t>WPN_Quarterstaff_O_Water</t>
  </si>
  <si>
    <t>DamageSurface_Fire</t>
  </si>
  <si>
    <t>DamageSurface_Ooze</t>
  </si>
  <si>
    <t>DamageSurface_Lava</t>
  </si>
  <si>
    <t>DamageSurface_CloudPoison</t>
  </si>
  <si>
    <t>DamageSurface_CloudExplosion</t>
  </si>
  <si>
    <t>_Undead_SkeletonKing_Ranger</t>
  </si>
  <si>
    <t>LockPicking</t>
  </si>
  <si>
    <t>PickPocket</t>
  </si>
  <si>
    <t>Diseased,35,4</t>
  </si>
  <si>
    <t>WPN_UNI_FearfulSword</t>
  </si>
  <si>
    <t>Legendary</t>
  </si>
  <si>
    <t>Large</t>
  </si>
  <si>
    <t>Normal</t>
  </si>
  <si>
    <t>Small</t>
  </si>
  <si>
    <t>ItemCombo</t>
  </si>
  <si>
    <t>BoostType</t>
  </si>
  <si>
    <t>Items below are not exported, they are only used for auto complete.</t>
  </si>
  <si>
    <t>Rare</t>
  </si>
  <si>
    <t>Common</t>
  </si>
  <si>
    <t>ItemType</t>
  </si>
  <si>
    <t>DamageFromBase</t>
  </si>
  <si>
    <t>Boosts</t>
  </si>
  <si>
    <t>Flags</t>
  </si>
  <si>
    <t>Robe</t>
  </si>
  <si>
    <t>Plate</t>
  </si>
  <si>
    <t>Mail</t>
  </si>
  <si>
    <t>Leather</t>
  </si>
  <si>
    <t>Cloth</t>
  </si>
  <si>
    <t>ArmorType</t>
  </si>
  <si>
    <t>Unbreakable</t>
  </si>
  <si>
    <t>ChillContact</t>
  </si>
  <si>
    <t>Knockdown,10,1</t>
  </si>
  <si>
    <t>WPN_Luculla_Prostitute_Guitar</t>
  </si>
  <si>
    <t>WPN_Luculla_Prostitute_Dagger</t>
  </si>
  <si>
    <t>WPN_Luculla_Prostitute_Pen</t>
  </si>
  <si>
    <t>WPN_Luculla_Prostitute_Broom</t>
  </si>
  <si>
    <t>WPN_Luculla_Prostitute_Stick</t>
  </si>
  <si>
    <t>WPN_Luculla_Prostitute_Log</t>
  </si>
  <si>
    <t>WPN_Luculla_Prostitute_Sword</t>
  </si>
  <si>
    <t>Bleeding,10,1</t>
  </si>
  <si>
    <t>e814d020-4273-4564-9122-a4252bf41912</t>
  </si>
  <si>
    <t>3a1e0ab3-0b01-4de0-8432-9a76392349da</t>
  </si>
  <si>
    <t>ffa49cdf-565d-4b89-ba29-c4feefdae3fa</t>
  </si>
  <si>
    <t>3b057cee-04d0-4ba9-9f28-aee0f3efc01b</t>
  </si>
  <si>
    <t>05145c28-5fab-435a-94c7-411c9f1703ee</t>
  </si>
  <si>
    <t>777a1a4d-2a3f-450c-bdf1-f0ca66f1b910</t>
  </si>
  <si>
    <t>4dd3ac02-388c-416f-b34e-4a4e62efc2a8</t>
  </si>
  <si>
    <t>Party</t>
  </si>
  <si>
    <t>_Animals_RatMechanic_Alpha</t>
  </si>
  <si>
    <t>_Animals_RatMechanic_Beta</t>
  </si>
  <si>
    <t>Chilled,20,2</t>
  </si>
  <si>
    <t>Crippled,20,2</t>
  </si>
  <si>
    <t>Diseased,20,2</t>
  </si>
  <si>
    <t>Bleeding,20,2</t>
  </si>
  <si>
    <t>Charm,15,1</t>
  </si>
  <si>
    <t>Bleeding,15,2</t>
  </si>
  <si>
    <t>Poison,10,2</t>
  </si>
  <si>
    <t>Petrified,10,1</t>
  </si>
  <si>
    <t>Burning,15,2</t>
  </si>
  <si>
    <t>Knockdown,30,2</t>
  </si>
  <si>
    <t>Bleeding,15,4</t>
  </si>
  <si>
    <t>Crippled,15,2</t>
  </si>
  <si>
    <t>Bleeding,10,3</t>
  </si>
  <si>
    <t>InfectiousDiseased,20,10</t>
  </si>
  <si>
    <t>Fear,50,3</t>
  </si>
  <si>
    <t>OnAttackOfOpportunity</t>
  </si>
  <si>
    <t>DaggerWeapon</t>
  </si>
  <si>
    <t>Rogue</t>
  </si>
  <si>
    <t>_Orc_Female_RangerBoss</t>
  </si>
  <si>
    <t>Poison,25,1</t>
  </si>
  <si>
    <t>Bleeding,20,1</t>
  </si>
  <si>
    <t>3b67026b-390e-4592-9bd7-9a7b5f1b9fe1</t>
  </si>
  <si>
    <t>c5e49a4f-6187-4c8e-8f97-132cf3d73f03</t>
  </si>
  <si>
    <t>1301e9c6-e6b1-4698-bc9c-bdb7cddcd014</t>
  </si>
  <si>
    <t>f880c20e-5963-4f2c-962d-24923c03df2f</t>
  </si>
  <si>
    <t>1b6b6f74-b0cf-4411-9e66-62d859206e99</t>
  </si>
  <si>
    <t>WPN_Estoc_B</t>
  </si>
  <si>
    <t>Strength 5</t>
  </si>
  <si>
    <t>_Story_Specific</t>
  </si>
  <si>
    <t>66ec763c-9ba4-4b55-a6b9-2300170f8bab</t>
  </si>
  <si>
    <t>0b442f69-1f73-445a-9910-f77dbc42bd91</t>
  </si>
  <si>
    <t>WPN_Goblins_Sword_A_B</t>
  </si>
  <si>
    <t>WPN_Cyclops_Sword_B</t>
  </si>
  <si>
    <t>WPN_Cyclops_Sword_C</t>
  </si>
  <si>
    <t>WPN_Goblins_Sword_B_B</t>
  </si>
  <si>
    <t>2a90d887-3b60-401c-9387-1f0567f95909</t>
  </si>
  <si>
    <t>1882e54b-a3ff-45e1-8c28-241ede2211a2</t>
  </si>
  <si>
    <t>WPN_DarkMinions_BigSword_B</t>
  </si>
  <si>
    <t>WPN_DarkMinions_BigSword_C</t>
  </si>
  <si>
    <t>3bbf4a9b-42b2-4310-80a4-47b5b210c19e</t>
  </si>
  <si>
    <t>WPN_DarkMinions_SingleAxe_B</t>
  </si>
  <si>
    <t>WPN_DarkMinions_DoubleAxe_B</t>
  </si>
  <si>
    <t>WPN_Axe_B_1_Cleaver_D</t>
  </si>
  <si>
    <t>WPN_Axe_A_1_Axe_C</t>
  </si>
  <si>
    <t>ef3685c5-60ac-4b3f-a9d3-bd833a69b5fd</t>
  </si>
  <si>
    <t>be9afc41-f215-4dc8-af09-4616b44f7ec7</t>
  </si>
  <si>
    <t>c8a41561-6a66-4bc0-bf40-4819aa19ae23</t>
  </si>
  <si>
    <t>12eca508-6789-4f82-ba41-1ad92312a2bb</t>
  </si>
  <si>
    <t>5be28fa9-6973-4a16-9b27-b2dd16abfdd1</t>
  </si>
  <si>
    <t>WPN_Human_Normal_WarHammer_B_A</t>
  </si>
  <si>
    <t>33c5f641-97de-48ad-8f0a-aa6c82837575</t>
  </si>
  <si>
    <t>b3958fb6-ab1e-497d-b11c-87341f0c2f05</t>
  </si>
  <si>
    <t>WPN_Glaive_2H_C</t>
  </si>
  <si>
    <t>WPN_PoleCleaver_2H_C</t>
  </si>
  <si>
    <t>WPN_Fauchard_2H_B</t>
  </si>
  <si>
    <t>WPN_Human_Normal_Scythe_C</t>
  </si>
  <si>
    <t>WPN_Cyclops_Staff_A_Scythe_B</t>
  </si>
  <si>
    <t>WPN_Flammenschwert_C</t>
  </si>
  <si>
    <t>WPN_Flammenschwert_D</t>
  </si>
  <si>
    <t>WPN_HeadingSword2H_C</t>
  </si>
  <si>
    <t>WPN_Claymore_2H_H</t>
  </si>
  <si>
    <t>4b38890e-35ca-474d-b009-4cd73687cc46</t>
  </si>
  <si>
    <t>WPN_Lance_B</t>
  </si>
  <si>
    <t>WPN_Imps_2H_Spear_B</t>
  </si>
  <si>
    <t>WPN_Trident_B</t>
  </si>
  <si>
    <t>WPN_Lance_C</t>
  </si>
  <si>
    <t>WPN_Trident_C</t>
  </si>
  <si>
    <t>9445e2e6-8fb5-46bf-a885-5c36c75a42fe</t>
  </si>
  <si>
    <t>f1340cc6-4fb2-4caf-a965-ee3eeff8c1ec</t>
  </si>
  <si>
    <t>WPN_Icara_Staff_A</t>
  </si>
  <si>
    <t>WPN_Leandra_Staff_A</t>
  </si>
  <si>
    <t>5b4717bf-e938-47fa-a6db-dc70ac1ac9cf</t>
  </si>
  <si>
    <t>5bf7c1ea-e915-46c2-af9d-89b7e706c246</t>
  </si>
  <si>
    <t>WPN_StandardIssueBow_C</t>
  </si>
  <si>
    <t>WPN_Arbalest_D</t>
  </si>
  <si>
    <t>WPN_Arbalest_E</t>
  </si>
  <si>
    <t>WPN_Arbalest_F</t>
  </si>
  <si>
    <t>WPN_Arbalest_G</t>
  </si>
  <si>
    <t>WPN_Arbalest_H</t>
  </si>
  <si>
    <t>WPN_Arbalest_I</t>
  </si>
  <si>
    <t>VariousPotion</t>
  </si>
  <si>
    <t>StatPotion</t>
  </si>
  <si>
    <t>SkillbookWitchcraft</t>
  </si>
  <si>
    <t>SkillbookWater</t>
  </si>
  <si>
    <t>SkillbookWarrior</t>
  </si>
  <si>
    <t>SkillbookRogue</t>
  </si>
  <si>
    <t>SkillbookRanger</t>
  </si>
  <si>
    <t>SkillbookFire</t>
  </si>
  <si>
    <t>SkillbookEarth</t>
  </si>
  <si>
    <t>SkillbookAir</t>
  </si>
  <si>
    <t>Shoe</t>
  </si>
  <si>
    <t>Scroll</t>
  </si>
  <si>
    <t>Precious</t>
  </si>
  <si>
    <t>MetalArmor</t>
  </si>
  <si>
    <t>LeatherArmor</t>
  </si>
  <si>
    <t>HelmetMetal</t>
  </si>
  <si>
    <t>HealingPotion</t>
  </si>
  <si>
    <t>GoldBig</t>
  </si>
  <si>
    <t>Gold</t>
  </si>
  <si>
    <t>Glove</t>
  </si>
  <si>
    <t>Garment</t>
  </si>
  <si>
    <t>Drink</t>
  </si>
  <si>
    <t>ClothArmor</t>
  </si>
  <si>
    <t>ChainArmor</t>
  </si>
  <si>
    <t>Book</t>
  </si>
  <si>
    <t>ArrowIngredient</t>
  </si>
  <si>
    <t>TreasureCategory</t>
  </si>
  <si>
    <t>MinLevel</t>
  </si>
  <si>
    <t>MaxLevel</t>
  </si>
  <si>
    <t>Trader Gold</t>
  </si>
  <si>
    <t>T_ST_WeaponWizardRare</t>
  </si>
  <si>
    <t>T_ST_WeaponWizardNormal</t>
  </si>
  <si>
    <t>T_ST_WeaponWizardMagic</t>
  </si>
  <si>
    <t>T_ST_WeaponWizardLegendary</t>
  </si>
  <si>
    <t>T_ST_WeaponRogueTrader</t>
  </si>
  <si>
    <t>T_ST_WeaponRare</t>
  </si>
  <si>
    <t>T_ST_WeaponRangerRare</t>
  </si>
  <si>
    <t>T_ST_WeaponRangerNormal</t>
  </si>
  <si>
    <t>T_ST_WeaponRangerMagic</t>
  </si>
  <si>
    <t>T_ST_WeaponRangerLegendary</t>
  </si>
  <si>
    <t>T_ST_WeaponNormal</t>
  </si>
  <si>
    <t>T_ST_WeaponMagicTrader</t>
  </si>
  <si>
    <t>T_ST_WeaponMagic</t>
  </si>
  <si>
    <t>T_ST_WeaponLegendary</t>
  </si>
  <si>
    <t>T_ST_WeaponGenTrader</t>
  </si>
  <si>
    <t>T_ST_WeaponFighterTrader</t>
  </si>
  <si>
    <t>T_ST_WeaponFighterRare</t>
  </si>
  <si>
    <t>T_ST_WeaponFighterNormal</t>
  </si>
  <si>
    <t>T_ST_WeaponFighterMagic</t>
  </si>
  <si>
    <t>T_ST_WeaponFighterLegendary</t>
  </si>
  <si>
    <t>T_ST_WeaponArcherTrader</t>
  </si>
  <si>
    <t>T_ST_TavernKeepNPC</t>
  </si>
  <si>
    <t>T_ST_Skillbook</t>
  </si>
  <si>
    <t>T_ST_SecGearWizardNormal</t>
  </si>
  <si>
    <t>T_ST_SecGearRogueTrader</t>
  </si>
  <si>
    <t>T_ST_SecGearRare</t>
  </si>
  <si>
    <t>T_ST_SecGearRangerNormal</t>
  </si>
  <si>
    <t>T_ST_SecGearNormal</t>
  </si>
  <si>
    <t>T_ST_SecGearMagicTrader</t>
  </si>
  <si>
    <t>T_ST_SecGearMagic</t>
  </si>
  <si>
    <t>T_ST_SecGearLegendary</t>
  </si>
  <si>
    <t>T_ST_SecGearGenTrader</t>
  </si>
  <si>
    <t>T_ST_SecGearFighterTrader</t>
  </si>
  <si>
    <t>T_ST_SecGearFighterNormal</t>
  </si>
  <si>
    <t>T_ST_SecGearArcherTrader</t>
  </si>
  <si>
    <t>T_ST_RandomLootSuper</t>
  </si>
  <si>
    <t>T_ST_RandomLootJunk</t>
  </si>
  <si>
    <t>T_ST_RandomLoot</t>
  </si>
  <si>
    <t>T_ST_PotionsTrader</t>
  </si>
  <si>
    <t>T_ST_IngredientsTrader</t>
  </si>
  <si>
    <t>T_ST_ArrowArcherTrader</t>
  </si>
  <si>
    <t>T_ST_ArmorWizardRare</t>
  </si>
  <si>
    <t>T_ST_ArmorWizardNormal</t>
  </si>
  <si>
    <t>T_ST_ArmorWizardMagic</t>
  </si>
  <si>
    <t>T_ST_ArmorWizardLegendary</t>
  </si>
  <si>
    <t>T_ST_ArmorRogueTrader</t>
  </si>
  <si>
    <t>T_ST_ArmorRare</t>
  </si>
  <si>
    <t>T_ST_ArmorNormal</t>
  </si>
  <si>
    <t>T_ST_ArmorMagicTrader</t>
  </si>
  <si>
    <t>T_ST_ArmorMagic</t>
  </si>
  <si>
    <t>T_ST_ArmorLegendary</t>
  </si>
  <si>
    <t>T_ST_ArmorGenTrader</t>
  </si>
  <si>
    <t>T_ST_ArmorFighterTrader</t>
  </si>
  <si>
    <t>T_ST_ArmorFighterRangerRare</t>
  </si>
  <si>
    <t>T_ST_ArmorFighterRangerNormal</t>
  </si>
  <si>
    <t>T_ST_ArmorFighterRangerMagic</t>
  </si>
  <si>
    <t>T_ST_ArmorFighterRangerLegendary</t>
  </si>
  <si>
    <t>T_ST_ArmorArcherTrader</t>
  </si>
  <si>
    <t>T_ST_AllPotions</t>
  </si>
  <si>
    <t>_WPN_Undead_2H_Axe_Braccus_A</t>
  </si>
  <si>
    <t>_Undead_Skeleton_Grunt_MageWeakFire</t>
  </si>
  <si>
    <t>_Undead_Skeleton_Grunt_MageNormalFire</t>
  </si>
  <si>
    <t>_Undead_Skeleton_Grunt_MageStrongFire</t>
  </si>
  <si>
    <t>_Undead_Skeleton_Grunt_MageWeakWater</t>
  </si>
  <si>
    <t>_Undead_Skeleton_Grunt_MageNormalWater</t>
  </si>
  <si>
    <t>_Undead_Skeleton_Grunt_MageStrongWater</t>
  </si>
  <si>
    <t>_Undead_Skeleton_Grunt_MageWeakAir</t>
  </si>
  <si>
    <t>_Undead_Skeleton_Grunt_MageNormalAir</t>
  </si>
  <si>
    <t>_Undead_Skeleton_Grunt_MageStrongAir</t>
  </si>
  <si>
    <t>_Undead_Skeleton_Grunt_MageWeakEarth</t>
  </si>
  <si>
    <t>_Undead_Skeleton_Grunt_MageNormalEarth</t>
  </si>
  <si>
    <t>_Undead_Skeleton_Grunt_MageStrongEarth</t>
  </si>
  <si>
    <t>_GEN_Bodyguard</t>
  </si>
  <si>
    <t>Knockdown,5,2</t>
  </si>
  <si>
    <t>Skills</t>
  </si>
  <si>
    <t>Heal</t>
  </si>
  <si>
    <t>Unrepairable</t>
  </si>
  <si>
    <t>_Weapon_Boost_Unbreakable</t>
  </si>
  <si>
    <t>_Summon_Rock_Fire</t>
  </si>
  <si>
    <t>_Summon_Rock_Ice</t>
  </si>
  <si>
    <t>_Summon_Rock_Air</t>
  </si>
  <si>
    <t>_Summon_Rock_Earth</t>
  </si>
  <si>
    <t>ItemColor</t>
  </si>
  <si>
    <t>_Animals_Spider_Poison</t>
  </si>
  <si>
    <t>1951fa0b-295e-45ce-b5b6-342527adc471</t>
  </si>
  <si>
    <t>WPN_Orcs_Warrior_Sword_A</t>
  </si>
  <si>
    <t>b3c8549a-2245-4e38-b2fd-e6975547c250</t>
  </si>
  <si>
    <t>_Animals_Wolf_Blind</t>
  </si>
  <si>
    <t>_Animals_Wolf_Fear</t>
  </si>
  <si>
    <t>_Animals_Wolf_Freeze</t>
  </si>
  <si>
    <t>_Animals_Wolf_Disease</t>
  </si>
  <si>
    <t>Frozen,20,2</t>
  </si>
  <si>
    <t>Fear,20,2</t>
  </si>
  <si>
    <t>Blind,20,2</t>
  </si>
  <si>
    <t>Bleeding,5,2</t>
  </si>
  <si>
    <t>Poison,10,3</t>
  </si>
  <si>
    <t>b0a8ff96-eb0e-4610-8373-9ac373b96983</t>
  </si>
  <si>
    <t>_Trolls_DarkForest</t>
  </si>
  <si>
    <t>deba8ddf-00ad-4271-bf85-1256c0b6ff16</t>
  </si>
  <si>
    <t>Venom Stone</t>
  </si>
  <si>
    <t>Red Ore</t>
  </si>
  <si>
    <t>Pure Mythril</t>
  </si>
  <si>
    <t>Mercury</t>
  </si>
  <si>
    <t>Malachite</t>
  </si>
  <si>
    <t>Limonite</t>
  </si>
  <si>
    <t>Droxlerite</t>
  </si>
  <si>
    <t>Cobalt</t>
  </si>
  <si>
    <t>Chalcocite</t>
  </si>
  <si>
    <t>Burnished Bronze</t>
  </si>
  <si>
    <t>Autunite</t>
  </si>
  <si>
    <t>Burning,10,1;Knockdown,10,2</t>
  </si>
  <si>
    <t>InfectiousDiseased,15,2</t>
  </si>
  <si>
    <t>_Animals_Cat_Slain_A</t>
  </si>
  <si>
    <t>ed976218-7d0a-433b-9cdb-c05859d428f4</t>
  </si>
  <si>
    <t>_Enemy_Boost_WaterDamage</t>
  </si>
  <si>
    <t>_Enemy_Boost_FireDamage</t>
  </si>
  <si>
    <t>_Enemy_Boost_EarthDamage</t>
  </si>
  <si>
    <t>_Enemy_Boost_AirDamage</t>
  </si>
  <si>
    <t>Tenebrium</t>
  </si>
  <si>
    <t>Wall_Ice</t>
  </si>
  <si>
    <t>_HOM_Icara_Staff</t>
  </si>
  <si>
    <t>_GEN_Leandra_Staff</t>
  </si>
  <si>
    <t>_GEN_Zandalor_Sword</t>
  </si>
  <si>
    <t>6267651e-76df-4a3c-9ce6-348bedc1c7d9</t>
  </si>
  <si>
    <t>Strength 7</t>
  </si>
  <si>
    <t>_Orc_Shaman_Strong2</t>
  </si>
  <si>
    <t>SlippingImmunity</t>
  </si>
  <si>
    <t>_Enemy_Boost_BlackrockDamage</t>
  </si>
  <si>
    <t>_Player_Boost_BlackrockDamage</t>
  </si>
  <si>
    <t>WPN_Blackrock_DaggerPush_A</t>
  </si>
  <si>
    <t>WPN_Blackrock_DaggerPush_B</t>
  </si>
  <si>
    <t>WPN_Blackrock_DaggerPush_C</t>
  </si>
  <si>
    <t>WPN_Blackrock_DaggerPush_D</t>
  </si>
  <si>
    <t>WPN_Blackrock_DaggerPush_E</t>
  </si>
  <si>
    <t>WPN_Blackrock_DaggerPush_F</t>
  </si>
  <si>
    <t>WPN_Blackrock_DaggerPush_G</t>
  </si>
  <si>
    <t>f07caeb5-6ee9-4606-9dcd-2fbace3eb081</t>
  </si>
  <si>
    <t>feaa87ca-e6ea-40ce-a097-a63fa7634c10</t>
  </si>
  <si>
    <t>WPN_Sword_Tenebrium_B</t>
  </si>
  <si>
    <t>WPN_Sword_Tenebrium_C</t>
  </si>
  <si>
    <t>WPN_Sword_Tenebrium_D</t>
  </si>
  <si>
    <t>WPN_Sword_Tenebrium_E</t>
  </si>
  <si>
    <t>WPN_Sword_Tenebrium_F</t>
  </si>
  <si>
    <t>WPN_Sword_Tenebrium_G</t>
  </si>
  <si>
    <t>4c2d0965-5f71-4d62-8e12-a75a37dd62d2</t>
  </si>
  <si>
    <t>WPN_Blackrock_Axe_A</t>
  </si>
  <si>
    <t>WPN_Blackrock_Axe_B</t>
  </si>
  <si>
    <t>WPN_Blackrock_Axe_C</t>
  </si>
  <si>
    <t>WPN_Blackrock_Axe_D</t>
  </si>
  <si>
    <t>WPN_Blackrock_Axe_E</t>
  </si>
  <si>
    <t>WPN_Blackrock_Axe_F</t>
  </si>
  <si>
    <t>WPN_Blackrock_Axe_G</t>
  </si>
  <si>
    <t>WPN_Blackrock_Hammer_A</t>
  </si>
  <si>
    <t>WPN_Blackrock_Hammer_B</t>
  </si>
  <si>
    <t>WPN_Blackrock_Hammer_C</t>
  </si>
  <si>
    <t>WPN_Blackrock_Hammer_D</t>
  </si>
  <si>
    <t>WPN_Blackrock_Hammer_E</t>
  </si>
  <si>
    <t>WPN_Blackrock_Hammer_F</t>
  </si>
  <si>
    <t>WPN_Blackrock_Hammer_G</t>
  </si>
  <si>
    <t>dece3169-6659-43a7-abac-2fac6708fa8f</t>
  </si>
  <si>
    <t>d674f267-f7f5-42a8-b8a5-9638d219825c</t>
  </si>
  <si>
    <t>WPN_Blackrock_2H_Axe_A</t>
  </si>
  <si>
    <t>WPN_Blackrock_2H_Axe_B</t>
  </si>
  <si>
    <t>WPN_Blackrock_2H_Axe_C</t>
  </si>
  <si>
    <t>5204df98-54c7-488d-a598-209873b935eb</t>
  </si>
  <si>
    <t>5b4fb7b4-cb2f-438e-9738-3f19f87ade79</t>
  </si>
  <si>
    <t>WPN_Blackrock_2H_Spear_A</t>
  </si>
  <si>
    <t>WPN_Blackrock_2H_Spear_B</t>
  </si>
  <si>
    <t>WPN_Blackrock_2H_Spear_C</t>
  </si>
  <si>
    <t>WPN_Blackrock_2H_Spear_D</t>
  </si>
  <si>
    <t>WPN_Blackrock_2H_Spear_E</t>
  </si>
  <si>
    <t>WPN_Blackrock_2H_Spear_F</t>
  </si>
  <si>
    <t>WPN_Blackrock_2H_Spear_G</t>
  </si>
  <si>
    <t>cbb31cab-dc07-4268-abb2-bc221634de12</t>
  </si>
  <si>
    <t>WPN_Blackrock_Scythe_A</t>
  </si>
  <si>
    <t>WPN_Blackrock_Scythe_B</t>
  </si>
  <si>
    <t>WPN_Blackrock_Scythe_C</t>
  </si>
  <si>
    <t>WPN_Blackrock_Scythe_D</t>
  </si>
  <si>
    <t>WPN_Blackrock_2H_Sword_A</t>
  </si>
  <si>
    <t>WPN_Blackrock_2H_Sword_B</t>
  </si>
  <si>
    <t>WPN_Blackrock_2H_Sword_C</t>
  </si>
  <si>
    <t>WPN_Blackrock_2H_Sword_D</t>
  </si>
  <si>
    <t>WPN_Blackrock_2H_Sword_E</t>
  </si>
  <si>
    <t>WPN_Blackrock_2H_Sword_F</t>
  </si>
  <si>
    <t>WPN_Blackrock_2H_Sword_G</t>
  </si>
  <si>
    <t>WPN_Blackrock_Bow_A</t>
  </si>
  <si>
    <t>WPN_Blackrock_Bow_B</t>
  </si>
  <si>
    <t>WPN_Blackrock_Bow_C</t>
  </si>
  <si>
    <t>WPN_Blackrock_Bow_D</t>
  </si>
  <si>
    <t>WPN_Blackrock_Bow_E</t>
  </si>
  <si>
    <t>WPN_Blackrock_Bow_F</t>
  </si>
  <si>
    <t>WPN_Blackrock_Bow_G</t>
  </si>
  <si>
    <t>d4356349-497e-4be6-a7a9-2c7c9da36414</t>
  </si>
  <si>
    <t>f051be26-b6c2-46ab-99ed-38c37bdb2f9c</t>
  </si>
  <si>
    <t>WPN_Blackrock_Crossbow_A</t>
  </si>
  <si>
    <t>WPN_Blackrock_Crossbow_B</t>
  </si>
  <si>
    <t>WPN_Blackrock_Crossbow_C</t>
  </si>
  <si>
    <t>WPN_Blackrock_Crossbow_D</t>
  </si>
  <si>
    <t>WPN_Blackrock_Crossbow_E</t>
  </si>
  <si>
    <t>WPN_Blackrock_Crossbow_F</t>
  </si>
  <si>
    <t>WPN_Blackrock_Crossbow_G</t>
  </si>
  <si>
    <t>WPN_Blackrock_2H_Hammer_A</t>
  </si>
  <si>
    <t>07de2e3e-28a4-45e4-b74d-11ef83bc468b</t>
  </si>
  <si>
    <t>WPN_Blackrock_2H_Hammer_B</t>
  </si>
  <si>
    <t>WPN_Blackrock_2H_Hammer_C</t>
  </si>
  <si>
    <t>WPN_Blackrock_2H_Hammer_D</t>
  </si>
  <si>
    <t>WPN_Blackrock_2H_Hammer_E</t>
  </si>
  <si>
    <t>FUR_Rich_Knife_B</t>
  </si>
  <si>
    <t>FUR_Rich_Knife_C</t>
  </si>
  <si>
    <t>FUR_Rich_Knife_D</t>
  </si>
  <si>
    <t>FUR_Rich_Knife_E</t>
  </si>
  <si>
    <t>FUR_Rich_Knife_F</t>
  </si>
  <si>
    <t>FUR_Rich_Knife_G</t>
  </si>
  <si>
    <t>FUR_Rich_Knife_H</t>
  </si>
  <si>
    <t>FUR_Rich_Knife_I</t>
  </si>
  <si>
    <t>FUR_Rich_Knife_J</t>
  </si>
  <si>
    <t>FUR_Rich_Knife_K</t>
  </si>
  <si>
    <t>FUR_Rich_Knife_L</t>
  </si>
  <si>
    <t>FUR_Rich_Knife_M</t>
  </si>
  <si>
    <t>FUR_Rich_Knife_N</t>
  </si>
  <si>
    <t>FUR_Rich_Knife_O</t>
  </si>
  <si>
    <t>FUR_Rich_Knife_P</t>
  </si>
  <si>
    <t>FUR_Rich_Knife_Q</t>
  </si>
  <si>
    <t>FUR_Rich_Knife_R</t>
  </si>
  <si>
    <t>FUR_Rich_Knife_S</t>
  </si>
  <si>
    <t>FUR_Rich_Knife_T</t>
  </si>
  <si>
    <t>WPN_Human_Normal_Sabre_A_Rusty</t>
  </si>
  <si>
    <t>d90b2cfe-485c-4404-a407-54bb175d0291</t>
  </si>
  <si>
    <t>WPN_Human_Normal_Buffalo_Sabre_A</t>
  </si>
  <si>
    <t>699561cb-bb3c-4c6e-9258-fba68bd62d90</t>
  </si>
  <si>
    <t>_Combo_Boost_KS_Scope</t>
  </si>
  <si>
    <t>WPN_CraftedSword_SwordOfPlanets</t>
  </si>
  <si>
    <t>483e854f-ec7b-461e-be50-6e1dcd9da840</t>
  </si>
  <si>
    <t>Lying</t>
  </si>
  <si>
    <t>Sitting</t>
  </si>
  <si>
    <t>TwoHanded_Sword</t>
  </si>
  <si>
    <t>CrossBow</t>
  </si>
  <si>
    <t>Unarmed</t>
  </si>
  <si>
    <t>PoleArms</t>
  </si>
  <si>
    <t>SmallWeapons</t>
  </si>
  <si>
    <t>DualWield</t>
  </si>
  <si>
    <t>OneHanded</t>
  </si>
  <si>
    <t>AnimType</t>
  </si>
  <si>
    <t>WPN_UNIQUE_Hanneman</t>
  </si>
  <si>
    <t>_Shadows_Shrike</t>
  </si>
  <si>
    <t>WPN_Trolls_2H_Staff_IceKing_A_Human</t>
  </si>
  <si>
    <r>
      <t>e</t>
    </r>
    <r>
      <rPr>
        <sz val="10"/>
        <rFont val="Inherit"/>
      </rPr>
      <t>9e9b</t>
    </r>
    <r>
      <rPr>
        <sz val="10"/>
        <rFont val="Arial"/>
        <family val="2"/>
      </rPr>
      <t>525</t>
    </r>
    <r>
      <rPr>
        <sz val="10"/>
        <rFont val="Inherit"/>
      </rPr>
      <t>-66fa-485a-8c4e-1a733a563c</t>
    </r>
    <r>
      <rPr>
        <sz val="10"/>
        <rFont val="Arial"/>
        <family val="2"/>
      </rPr>
      <t>77</t>
    </r>
  </si>
  <si>
    <t>_DarkMinions_DeathPrince</t>
  </si>
  <si>
    <t>Burning,20,2</t>
  </si>
  <si>
    <t>Keys</t>
  </si>
  <si>
    <t>_Intelligence_WeaponBoost_Large</t>
  </si>
  <si>
    <t>BlackrockWeaponDagger</t>
  </si>
  <si>
    <t>BlackrockWeaponSword</t>
  </si>
  <si>
    <t>BlackrockWeaponAxe</t>
  </si>
  <si>
    <t>BlackrockWeaponClub</t>
  </si>
  <si>
    <t>BlackrockWeaponTwoHandedAxe</t>
  </si>
  <si>
    <t>BlackrockWeaponTwoHandedHammer</t>
  </si>
  <si>
    <t>BlackrockWeaponTwoHandedSword</t>
  </si>
  <si>
    <t>BlackrockWeaponSpear</t>
  </si>
  <si>
    <t>BlackrockWeaponBow</t>
  </si>
  <si>
    <t>BlackrockWeaponCrossbow</t>
  </si>
  <si>
    <t>_Imps_Spear</t>
  </si>
  <si>
    <t>Summon_BomberSummon</t>
  </si>
  <si>
    <t>Bleeding,30,1</t>
  </si>
  <si>
    <t>Crippled,30,2</t>
  </si>
  <si>
    <t>Knockdown,35,2</t>
  </si>
  <si>
    <t>_Undead_Skeleton_Grunt_Boss</t>
  </si>
  <si>
    <t>_KickstarterPetBlackboar</t>
  </si>
  <si>
    <t>_KickstarterPetBrownboar</t>
  </si>
  <si>
    <t>_KickstarterPetBlackcat</t>
  </si>
  <si>
    <t>_KickstarterPetGreycat</t>
  </si>
  <si>
    <t>_KickstarterPetWhitecat</t>
  </si>
  <si>
    <t>_KickstarterPetBrowncow</t>
  </si>
  <si>
    <t>_KickstarterPetCowwithspots</t>
  </si>
  <si>
    <t>_KickstarterPetBrowndeer</t>
  </si>
  <si>
    <t>_KickstarterPetWhitedeer</t>
  </si>
  <si>
    <t>_KickstarterPetChicken</t>
  </si>
  <si>
    <t>_KickstarterPetBlagdog</t>
  </si>
  <si>
    <t>_KickstarterPetBrowndog</t>
  </si>
  <si>
    <t>_KickstarterPetShepherd</t>
  </si>
  <si>
    <t>_KickstarterPetWhitewolf</t>
  </si>
  <si>
    <t>_KickstarterPetBlackwolf</t>
  </si>
  <si>
    <t>_KickstarterPetGiantblackrat</t>
  </si>
  <si>
    <t>_KickstarterPetGiantgreyrat</t>
  </si>
  <si>
    <t>_KickstarterPetPig</t>
  </si>
  <si>
    <t>_KickstarterPetGreyrabbit</t>
  </si>
  <si>
    <t>_KickstarterPetWhiterabbit</t>
  </si>
  <si>
    <t>_KickstarterPetSmallrat</t>
  </si>
  <si>
    <t>_KickstarterPetRobotrat</t>
  </si>
  <si>
    <t>_KickstarterPetRooster</t>
  </si>
  <si>
    <t>_KickstarterPetRobotrooster</t>
  </si>
  <si>
    <t>_KickstarterPetMalesheep</t>
  </si>
  <si>
    <t>_KickstarterPetFemalesheep</t>
  </si>
  <si>
    <t>_KickstarterPetFleshyspider</t>
  </si>
  <si>
    <t>_KickstarterPetVilespider</t>
  </si>
  <si>
    <t>_KickstarterPetPlantspider</t>
  </si>
  <si>
    <t>_KickstarterPetBlackspider</t>
  </si>
  <si>
    <t>WPN_Kickstarter_StaffOfImagination</t>
  </si>
  <si>
    <t>635f25f1-ca7b-43ea-a9ea-2463098df5d0</t>
  </si>
  <si>
    <t>WPN_Sword_Kickstarter_Japanese</t>
  </si>
  <si>
    <t>86aefec4-1693-4d83-8ed3-bc96c57d1a92</t>
  </si>
  <si>
    <t>WPN_Kickstarter_SwordOfHolyFlame</t>
  </si>
  <si>
    <t>65a418eb-177b-4031-93ab-32d8842f7509</t>
  </si>
  <si>
    <t>Petrified,20,2</t>
  </si>
  <si>
    <t>231aab26-3db7-43a7-ad6d-d40f6c0a4e53</t>
  </si>
  <si>
    <t>Wands</t>
  </si>
  <si>
    <t>Staves</t>
  </si>
  <si>
    <t>DualWieldSmall</t>
  </si>
  <si>
    <t>DualWielding</t>
  </si>
  <si>
    <t>ShieldWeapon</t>
  </si>
  <si>
    <t>IsTwoHanded</t>
  </si>
  <si>
    <t>ShieldWands</t>
  </si>
  <si>
    <t>DualWieldWands</t>
  </si>
  <si>
    <t>_Wands</t>
  </si>
  <si>
    <t>WPN_Wand_Fire</t>
  </si>
  <si>
    <t>WPN_Wand_Air</t>
  </si>
  <si>
    <t>WPN_Wand_Water</t>
  </si>
  <si>
    <t>WPN_Wand_Earth</t>
  </si>
  <si>
    <t>WPN_Wand_Shadow</t>
  </si>
  <si>
    <t>Projectile</t>
  </si>
  <si>
    <t>04bdf5e2-3c6a-4711-b516-1a275ccbd710</t>
  </si>
  <si>
    <t>c18e979b-b3be-4a62-bbec-cbe53fcf0e15</t>
  </si>
  <si>
    <t>Reflection</t>
  </si>
  <si>
    <t>_Crit_Huge_WeaponBoost</t>
  </si>
  <si>
    <t>_Crit_Giant_WeaponBoost</t>
  </si>
  <si>
    <t>_Crit_Inhuman_WeaponBoost</t>
  </si>
  <si>
    <t>Explode</t>
  </si>
  <si>
    <t>Damage_Explode</t>
  </si>
  <si>
    <t>LowHP</t>
  </si>
  <si>
    <t>Combat</t>
  </si>
  <si>
    <t>Adrenaline</t>
  </si>
  <si>
    <t>Unstorable</t>
  </si>
  <si>
    <t>Bleeding,5,2;Chilled,10,2</t>
  </si>
  <si>
    <t>Bleeding,10,2;Chilled,10,2</t>
  </si>
  <si>
    <t>Throwing</t>
  </si>
  <si>
    <t>Lockpicking</t>
  </si>
  <si>
    <t>Pickpocket</t>
  </si>
  <si>
    <t>RogueLore</t>
  </si>
  <si>
    <t>Ability</t>
  </si>
  <si>
    <t>WPN_DIY_Sword_A</t>
  </si>
  <si>
    <t>WPN_DIY_Sword_B</t>
  </si>
  <si>
    <t>WPN_DIY_Sword_C</t>
  </si>
  <si>
    <t>WPN_DIY_Sword_D</t>
  </si>
  <si>
    <t>Bleeding, 15,2</t>
  </si>
  <si>
    <t>Bleeding, 25,2</t>
  </si>
  <si>
    <t>Bleeding, 35,2</t>
  </si>
  <si>
    <t>d224729b-a043-4eed-8144-41cf87009dda</t>
  </si>
  <si>
    <t>9de4e90a-2fe3-4f46-9f60-82f8624b6ed5</t>
  </si>
  <si>
    <t>946d2ad9-a471-499e-8892-9d6e91c04701</t>
  </si>
  <si>
    <t>a7d327c7-18fe-4a43-b736-5cc5d5d33ed4</t>
  </si>
  <si>
    <t>WPN_DIY_Axe_A</t>
  </si>
  <si>
    <t>WPN_DIY_Axe_B</t>
  </si>
  <si>
    <t>WPN_DIY_Axe_C</t>
  </si>
  <si>
    <t>WPN_DIY_Axe_D</t>
  </si>
  <si>
    <t>5f7e8ae2-c931-4caa-80dd-e83235345a74</t>
  </si>
  <si>
    <t>186ad8f8-8eea-4562-943a-7d8519ed6286</t>
  </si>
  <si>
    <t>942c9068-33f4-470e-8eaf-3329ccf25939</t>
  </si>
  <si>
    <t>a28caf1b-48bd-4429-aba8-e39a86914950</t>
  </si>
  <si>
    <t>WPN_DIY_Staff_A</t>
  </si>
  <si>
    <t>WPN_DIY_Staff_B</t>
  </si>
  <si>
    <t>WPN_DIY_Staff_C</t>
  </si>
  <si>
    <t>WPN_DIY_Staff_D</t>
  </si>
  <si>
    <t>Stun,15,2;Mute,15,2</t>
  </si>
  <si>
    <t>Stun,20,2;Mute,20,2;Cursed,20,2</t>
  </si>
  <si>
    <t>f76761d4-c9b1-4397-b5d5-8b077cc3c4d3</t>
  </si>
  <si>
    <t>749596ff-c298-4896-bd4d-4f53ec445b5b</t>
  </si>
  <si>
    <t>99b39775-109c-4d1f-a28d-b0b78d2ccf57</t>
  </si>
  <si>
    <t>b8597941-23d1-4e8a-baa9-f17e39e99a67</t>
  </si>
  <si>
    <t>WPN_DIY_Bow_A</t>
  </si>
  <si>
    <t>WPN_DIY_Bow_B</t>
  </si>
  <si>
    <t>WPN_DIY_Bow_C</t>
  </si>
  <si>
    <t>WPN_DIY_Bow_D</t>
  </si>
  <si>
    <t>Consume,30,2,SKILLBOOST_Sunder</t>
  </si>
  <si>
    <t>Consume,50,2,SKILLBOOST_Sunder</t>
  </si>
  <si>
    <t>Consume,70,2,SKILLBOOST_Sunder</t>
  </si>
  <si>
    <t>81a1a125-1130-45aa-b749-dbd0a8ab1042</t>
  </si>
  <si>
    <t>faa760e7-ed15-4b40-aff2-0d52fa901894</t>
  </si>
  <si>
    <t>e35ce8a5-11ba-477b-bc13-880c554bb14f</t>
  </si>
  <si>
    <t>83404081-f40d-4aba-835c-7a7b77d8942b</t>
  </si>
  <si>
    <t>Petrified,30,2</t>
  </si>
  <si>
    <t>WPN_Cyseal_Nozgoth</t>
  </si>
  <si>
    <t>_CYS_Nozgoth_Brian</t>
  </si>
  <si>
    <t>_CYS_Nozgoth_ShamblingMound</t>
  </si>
  <si>
    <t>_CYS_Nozgoth_Melee</t>
  </si>
  <si>
    <t>_CYS_Nozgoth_Ranger</t>
  </si>
  <si>
    <t>_CYS_Nozgoth_Mage</t>
  </si>
  <si>
    <t>Any</t>
  </si>
  <si>
    <t>_Enemy_Boost_PoisonDamage</t>
  </si>
  <si>
    <t>_Enemy_Boost_WaterDamage_Large</t>
  </si>
  <si>
    <t>_Enemy_Boost_FireDamage_Large</t>
  </si>
  <si>
    <t>_Enemy_Boost_EarthDamage_Large</t>
  </si>
  <si>
    <t>_Enemy_Boost_AirDamage_Large</t>
  </si>
  <si>
    <t>_Enemy_Boost_PoisonDamage_Large</t>
  </si>
  <si>
    <t>_Enemy_Boost_BlackrockDamage_Large</t>
  </si>
  <si>
    <t>_Shadows_Grunt_Immaculate_Trap</t>
  </si>
  <si>
    <t>Crippled,30,2,Knockdown,30,1</t>
  </si>
  <si>
    <t>MarkOfDeath</t>
  </si>
  <si>
    <t>CrawlingInfestation</t>
  </si>
  <si>
    <t>DecayingTouch</t>
  </si>
  <si>
    <t>Remorse</t>
  </si>
  <si>
    <t>AggroMarked</t>
  </si>
  <si>
    <t>ShacklesOfPain</t>
  </si>
  <si>
    <t>EtherealSoles</t>
  </si>
  <si>
    <t>AirImmunity_Aura</t>
  </si>
  <si>
    <t>AirImmunity</t>
  </si>
  <si>
    <t>EarthImmunity_Aura</t>
  </si>
  <si>
    <t>EarthImmunity</t>
  </si>
  <si>
    <t>WaterImmunity_Aura</t>
  </si>
  <si>
    <t>WaterImmunity</t>
  </si>
  <si>
    <t>FireImmunity_Aura</t>
  </si>
  <si>
    <t>FireImmunity</t>
  </si>
  <si>
    <t>DarkAvenger</t>
  </si>
  <si>
    <t>WindWalker</t>
  </si>
  <si>
    <t>ImprovedInitiative_Aura</t>
  </si>
  <si>
    <t>ImprovedInitiative</t>
  </si>
  <si>
    <t>ShacklesOfPainCaster</t>
  </si>
  <si>
    <t>ShackesOfPain</t>
  </si>
  <si>
    <t>Damage_Remorse</t>
  </si>
  <si>
    <t>_LUC_Thuringer</t>
  </si>
  <si>
    <t>_Undead_Zombie_Electrified</t>
  </si>
  <si>
    <t>_Animals_Slug_Poison</t>
  </si>
  <si>
    <t>_Animals_Slug_Water</t>
  </si>
  <si>
    <t>Knockdown,35,2;Poison,50,2</t>
  </si>
  <si>
    <t>Knockdown,35,2;Wet,100,2</t>
  </si>
  <si>
    <t>Stun,40,2</t>
  </si>
  <si>
    <t>Diseased,35,2</t>
  </si>
  <si>
    <t>_DarkMinions_EnchantedArmor_Sword</t>
  </si>
  <si>
    <t>_DarkMinions_EnchantedArmor_Axe</t>
  </si>
  <si>
    <t>Master</t>
  </si>
  <si>
    <t>Adept</t>
  </si>
  <si>
    <t>Novice</t>
  </si>
  <si>
    <t>SkillTier</t>
  </si>
  <si>
    <t>_Chest_Animated</t>
  </si>
  <si>
    <t>Target_Flurry</t>
  </si>
  <si>
    <t>Projectile_BlitzBoltStart</t>
  </si>
  <si>
    <t>WPN_Wand_Shadow_B</t>
  </si>
  <si>
    <t>WPN_Wand_Shadow_C</t>
  </si>
  <si>
    <t>WPN_Wand_Shadow_D</t>
  </si>
  <si>
    <t>WPN_Wand_Shadow_E</t>
  </si>
  <si>
    <t>WPN_Wand_Shadow_F</t>
  </si>
  <si>
    <t>WPN_Wand_Shadow_G</t>
  </si>
  <si>
    <t>WPN_Wand_Fire_B</t>
  </si>
  <si>
    <t>WPN_Wand_Air_B</t>
  </si>
  <si>
    <t>WPN_Wand_Water_B</t>
  </si>
  <si>
    <t>WPN_Wand_Earth_B</t>
  </si>
  <si>
    <t>WPN_Wand_Fire_C</t>
  </si>
  <si>
    <t>WPN_Wand_Air_C</t>
  </si>
  <si>
    <t>WPN_Wand_Water_C</t>
  </si>
  <si>
    <t>WPN_Wand_Earth_C</t>
  </si>
  <si>
    <t>WPN_Wand_Fire_D</t>
  </si>
  <si>
    <t>WPN_Wand_Air_D</t>
  </si>
  <si>
    <t>WPN_Wand_Water_D</t>
  </si>
  <si>
    <t>WPN_Wand_Earth_D</t>
  </si>
  <si>
    <t>WPN_Wand_Fire_E</t>
  </si>
  <si>
    <t>WPN_Wand_Air_E</t>
  </si>
  <si>
    <t>WPN_Wand_Water_E</t>
  </si>
  <si>
    <t>WPN_Wand_Earth_E</t>
  </si>
  <si>
    <t>WPN_Wand_Fire_F</t>
  </si>
  <si>
    <t>WPN_Wand_Air_F</t>
  </si>
  <si>
    <t>WPN_Wand_Water_F</t>
  </si>
  <si>
    <t>WPN_Wand_Earth_F</t>
  </si>
  <si>
    <t>WPN_Wand_Fire_G</t>
  </si>
  <si>
    <t>WPN_Wand_Air_G</t>
  </si>
  <si>
    <t>WPN_Wand_Water_G</t>
  </si>
  <si>
    <t>WPN_Wand_Earth_G</t>
  </si>
  <si>
    <t>WPN_Wand_Fire_H</t>
  </si>
  <si>
    <t>WPN_Wand_Air_H</t>
  </si>
  <si>
    <t>WPN_Wand_Water_H</t>
  </si>
  <si>
    <t>WPN_Wand_Earth_H</t>
  </si>
  <si>
    <t>WPN_Wand_Fire_I</t>
  </si>
  <si>
    <t>WPN_Wand_Air_I</t>
  </si>
  <si>
    <t>WPN_Wand_Water_I</t>
  </si>
  <si>
    <t>WPN_Wand_Earth_I</t>
  </si>
  <si>
    <t>WPN_Wand_Fire_J</t>
  </si>
  <si>
    <t>WPN_Wand_Air_J</t>
  </si>
  <si>
    <t>WPN_Wand_Water_J</t>
  </si>
  <si>
    <t>WPN_Wand_Earth_J</t>
  </si>
  <si>
    <t>WPN_Wand_Fire_K</t>
  </si>
  <si>
    <t>WPN_Wand_Air_K</t>
  </si>
  <si>
    <t>WPN_Wand_Water_K</t>
  </si>
  <si>
    <t>WPN_Wand_Earth_K</t>
  </si>
  <si>
    <t>WPN_Wand_Fire_L</t>
  </si>
  <si>
    <t>WPN_Wand_Air_L</t>
  </si>
  <si>
    <t>WPN_Wand_Water_L</t>
  </si>
  <si>
    <t>WPN_Wand_Earth_L</t>
  </si>
  <si>
    <t>WPN_Wand_Fire_M</t>
  </si>
  <si>
    <t>WPN_Wand_Air_M</t>
  </si>
  <si>
    <t>WPN_Wand_Water_M</t>
  </si>
  <si>
    <t>WPN_Wand_Earth_M</t>
  </si>
  <si>
    <t>WPN_Wand_Fire_N</t>
  </si>
  <si>
    <t>WPN_Wand_Air_N</t>
  </si>
  <si>
    <t>WPN_Wand_Water_N</t>
  </si>
  <si>
    <t>WPN_Wand_Earth_N</t>
  </si>
  <si>
    <t>WPN_Wand_Fire_O</t>
  </si>
  <si>
    <t>WPN_Wand_Air_O</t>
  </si>
  <si>
    <t>WPN_Wand_Water_O</t>
  </si>
  <si>
    <t>WPN_Wand_Earth_O</t>
  </si>
  <si>
    <t>WPN_Wand_Fire_P</t>
  </si>
  <si>
    <t>WPN_Wand_Air_P</t>
  </si>
  <si>
    <t>WPN_Wand_Water_P</t>
  </si>
  <si>
    <t>WPN_Wand_Earth_P</t>
  </si>
  <si>
    <t>WPN_Wand_Fire_Q</t>
  </si>
  <si>
    <t>WPN_Wand_Air_Q</t>
  </si>
  <si>
    <t>WPN_Wand_Water_Q</t>
  </si>
  <si>
    <t>WPN_Wand_Earth_Q</t>
  </si>
  <si>
    <t>f2badec8-4bab-4973-8dcc-4b12e9b243de</t>
  </si>
  <si>
    <t>c0bbee60-a0a0-49e9-a618-83925e3d6ca0</t>
  </si>
  <si>
    <t>e14d8b79-4f75-41d2-aa0f-836d04d0c0d2</t>
  </si>
  <si>
    <t>903fb31a-a7a5-4c36-ad74-af168fa736ab</t>
  </si>
  <si>
    <t>3c78b047-a5ff-450a-b0b2-70f2c12dc77b</t>
  </si>
  <si>
    <t>b014d96c-45ac-46ec-b37e-a995497c4faa</t>
  </si>
  <si>
    <t>d5d1f90c-37be-426f-9246-1641d4b06aca</t>
  </si>
  <si>
    <t>43145d45-a3ad-4d06-81fc-08d5d5fe5b54</t>
  </si>
  <si>
    <t>5f48eb53-ca36-46af-a0d8-9367143ef2f7</t>
  </si>
  <si>
    <t>628e147d-0d08-4675-aa6a-ce4f357f7a31</t>
  </si>
  <si>
    <t>36d4cb60-4eec-4a5e-b20c-efa0bf458ba0</t>
  </si>
  <si>
    <t>0cd3e4e4-a7c2-442f-b3e0-510f8dc8cd8e</t>
  </si>
  <si>
    <t>4a515e9b-d227-4f47-a7f3-79e70525cdd1</t>
  </si>
  <si>
    <t>9548a38c-b4bf-4658-822e-5a33d4354da8</t>
  </si>
  <si>
    <t>f910a1de-93f5-40da-962a-9f572ec5f0ff</t>
  </si>
  <si>
    <t>d8511a66-8e9f-4487-bed2-9313cfc9d336</t>
  </si>
  <si>
    <t>45c95589-f29b-49d6-87cf-6527cd24c829</t>
  </si>
  <si>
    <t>7712ffb5-51cd-43b1-9887-9adf6149dff1</t>
  </si>
  <si>
    <t>BlackrockWand</t>
  </si>
  <si>
    <t>Chilled,25,2</t>
  </si>
  <si>
    <t>_DarkMinions_EnchantedArmor</t>
  </si>
  <si>
    <t>_Summon_Earth_Ooze</t>
  </si>
  <si>
    <t>Slowed,20,2</t>
  </si>
  <si>
    <t>947d1719-931a-4c9b-922e-81f42aacd4a8</t>
  </si>
  <si>
    <t>69fe2745-ad2e-4da2-a9b0-0094fe430485</t>
  </si>
  <si>
    <t>d94b541d-172e-4c0a-b735-c5fd29ca587a</t>
  </si>
  <si>
    <t>5ced9ee2-e718-4933-9afb-0b351af58f09</t>
  </si>
  <si>
    <t>c201d048-fcc9-4f0f-92df-dd3a9ca9c12a</t>
  </si>
  <si>
    <t>c5ecca87-72f7-4a5a-918e-2b9042872ccb</t>
  </si>
  <si>
    <t>6f3df5bd-e1a6-422e-b8fd-d10f953d04fe</t>
  </si>
  <si>
    <t>59539880-adb5-46bf-b0ba-3e281a6e87d3</t>
  </si>
  <si>
    <t>PhysicalImmunity_Aura</t>
  </si>
  <si>
    <t>PhysicalImmunity</t>
  </si>
  <si>
    <t>ElementalImmunity_Aura</t>
  </si>
  <si>
    <t>ElementalImmunity</t>
  </si>
  <si>
    <t>_Damage_Giant_WeaponBoost</t>
  </si>
  <si>
    <t>Galvanised</t>
  </si>
  <si>
    <t>_CritMult_WeaponBoost</t>
  </si>
  <si>
    <t>_CritMult_Large_WeaponBoost</t>
  </si>
  <si>
    <t>_CritMult_Giant_WeaponBoost</t>
  </si>
  <si>
    <t>_Player_Boost_BlackrockDamage_Crafting</t>
  </si>
  <si>
    <t>Blackrock 1</t>
  </si>
  <si>
    <t>WPN_UNIQUE_2H_Axe_Braccus_A</t>
  </si>
  <si>
    <t>Accurate</t>
  </si>
  <si>
    <t>ProjectileAccuracy</t>
  </si>
  <si>
    <t>Tagged</t>
  </si>
  <si>
    <t>WPN_UNIQUE_SeaSpiderClaw</t>
  </si>
  <si>
    <t>_PoisonDamage_Large_WeaponBoost</t>
  </si>
  <si>
    <t>WPN_UNIQUE_Gungir_Morningstar</t>
  </si>
  <si>
    <t>Strength 10</t>
  </si>
  <si>
    <t>Strength 16</t>
  </si>
  <si>
    <t>KickstarterUniques</t>
  </si>
  <si>
    <t>Slowed,30,3</t>
  </si>
  <si>
    <t>Poison,30,2</t>
  </si>
  <si>
    <t>Chilled,15,2</t>
  </si>
  <si>
    <t>Burning,30,3</t>
  </si>
  <si>
    <t>Fear,10,2</t>
  </si>
  <si>
    <t>Taunted</t>
  </si>
  <si>
    <t>WPN_UNIQUE_WolgraffsDagger</t>
  </si>
  <si>
    <t>WPN_UNIQUE_WolgraffsOtherDagger</t>
  </si>
  <si>
    <t>5bb978cc-665c-4b4a-bdeb-e95a5970c2c9</t>
  </si>
  <si>
    <t>12a1e3fc-f883-4d5e-89c4-21e0095d07c7</t>
  </si>
  <si>
    <t>Charges</t>
  </si>
  <si>
    <t>0</t>
  </si>
  <si>
    <t>Oiled</t>
  </si>
  <si>
    <t>Unhealable</t>
  </si>
  <si>
    <t>_WaterDamage_WeaponBoost;_PoisonDamage_WeaponBoost</t>
  </si>
  <si>
    <t>CanExplode</t>
  </si>
  <si>
    <t>CreateConeSurface</t>
  </si>
  <si>
    <t>e1caefe4-806f-4234-af9d-c55e220a28c7</t>
  </si>
  <si>
    <t>fb371bd3-b72b-4012-8306-e9f12577811d</t>
  </si>
  <si>
    <t>AlwaysBackstab</t>
  </si>
  <si>
    <t>Custom Properties</t>
  </si>
  <si>
    <t>_DarkMinions_Eden_Regular</t>
  </si>
  <si>
    <t>_DarkMinions_Eden_Green</t>
  </si>
  <si>
    <t>_DarkMinions_Eden_Orange</t>
  </si>
  <si>
    <t>_DarkMinions_Eden_Pink</t>
  </si>
  <si>
    <t>_DarkMinions_Eden_Blue</t>
  </si>
  <si>
    <t>Cursed,20,2</t>
  </si>
  <si>
    <t>WPN_Wand_Fire_A</t>
  </si>
  <si>
    <t>WPN_Wand_Air_A</t>
  </si>
  <si>
    <t>WPN_Wand_Water_A</t>
  </si>
  <si>
    <t>WPN_Wand_Earth_A</t>
  </si>
  <si>
    <t>WPN_Wand_Fire_B2</t>
  </si>
  <si>
    <t>WPN_Wand_Air_B2</t>
  </si>
  <si>
    <t>WPN_Wand_Water_B2</t>
  </si>
  <si>
    <t>WPN_Wand_Earth_B2</t>
  </si>
  <si>
    <t>WPN_Wand_Fire_C2</t>
  </si>
  <si>
    <t>WPN_Wand_Air_C2</t>
  </si>
  <si>
    <t>WPN_Wand_Water_C2</t>
  </si>
  <si>
    <t>WPN_Wand_Earth_C2</t>
  </si>
  <si>
    <t>Distance</t>
  </si>
  <si>
    <t>CastCheckType</t>
  </si>
  <si>
    <t>Stun,15,2</t>
  </si>
  <si>
    <t>Warm,25,2</t>
  </si>
  <si>
    <t>Divine</t>
  </si>
  <si>
    <t>Epic</t>
  </si>
  <si>
    <t>Uncommon</t>
  </si>
  <si>
    <t>_Vitality_Giant_WeaponBoost</t>
  </si>
  <si>
    <t>_Damage_Huge_WeaponBoost</t>
  </si>
  <si>
    <t>_FireDamage_Giant_WeaponBoost</t>
  </si>
  <si>
    <t>_WaterDamage_Giant_WeaponBoost</t>
  </si>
  <si>
    <t>_EarthDamage_Giant_WeaponBoost</t>
  </si>
  <si>
    <t>_AirDamage_Giant_WeaponBoost</t>
  </si>
  <si>
    <t>Slowed,10,2</t>
  </si>
  <si>
    <t>Chilled,35,3</t>
  </si>
  <si>
    <t>_Knockdown_WeaponBoost</t>
  </si>
  <si>
    <t>_Knockdown_Large_WeaponBoost</t>
  </si>
  <si>
    <t>_Fortified_WeaponBoost</t>
  </si>
  <si>
    <t>_Vitality_Legendary_WeaponBoost</t>
  </si>
  <si>
    <t>Heal_RegenerateStart</t>
  </si>
  <si>
    <t>Projectile_FlareStart</t>
  </si>
  <si>
    <t>Projectile_IceShardStart</t>
  </si>
  <si>
    <t>ProjectileStrike_BoulderBash</t>
  </si>
  <si>
    <t>Target_InstantPressure</t>
  </si>
  <si>
    <t>_Fire_Legendary_Skill_WeaponBoost</t>
  </si>
  <si>
    <t>_Water_Legendary_Skill_WeaponBoost</t>
  </si>
  <si>
    <t>_Earth_Legendary_Skill_WeaponBoost</t>
  </si>
  <si>
    <t>_Air_Legendary_Skill_WeaponBoost</t>
  </si>
  <si>
    <t>Burning,10,1</t>
  </si>
  <si>
    <t>Chilled,15,1</t>
  </si>
  <si>
    <t>Slowed,10,1</t>
  </si>
  <si>
    <t>Stun,10,1</t>
  </si>
  <si>
    <t>_Raged_WeaponBoost</t>
  </si>
  <si>
    <t>Grumio's Favorite Triade</t>
  </si>
  <si>
    <t>Grumio's Petrolium Brand</t>
  </si>
  <si>
    <t>Cotton Candy</t>
  </si>
  <si>
    <t>_Movement_Dagger_WeaponBoost</t>
  </si>
  <si>
    <t>_Movement_Dagger_WeaponBoost_Large</t>
  </si>
  <si>
    <t>_Movement_Dagger_WeaponBoost_Huge</t>
  </si>
  <si>
    <t>ecdb61db-7c28-4917-ac1b-ccbfaf23a331</t>
  </si>
  <si>
    <t>434846a8-9a5e-4df2-b9c4-66bb24e80379</t>
  </si>
  <si>
    <t>019229b6-5741-4aeb-b4fc-c4a3bf2758fb</t>
  </si>
  <si>
    <t>9f861d69-5cb6-4369-aaa4-84c861a98675</t>
  </si>
  <si>
    <t>f05444d1-63da-4dc3-b43e-8e9dfce2a0c9</t>
  </si>
  <si>
    <t>_Undead_Skeleton_Fire_Dagger</t>
  </si>
  <si>
    <t>607ada16-7da3-4de8-ae4f-89302f232cbe</t>
  </si>
  <si>
    <t>68b7fdca-fdbb-4a87-ba67-055acaa6560e</t>
  </si>
  <si>
    <t>08b3ef50-407a-4c08-afd1-c2a96360c0f7</t>
  </si>
  <si>
    <t>0e651296-db33-43ae-8679-a0f51f0dd455</t>
  </si>
  <si>
    <t>a3383fb1-9fc5-4f52-9880-ec8486cc9b6a</t>
  </si>
  <si>
    <t>23c8a394-2a1f-44d3-901f-0ffb5982189d</t>
  </si>
  <si>
    <t>f2d89cbe-0557-4577-aec7-e4fb51f757de</t>
  </si>
  <si>
    <t>acae3e9a-cf91-4060-9138-9a836a80984d</t>
  </si>
  <si>
    <t>f5a04b80-a857-4eb1-8224-4a2897888756</t>
  </si>
  <si>
    <t>95adc446-82de-4564-994a-10786bde8a5d</t>
  </si>
  <si>
    <t>4472f14f-cef2-4d0e-9fb4-63ba82552055</t>
  </si>
  <si>
    <t>WPN_Orcs_Warrior_Sword_B</t>
  </si>
  <si>
    <t>WPN_Orcs_Warrior_Sword_C</t>
  </si>
  <si>
    <t>9af3d6c0-3f4c-400b-918c-712c20d82ef9</t>
  </si>
  <si>
    <t>3e531937-9b7d-4239-875c-abf455bc1ddf</t>
  </si>
  <si>
    <t>5bd8b986-9621-4afa-9d1d-76c3d8eea716</t>
  </si>
  <si>
    <t>8a0fc4f3-141b-4844-b45a-37d93c225b6c</t>
  </si>
  <si>
    <t>92223a6f-176d-4cc0-a620-83bc5ce3dae0</t>
  </si>
  <si>
    <t>fedd3076-9dd9-40ed-b06d-af8a52f80af2</t>
  </si>
  <si>
    <t>aa1049cc-0e56-4fc1-82dc-004946856ae6</t>
  </si>
  <si>
    <t>c5405739-e6c4-4e80-b68f-d628783d5123</t>
  </si>
  <si>
    <t>WPN_BeardedAxe_1H</t>
  </si>
  <si>
    <t>WPN_Axe_A_1_Axe</t>
  </si>
  <si>
    <t>WPN_WoodMaulTool_1H</t>
  </si>
  <si>
    <t>WPN_BattleAxe_1H_G</t>
  </si>
  <si>
    <t>WPN_BattleAxe_1H</t>
  </si>
  <si>
    <t>0d4bd6fb-46db-4cca-a3f2-7bfe0c783213</t>
  </si>
  <si>
    <t>9ec7322f-2ca7-4cf6-996b-fc28f0dd5d3d</t>
  </si>
  <si>
    <t>28b73bb3-1922-4db4-843a-8cfa5eefd3ee</t>
  </si>
  <si>
    <t>065124fd-e310-41da-8251-ec0ef4c5a509</t>
  </si>
  <si>
    <t>15a89843-abf0-414f-9346-82cebc8437d9</t>
  </si>
  <si>
    <t>6240dafd-61d0-47be-976a-adf1510f7554</t>
  </si>
  <si>
    <t>31ab1864-6d82-4715-bbb1-4071b315af26</t>
  </si>
  <si>
    <t>120b7167-87ef-49e2-84b2-2a94e2210e88</t>
  </si>
  <si>
    <t>5e3b6a00-c714-4ae2-9f35-43e97db23cbd</t>
  </si>
  <si>
    <t>WPN_Cudgel_C</t>
  </si>
  <si>
    <t>2d4ec688-1fcf-4e62-ac5a-95cbf1be2666</t>
  </si>
  <si>
    <t>f9f53bbe-8fbb-4011-a55e-eaa5e2780b57</t>
  </si>
  <si>
    <t>WPN_KnobbedMace_C</t>
  </si>
  <si>
    <t>aa0aa793-4e8c-4489-b4d1-e1bd8727de7e</t>
  </si>
  <si>
    <t>WPN_Human_Normal_Mace_C</t>
  </si>
  <si>
    <t>7a66e8a5-814d-4f80-8c52-47c281b15024</t>
  </si>
  <si>
    <t>3e98b892-02d4-4a0d-b2e6-2a8b5e0fc448</t>
  </si>
  <si>
    <t>52f94ed2-a9a6-4f53-9d36-e5bb6cc2bba8</t>
  </si>
  <si>
    <t>22d51cfe-3fcc-4ffa-b52a-240a6a8ca7fb</t>
  </si>
  <si>
    <t>5bb241a8-44f6-423f-bef6-13eee0284774</t>
  </si>
  <si>
    <t>38fb576e-c84e-4025-a4d0-530fc22d5a39</t>
  </si>
  <si>
    <t>WPN_Gada_B</t>
  </si>
  <si>
    <t>4812e345-f0b6-4aef-a9b9-ddc9a0933ef3</t>
  </si>
  <si>
    <t>WPN_MorningStar_C</t>
  </si>
  <si>
    <t>WPN_MorningStar_D</t>
  </si>
  <si>
    <t>331b9734-53c6-4ff8-a355-e36ad57d4e79</t>
  </si>
  <si>
    <t>e0470266-e19d-4d05-a49e-5ecc8b09642f</t>
  </si>
  <si>
    <t>0d403ed3-cd40-4c44-98e0-16fdc091770f</t>
  </si>
  <si>
    <t>e27689e5-5ab6-4926-afff-ee79d002c22b</t>
  </si>
  <si>
    <t>bb905b38-08d6-436e-a3af-b11c3c2d6847</t>
  </si>
  <si>
    <t>d6c5cea0-b325-49a6-be39-01938eba9c08</t>
  </si>
  <si>
    <t>dcd6b3f5-7b6a-4985-973d-12dea4867ac7</t>
  </si>
  <si>
    <t>1f31e5b7-d681-4725-b55b-5c1a70276556</t>
  </si>
  <si>
    <t>8a92481a-74cb-4208-bfa3-8cf456dd170a</t>
  </si>
  <si>
    <t>Raged,50,2</t>
  </si>
  <si>
    <t>Fortified,25,1</t>
  </si>
  <si>
    <t>6594e30c-fe1f-4733-a510-527c81c6b915</t>
  </si>
  <si>
    <t>2bc2556f-3130-4576-981f-ec804f8cfb08</t>
  </si>
  <si>
    <t>a7175035-4c02-4c14-adb6-9b0d8037fb7e</t>
  </si>
  <si>
    <t>fdab2187-4b44-4458-bf02-65218fe7c81d</t>
  </si>
  <si>
    <t>50ebbcff-e6d7-4a02-94ba-0978adcdb024</t>
  </si>
  <si>
    <t>dd8c8ee6-1fbe-4009-a006-95dfa5927c60</t>
  </si>
  <si>
    <t>56f36115-d68f-4cfd-b414-6326ee06a255</t>
  </si>
  <si>
    <t>e5befbad-335b-4dd1-a282-6847bc605208</t>
  </si>
  <si>
    <t>9c468c99-7112-413c-8c70-2ab2bd962c3f</t>
  </si>
  <si>
    <t>WPN_Imps_2H_Spear_C</t>
  </si>
  <si>
    <t>WPN_Trident_D</t>
  </si>
  <si>
    <t>WPN_Trident_E</t>
  </si>
  <si>
    <t>WPN_Imps_2H_Spear_D</t>
  </si>
  <si>
    <t>09b55995-ecaa-468d-acd6-83a1157213b2</t>
  </si>
  <si>
    <t>59715921-5d6b-436f-80d8-ce632673202c</t>
  </si>
  <si>
    <t>149715c2-9723-4421-a5b5-2ff690b2100a</t>
  </si>
  <si>
    <t>b9e74c09-1fb1-4dbf-9b49-31ffc2808385</t>
  </si>
  <si>
    <t>e2e4a082-4091-4033-ac65-a50b79740280</t>
  </si>
  <si>
    <t>9c235cde-fab5-4fda-91a2-1e03ed19664d</t>
  </si>
  <si>
    <t>30195460-e725-4004-ab97-87ccd08fd23f</t>
  </si>
  <si>
    <t>9d14b08f-2e64-4a87-aa20-54a19a1934cd</t>
  </si>
  <si>
    <t>1d1aaa51-f08d-4699-90e1-81091a5b98c6</t>
  </si>
  <si>
    <t>b77a025e-8c8b-465a-86a5-1a97a6a644b2</t>
  </si>
  <si>
    <t>f5783638-8e6d-475c-ab47-ff81abaaf4c1</t>
  </si>
  <si>
    <t>40728119-5f16-4ba7-b287-3e04f6b9d383</t>
  </si>
  <si>
    <t>cdeabdbb-6d96-45f8-8ab3-ed6efe17790d</t>
  </si>
  <si>
    <t>ee99c03b-a93c-4d42-988c-7367ce4fbd4a</t>
  </si>
  <si>
    <t>3f5e40b9-84c6-4aed-8c7a-ddbfd332b2a7</t>
  </si>
  <si>
    <t>02c6638e-8c30-4916-a9e2-d960e87f66aa</t>
  </si>
  <si>
    <t>b2e1e6ec-c2a2-46f7-9e63-d31d7f256fee</t>
  </si>
  <si>
    <t>769353dc-5dfb-4f56-8cbd-93a260418aa8</t>
  </si>
  <si>
    <t>ce7b1c6c-8713-47c0-a59d-712097548b27</t>
  </si>
  <si>
    <t>ab073a7c-38c6-4941-beb0-ea3584fdc937</t>
  </si>
  <si>
    <t>747f1436-9663-458f-951f-6d9fd8fce7a0</t>
  </si>
  <si>
    <t>_Damage_Small_WeaponBoost</t>
  </si>
  <si>
    <t>_FireDamage_Small_WeaponBoost</t>
  </si>
  <si>
    <t>_WaterDamage_Small_WeaponBoost</t>
  </si>
  <si>
    <t>_EarthDamage_Small_WeaponBoost</t>
  </si>
  <si>
    <t>_AirDamage_Small_WeaponBoost</t>
  </si>
  <si>
    <t>_Damage_DaggerMedium_WeaponBoost</t>
  </si>
  <si>
    <t>_FireDamage_Medium_WeaponBoost</t>
  </si>
  <si>
    <t>_WaterDamage_Medium_WeaponBoost</t>
  </si>
  <si>
    <t>_EarthDamage_Medium_WeaponBoost</t>
  </si>
  <si>
    <t>_AirDamage_Medium_WeaponBoost</t>
  </si>
  <si>
    <t>Stun,20,1</t>
  </si>
  <si>
    <t>Stun,25,1</t>
  </si>
  <si>
    <t>Blind,25,2</t>
  </si>
  <si>
    <t>Mute,25,2</t>
  </si>
  <si>
    <t>Petrified,20,1</t>
  </si>
  <si>
    <t>Crippled,15,3</t>
  </si>
  <si>
    <t>Bleeding,15,3</t>
  </si>
  <si>
    <t>Crippled,20,3</t>
  </si>
  <si>
    <t>Bleeding,30,3</t>
  </si>
  <si>
    <t>_Animals_Beetle_A</t>
  </si>
  <si>
    <t>_GEN_Butcher</t>
  </si>
  <si>
    <t>DivineLight</t>
  </si>
  <si>
    <t>NullResist</t>
  </si>
  <si>
    <t>VampiricTouch</t>
  </si>
  <si>
    <t>Soulsap</t>
  </si>
</sst>
</file>

<file path=xl/styles.xml><?xml version="1.0" encoding="utf-8"?>
<styleSheet xmlns="http://schemas.openxmlformats.org/spreadsheetml/2006/main">
  <fonts count="315"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0"/>
      <color indexed="16"/>
      <name val="Arial"/>
      <family val="2"/>
    </font>
    <font>
      <b/>
      <sz val="10"/>
      <color indexed="17"/>
      <name val="Arial"/>
      <family val="2"/>
    </font>
    <font>
      <b/>
      <sz val="10"/>
      <color indexed="40"/>
      <name val="Arial"/>
      <family val="2"/>
    </font>
    <font>
      <b/>
      <sz val="10"/>
      <color indexed="10"/>
      <name val="Arial"/>
      <family val="2"/>
    </font>
    <font>
      <b/>
      <sz val="10"/>
      <color indexed="51"/>
      <name val="Arial"/>
      <family val="2"/>
    </font>
    <font>
      <b/>
      <sz val="10"/>
      <color indexed="36"/>
      <name val="Arial"/>
      <family val="2"/>
    </font>
    <font>
      <b/>
      <sz val="10"/>
      <color indexed="53"/>
      <name val="Arial"/>
      <family val="2"/>
    </font>
    <font>
      <b/>
      <sz val="10"/>
      <color indexed="60"/>
      <name val="Arial"/>
      <family val="2"/>
    </font>
    <font>
      <b/>
      <sz val="10"/>
      <color indexed="57"/>
      <name val="Arial"/>
      <family val="2"/>
    </font>
    <font>
      <b/>
      <sz val="10"/>
      <color indexed="23"/>
      <name val="Arial"/>
      <family val="2"/>
    </font>
    <font>
      <b/>
      <sz val="10"/>
      <color indexed="19"/>
      <name val="Arial"/>
      <family val="2"/>
    </font>
    <font>
      <b/>
      <i/>
      <sz val="10"/>
      <name val="Arial"/>
      <family val="2"/>
    </font>
    <font>
      <i/>
      <sz val="10"/>
      <name val="Arial"/>
      <family val="2"/>
    </font>
    <font>
      <sz val="10"/>
      <color theme="1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0"/>
      <color theme="0"/>
      <name val="Arial"/>
      <family val="2"/>
    </font>
    <font>
      <b/>
      <sz val="11"/>
      <color rgb="FFFF0000"/>
      <name val="Arial"/>
      <family val="2"/>
    </font>
    <font>
      <sz val="11"/>
      <color rgb="FF006100"/>
      <name val="Calibri"/>
      <family val="2"/>
      <scheme val="minor"/>
    </font>
    <font>
      <sz val="11"/>
      <name val="Calibri"/>
      <family val="2"/>
      <scheme val="minor"/>
    </font>
    <font>
      <sz val="10"/>
      <color rgb="FF9C6500"/>
      <name val="Arial"/>
      <family val="2"/>
    </font>
    <font>
      <sz val="10"/>
      <color rgb="FF9C0006"/>
      <name val="Arial"/>
      <family val="2"/>
    </font>
    <font>
      <b/>
      <sz val="10"/>
      <color theme="1"/>
      <name val="Arial"/>
      <family val="2"/>
    </font>
    <font>
      <sz val="10"/>
      <color rgb="FF006100"/>
      <name val="Arial"/>
      <family val="2"/>
    </font>
    <font>
      <sz val="10"/>
      <name val="Inherit"/>
    </font>
    <font>
      <b/>
      <sz val="11"/>
      <name val="Calibri"/>
      <family val="2"/>
      <scheme val="minor"/>
    </font>
    <font>
      <sz val="10"/>
      <color rgb="FF000000"/>
      <name val="Arial"/>
      <family val="2"/>
    </font>
  </fonts>
  <fills count="19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C6EFCE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79998168889431442"/>
        <bgColor indexed="64"/>
      </patternFill>
    </fill>
  </fills>
  <borders count="16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rgb="FFB2B2B2"/>
      </right>
      <top/>
      <bottom style="thin">
        <color rgb="FFB2B2B2"/>
      </bottom>
      <diagonal/>
    </border>
    <border>
      <left/>
      <right/>
      <top/>
      <bottom style="hair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hair">
        <color indexed="64"/>
      </bottom>
      <diagonal/>
    </border>
    <border>
      <left style="thin">
        <color rgb="FFB2B2B2"/>
      </left>
      <right style="thin">
        <color rgb="FFB2B2B2"/>
      </right>
      <top/>
      <bottom style="hair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/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/>
      <diagonal/>
    </border>
    <border>
      <left/>
      <right/>
      <top style="thin">
        <color indexed="64"/>
      </top>
      <bottom/>
      <diagonal/>
    </border>
    <border>
      <left style="thin">
        <color rgb="FFB2B2B2"/>
      </left>
      <right style="thin">
        <color rgb="FFB2B2B2"/>
      </right>
      <top style="thin">
        <color indexed="64"/>
      </top>
      <bottom style="thin">
        <color rgb="FFB2B2B2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rgb="FFB2B2B2"/>
      </left>
      <right/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rgb="FFB2B2B2"/>
      </right>
      <top style="thin">
        <color indexed="64"/>
      </top>
      <bottom/>
      <diagonal/>
    </border>
    <border>
      <left style="thin">
        <color rgb="FFB2B2B2"/>
      </left>
      <right style="thin">
        <color rgb="FFB2B2B2"/>
      </right>
      <top/>
      <bottom/>
      <diagonal/>
    </border>
  </borders>
  <cellStyleXfs count="752">
    <xf numFmtId="0" fontId="0" fillId="0" borderId="0"/>
    <xf numFmtId="0" fontId="283" fillId="2" borderId="0" applyNumberFormat="0" applyBorder="0" applyAlignment="0" applyProtection="0"/>
    <xf numFmtId="0" fontId="284" fillId="3" borderId="0" applyNumberFormat="0" applyBorder="0" applyAlignment="0" applyProtection="0"/>
    <xf numFmtId="0" fontId="286" fillId="4" borderId="1" applyNumberFormat="0" applyFont="0" applyAlignment="0" applyProtection="0"/>
    <xf numFmtId="0" fontId="285" fillId="5" borderId="0" applyNumberFormat="0" applyBorder="0" applyAlignment="0" applyProtection="0"/>
    <xf numFmtId="0" fontId="285" fillId="6" borderId="0" applyNumberFormat="0" applyBorder="0" applyAlignment="0" applyProtection="0"/>
    <xf numFmtId="0" fontId="285" fillId="7" borderId="0" applyNumberFormat="0" applyBorder="0" applyAlignment="0" applyProtection="0"/>
    <xf numFmtId="0" fontId="285" fillId="8" borderId="0" applyNumberFormat="0" applyBorder="0" applyAlignment="0" applyProtection="0"/>
    <xf numFmtId="0" fontId="286" fillId="0" borderId="0"/>
    <xf numFmtId="0" fontId="282" fillId="0" borderId="0"/>
    <xf numFmtId="0" fontId="286" fillId="0" borderId="0"/>
    <xf numFmtId="0" fontId="286" fillId="0" borderId="0"/>
    <xf numFmtId="0" fontId="286" fillId="4" borderId="1" applyNumberFormat="0" applyFont="0" applyAlignment="0" applyProtection="0"/>
    <xf numFmtId="0" fontId="286" fillId="4" borderId="1" applyNumberFormat="0" applyFont="0" applyAlignment="0" applyProtection="0"/>
    <xf numFmtId="0" fontId="286" fillId="4" borderId="1" applyNumberFormat="0" applyFont="0" applyAlignment="0" applyProtection="0"/>
    <xf numFmtId="0" fontId="281" fillId="0" borderId="0"/>
    <xf numFmtId="0" fontId="280" fillId="0" borderId="0"/>
    <xf numFmtId="0" fontId="280" fillId="0" borderId="0"/>
    <xf numFmtId="0" fontId="280" fillId="0" borderId="0"/>
    <xf numFmtId="0" fontId="280" fillId="0" borderId="0"/>
    <xf numFmtId="0" fontId="280" fillId="0" borderId="0"/>
    <xf numFmtId="0" fontId="280" fillId="0" borderId="0"/>
    <xf numFmtId="0" fontId="280" fillId="0" borderId="0"/>
    <xf numFmtId="0" fontId="280" fillId="0" borderId="0"/>
    <xf numFmtId="0" fontId="280" fillId="0" borderId="0"/>
    <xf numFmtId="0" fontId="280" fillId="0" borderId="0"/>
    <xf numFmtId="0" fontId="280" fillId="0" borderId="0"/>
    <xf numFmtId="0" fontId="280" fillId="0" borderId="0"/>
    <xf numFmtId="0" fontId="280" fillId="0" borderId="0"/>
    <xf numFmtId="0" fontId="280" fillId="0" borderId="0"/>
    <xf numFmtId="0" fontId="280" fillId="0" borderId="0"/>
    <xf numFmtId="0" fontId="280" fillId="0" borderId="0"/>
    <xf numFmtId="0" fontId="280" fillId="0" borderId="0"/>
    <xf numFmtId="0" fontId="280" fillId="0" borderId="0"/>
    <xf numFmtId="0" fontId="279" fillId="0" borderId="0"/>
    <xf numFmtId="0" fontId="278" fillId="0" borderId="0"/>
    <xf numFmtId="0" fontId="286" fillId="0" borderId="0"/>
    <xf numFmtId="0" fontId="286" fillId="4" borderId="1" applyNumberFormat="0" applyFont="0" applyAlignment="0" applyProtection="0"/>
    <xf numFmtId="0" fontId="278" fillId="0" borderId="0"/>
    <xf numFmtId="0" fontId="278" fillId="0" borderId="0"/>
    <xf numFmtId="0" fontId="278" fillId="0" borderId="0"/>
    <xf numFmtId="0" fontId="278" fillId="0" borderId="0"/>
    <xf numFmtId="0" fontId="278" fillId="0" borderId="0"/>
    <xf numFmtId="0" fontId="278" fillId="0" borderId="0"/>
    <xf numFmtId="0" fontId="278" fillId="0" borderId="0"/>
    <xf numFmtId="0" fontId="278" fillId="0" borderId="0"/>
    <xf numFmtId="0" fontId="278" fillId="0" borderId="0"/>
    <xf numFmtId="0" fontId="278" fillId="0" borderId="0"/>
    <xf numFmtId="0" fontId="278" fillId="0" borderId="0"/>
    <xf numFmtId="0" fontId="278" fillId="0" borderId="0"/>
    <xf numFmtId="0" fontId="278" fillId="0" borderId="0"/>
    <xf numFmtId="0" fontId="278" fillId="0" borderId="0"/>
    <xf numFmtId="0" fontId="278" fillId="0" borderId="0"/>
    <xf numFmtId="0" fontId="278" fillId="0" borderId="0"/>
    <xf numFmtId="0" fontId="278" fillId="0" borderId="0"/>
    <xf numFmtId="0" fontId="278" fillId="0" borderId="0"/>
    <xf numFmtId="0" fontId="278" fillId="0" borderId="0"/>
    <xf numFmtId="0" fontId="278" fillId="0" borderId="0"/>
    <xf numFmtId="0" fontId="278" fillId="0" borderId="0"/>
    <xf numFmtId="0" fontId="277" fillId="0" borderId="0"/>
    <xf numFmtId="0" fontId="277" fillId="0" borderId="0"/>
    <xf numFmtId="0" fontId="277" fillId="0" borderId="0"/>
    <xf numFmtId="0" fontId="277" fillId="0" borderId="0"/>
    <xf numFmtId="0" fontId="277" fillId="0" borderId="0"/>
    <xf numFmtId="0" fontId="277" fillId="0" borderId="0"/>
    <xf numFmtId="0" fontId="277" fillId="0" borderId="0"/>
    <xf numFmtId="0" fontId="277" fillId="0" borderId="0"/>
    <xf numFmtId="0" fontId="277" fillId="0" borderId="0"/>
    <xf numFmtId="0" fontId="277" fillId="0" borderId="0"/>
    <xf numFmtId="0" fontId="277" fillId="0" borderId="0"/>
    <xf numFmtId="0" fontId="277" fillId="0" borderId="0"/>
    <xf numFmtId="0" fontId="277" fillId="0" borderId="0"/>
    <xf numFmtId="0" fontId="277" fillId="0" borderId="0"/>
    <xf numFmtId="0" fontId="277" fillId="0" borderId="0"/>
    <xf numFmtId="0" fontId="277" fillId="0" borderId="0"/>
    <xf numFmtId="0" fontId="277" fillId="0" borderId="0"/>
    <xf numFmtId="0" fontId="277" fillId="0" borderId="0"/>
    <xf numFmtId="0" fontId="277" fillId="0" borderId="0"/>
    <xf numFmtId="0" fontId="277" fillId="0" borderId="0"/>
    <xf numFmtId="0" fontId="277" fillId="0" borderId="0"/>
    <xf numFmtId="0" fontId="277" fillId="0" borderId="0"/>
    <xf numFmtId="0" fontId="277" fillId="0" borderId="0"/>
    <xf numFmtId="0" fontId="277" fillId="0" borderId="0"/>
    <xf numFmtId="0" fontId="277" fillId="0" borderId="0"/>
    <xf numFmtId="0" fontId="277" fillId="0" borderId="0"/>
    <xf numFmtId="0" fontId="277" fillId="0" borderId="0"/>
    <xf numFmtId="0" fontId="277" fillId="0" borderId="0"/>
    <xf numFmtId="0" fontId="277" fillId="0" borderId="0"/>
    <xf numFmtId="0" fontId="277" fillId="0" borderId="0"/>
    <xf numFmtId="0" fontId="277" fillId="0" borderId="0"/>
    <xf numFmtId="0" fontId="277" fillId="0" borderId="0"/>
    <xf numFmtId="0" fontId="277" fillId="0" borderId="0"/>
    <xf numFmtId="0" fontId="277" fillId="0" borderId="0"/>
    <xf numFmtId="0" fontId="277" fillId="0" borderId="0"/>
    <xf numFmtId="0" fontId="277" fillId="0" borderId="0"/>
    <xf numFmtId="0" fontId="277" fillId="0" borderId="0"/>
    <xf numFmtId="0" fontId="277" fillId="0" borderId="0"/>
    <xf numFmtId="0" fontId="277" fillId="0" borderId="0"/>
    <xf numFmtId="0" fontId="277" fillId="0" borderId="0"/>
    <xf numFmtId="0" fontId="277" fillId="0" borderId="0"/>
    <xf numFmtId="0" fontId="277" fillId="0" borderId="0"/>
    <xf numFmtId="0" fontId="277" fillId="0" borderId="0"/>
    <xf numFmtId="0" fontId="277" fillId="0" borderId="0"/>
    <xf numFmtId="0" fontId="276" fillId="0" borderId="0"/>
    <xf numFmtId="0" fontId="286" fillId="0" borderId="0"/>
    <xf numFmtId="0" fontId="286" fillId="4" borderId="1" applyNumberFormat="0" applyFont="0" applyAlignment="0" applyProtection="0"/>
    <xf numFmtId="0" fontId="276" fillId="0" borderId="0"/>
    <xf numFmtId="0" fontId="276" fillId="0" borderId="0"/>
    <xf numFmtId="0" fontId="276" fillId="0" borderId="0"/>
    <xf numFmtId="0" fontId="276" fillId="0" borderId="0"/>
    <xf numFmtId="0" fontId="276" fillId="0" borderId="0"/>
    <xf numFmtId="0" fontId="276" fillId="0" borderId="0"/>
    <xf numFmtId="0" fontId="276" fillId="0" borderId="0"/>
    <xf numFmtId="0" fontId="276" fillId="0" borderId="0"/>
    <xf numFmtId="0" fontId="276" fillId="0" borderId="0"/>
    <xf numFmtId="0" fontId="276" fillId="0" borderId="0"/>
    <xf numFmtId="0" fontId="276" fillId="0" borderId="0"/>
    <xf numFmtId="0" fontId="276" fillId="0" borderId="0"/>
    <xf numFmtId="0" fontId="276" fillId="0" borderId="0"/>
    <xf numFmtId="0" fontId="276" fillId="0" borderId="0"/>
    <xf numFmtId="0" fontId="276" fillId="0" borderId="0"/>
    <xf numFmtId="0" fontId="276" fillId="0" borderId="0"/>
    <xf numFmtId="0" fontId="276" fillId="0" borderId="0"/>
    <xf numFmtId="0" fontId="276" fillId="0" borderId="0"/>
    <xf numFmtId="0" fontId="276" fillId="0" borderId="0"/>
    <xf numFmtId="0" fontId="276" fillId="0" borderId="0"/>
    <xf numFmtId="0" fontId="276" fillId="0" borderId="0"/>
    <xf numFmtId="0" fontId="276" fillId="0" borderId="0"/>
    <xf numFmtId="0" fontId="276" fillId="0" borderId="0"/>
    <xf numFmtId="0" fontId="276" fillId="0" borderId="0"/>
    <xf numFmtId="0" fontId="276" fillId="0" borderId="0"/>
    <xf numFmtId="0" fontId="276" fillId="0" borderId="0"/>
    <xf numFmtId="0" fontId="276" fillId="0" borderId="0"/>
    <xf numFmtId="0" fontId="276" fillId="0" borderId="0"/>
    <xf numFmtId="0" fontId="276" fillId="0" borderId="0"/>
    <xf numFmtId="0" fontId="276" fillId="0" borderId="0"/>
    <xf numFmtId="0" fontId="276" fillId="0" borderId="0"/>
    <xf numFmtId="0" fontId="276" fillId="0" borderId="0"/>
    <xf numFmtId="0" fontId="276" fillId="0" borderId="0"/>
    <xf numFmtId="0" fontId="276" fillId="0" borderId="0"/>
    <xf numFmtId="0" fontId="276" fillId="0" borderId="0"/>
    <xf numFmtId="0" fontId="276" fillId="0" borderId="0"/>
    <xf numFmtId="0" fontId="276" fillId="0" borderId="0"/>
    <xf numFmtId="0" fontId="276" fillId="0" borderId="0"/>
    <xf numFmtId="0" fontId="276" fillId="0" borderId="0"/>
    <xf numFmtId="0" fontId="276" fillId="0" borderId="0"/>
    <xf numFmtId="0" fontId="276" fillId="0" borderId="0"/>
    <xf numFmtId="0" fontId="276" fillId="0" borderId="0"/>
    <xf numFmtId="0" fontId="276" fillId="0" borderId="0"/>
    <xf numFmtId="0" fontId="276" fillId="0" borderId="0"/>
    <xf numFmtId="0" fontId="276" fillId="0" borderId="0"/>
    <xf numFmtId="0" fontId="276" fillId="0" borderId="0"/>
    <xf numFmtId="0" fontId="276" fillId="0" borderId="0"/>
    <xf numFmtId="0" fontId="276" fillId="0" borderId="0"/>
    <xf numFmtId="0" fontId="276" fillId="0" borderId="0"/>
    <xf numFmtId="0" fontId="276" fillId="0" borderId="0"/>
    <xf numFmtId="0" fontId="276" fillId="0" borderId="0"/>
    <xf numFmtId="0" fontId="276" fillId="0" borderId="0"/>
    <xf numFmtId="0" fontId="276" fillId="0" borderId="0"/>
    <xf numFmtId="0" fontId="276" fillId="0" borderId="0"/>
    <xf numFmtId="0" fontId="276" fillId="0" borderId="0"/>
    <xf numFmtId="0" fontId="276" fillId="0" borderId="0"/>
    <xf numFmtId="0" fontId="276" fillId="0" borderId="0"/>
    <xf numFmtId="0" fontId="276" fillId="0" borderId="0"/>
    <xf numFmtId="0" fontId="276" fillId="0" borderId="0"/>
    <xf numFmtId="0" fontId="276" fillId="0" borderId="0"/>
    <xf numFmtId="0" fontId="276" fillId="0" borderId="0"/>
    <xf numFmtId="0" fontId="276" fillId="0" borderId="0"/>
    <xf numFmtId="0" fontId="276" fillId="0" borderId="0"/>
    <xf numFmtId="0" fontId="276" fillId="0" borderId="0"/>
    <xf numFmtId="0" fontId="276" fillId="0" borderId="0"/>
    <xf numFmtId="0" fontId="276" fillId="0" borderId="0"/>
    <xf numFmtId="0" fontId="276" fillId="0" borderId="0"/>
    <xf numFmtId="0" fontId="276" fillId="0" borderId="0"/>
    <xf numFmtId="0" fontId="276" fillId="0" borderId="0"/>
    <xf numFmtId="0" fontId="276" fillId="0" borderId="0"/>
    <xf numFmtId="0" fontId="276" fillId="0" borderId="0"/>
    <xf numFmtId="0" fontId="276" fillId="0" borderId="0"/>
    <xf numFmtId="0" fontId="276" fillId="0" borderId="0"/>
    <xf numFmtId="0" fontId="276" fillId="0" borderId="0"/>
    <xf numFmtId="0" fontId="276" fillId="0" borderId="0"/>
    <xf numFmtId="0" fontId="276" fillId="0" borderId="0"/>
    <xf numFmtId="0" fontId="276" fillId="0" borderId="0"/>
    <xf numFmtId="0" fontId="276" fillId="0" borderId="0"/>
    <xf numFmtId="0" fontId="276" fillId="0" borderId="0"/>
    <xf numFmtId="0" fontId="276" fillId="0" borderId="0"/>
    <xf numFmtId="0" fontId="276" fillId="0" borderId="0"/>
    <xf numFmtId="0" fontId="276" fillId="0" borderId="0"/>
    <xf numFmtId="0" fontId="276" fillId="0" borderId="0"/>
    <xf numFmtId="0" fontId="276" fillId="0" borderId="0"/>
    <xf numFmtId="0" fontId="276" fillId="0" borderId="0"/>
    <xf numFmtId="0" fontId="276" fillId="0" borderId="0"/>
    <xf numFmtId="0" fontId="276" fillId="0" borderId="0"/>
    <xf numFmtId="0" fontId="286" fillId="4" borderId="1" applyNumberFormat="0" applyFont="0" applyAlignment="0" applyProtection="0"/>
    <xf numFmtId="0" fontId="286" fillId="0" borderId="0"/>
    <xf numFmtId="0" fontId="286" fillId="0" borderId="0"/>
    <xf numFmtId="0" fontId="306" fillId="11" borderId="0" applyNumberFormat="0" applyBorder="0" applyAlignment="0" applyProtection="0"/>
    <xf numFmtId="0" fontId="286" fillId="0" borderId="0"/>
    <xf numFmtId="0" fontId="275" fillId="0" borderId="0"/>
    <xf numFmtId="0" fontId="275" fillId="0" borderId="0"/>
    <xf numFmtId="0" fontId="275" fillId="0" borderId="0"/>
    <xf numFmtId="0" fontId="275" fillId="0" borderId="0"/>
    <xf numFmtId="0" fontId="275" fillId="0" borderId="0"/>
    <xf numFmtId="0" fontId="286" fillId="4" borderId="1" applyNumberFormat="0" applyFont="0" applyAlignment="0" applyProtection="0"/>
    <xf numFmtId="0" fontId="274" fillId="0" borderId="0"/>
    <xf numFmtId="0" fontId="274" fillId="0" borderId="0"/>
    <xf numFmtId="0" fontId="273" fillId="0" borderId="0"/>
    <xf numFmtId="0" fontId="273" fillId="0" borderId="0"/>
    <xf numFmtId="0" fontId="272" fillId="0" borderId="0"/>
    <xf numFmtId="0" fontId="272" fillId="0" borderId="0"/>
    <xf numFmtId="0" fontId="271" fillId="0" borderId="0"/>
    <xf numFmtId="0" fontId="271" fillId="0" borderId="0"/>
    <xf numFmtId="0" fontId="270" fillId="0" borderId="0"/>
    <xf numFmtId="0" fontId="270" fillId="0" borderId="0"/>
    <xf numFmtId="0" fontId="269" fillId="0" borderId="0"/>
    <xf numFmtId="0" fontId="269" fillId="0" borderId="0"/>
    <xf numFmtId="0" fontId="268" fillId="0" borderId="0"/>
    <xf numFmtId="0" fontId="268" fillId="0" borderId="0"/>
    <xf numFmtId="0" fontId="267" fillId="0" borderId="0"/>
    <xf numFmtId="0" fontId="267" fillId="0" borderId="0"/>
    <xf numFmtId="0" fontId="266" fillId="0" borderId="0"/>
    <xf numFmtId="0" fontId="266" fillId="0" borderId="0"/>
    <xf numFmtId="0" fontId="265" fillId="0" borderId="0"/>
    <xf numFmtId="0" fontId="265" fillId="0" borderId="0"/>
    <xf numFmtId="0" fontId="264" fillId="0" borderId="0"/>
    <xf numFmtId="0" fontId="264" fillId="0" borderId="0"/>
    <xf numFmtId="0" fontId="263" fillId="0" borderId="0"/>
    <xf numFmtId="0" fontId="263" fillId="0" borderId="0"/>
    <xf numFmtId="0" fontId="262" fillId="0" borderId="0"/>
    <xf numFmtId="0" fontId="262" fillId="0" borderId="0"/>
    <xf numFmtId="0" fontId="261" fillId="0" borderId="0"/>
    <xf numFmtId="0" fontId="261" fillId="0" borderId="0"/>
    <xf numFmtId="0" fontId="260" fillId="0" borderId="0"/>
    <xf numFmtId="0" fontId="260" fillId="0" borderId="0"/>
    <xf numFmtId="0" fontId="259" fillId="0" borderId="0"/>
    <xf numFmtId="0" fontId="259" fillId="0" borderId="0"/>
    <xf numFmtId="0" fontId="258" fillId="0" borderId="0"/>
    <xf numFmtId="0" fontId="258" fillId="0" borderId="0"/>
    <xf numFmtId="0" fontId="257" fillId="0" borderId="0"/>
    <xf numFmtId="0" fontId="257" fillId="0" borderId="0"/>
    <xf numFmtId="0" fontId="256" fillId="0" borderId="0"/>
    <xf numFmtId="0" fontId="256" fillId="0" borderId="0"/>
    <xf numFmtId="0" fontId="255" fillId="0" borderId="0"/>
    <xf numFmtId="0" fontId="255" fillId="0" borderId="0"/>
    <xf numFmtId="0" fontId="254" fillId="0" borderId="0"/>
    <xf numFmtId="0" fontId="254" fillId="0" borderId="0"/>
    <xf numFmtId="0" fontId="253" fillId="0" borderId="0"/>
    <xf numFmtId="0" fontId="253" fillId="0" borderId="0"/>
    <xf numFmtId="0" fontId="252" fillId="0" borderId="0"/>
    <xf numFmtId="0" fontId="252" fillId="0" borderId="0"/>
    <xf numFmtId="0" fontId="251" fillId="0" borderId="0"/>
    <xf numFmtId="0" fontId="251" fillId="0" borderId="0"/>
    <xf numFmtId="0" fontId="250" fillId="0" borderId="0"/>
    <xf numFmtId="0" fontId="250" fillId="0" borderId="0"/>
    <xf numFmtId="0" fontId="249" fillId="0" borderId="0"/>
    <xf numFmtId="0" fontId="249" fillId="0" borderId="0"/>
    <xf numFmtId="0" fontId="248" fillId="0" borderId="0"/>
    <xf numFmtId="0" fontId="248" fillId="0" borderId="0"/>
    <xf numFmtId="0" fontId="247" fillId="0" borderId="0"/>
    <xf numFmtId="0" fontId="247" fillId="0" borderId="0"/>
    <xf numFmtId="0" fontId="246" fillId="0" borderId="0"/>
    <xf numFmtId="0" fontId="246" fillId="0" borderId="0"/>
    <xf numFmtId="0" fontId="245" fillId="0" borderId="0"/>
    <xf numFmtId="0" fontId="245" fillId="0" borderId="0"/>
    <xf numFmtId="0" fontId="244" fillId="0" borderId="0"/>
    <xf numFmtId="0" fontId="244" fillId="0" borderId="0"/>
    <xf numFmtId="0" fontId="243" fillId="0" borderId="0"/>
    <xf numFmtId="0" fontId="243" fillId="0" borderId="0"/>
    <xf numFmtId="0" fontId="242" fillId="0" borderId="0"/>
    <xf numFmtId="0" fontId="242" fillId="0" borderId="0"/>
    <xf numFmtId="0" fontId="241" fillId="0" borderId="0"/>
    <xf numFmtId="0" fontId="241" fillId="0" borderId="0"/>
    <xf numFmtId="0" fontId="240" fillId="0" borderId="0"/>
    <xf numFmtId="0" fontId="240" fillId="0" borderId="0"/>
    <xf numFmtId="0" fontId="239" fillId="0" borderId="0"/>
    <xf numFmtId="0" fontId="239" fillId="0" borderId="0"/>
    <xf numFmtId="0" fontId="238" fillId="0" borderId="0"/>
    <xf numFmtId="0" fontId="238" fillId="0" borderId="0"/>
    <xf numFmtId="0" fontId="237" fillId="0" borderId="0"/>
    <xf numFmtId="0" fontId="237" fillId="0" borderId="0"/>
    <xf numFmtId="0" fontId="236" fillId="0" borderId="0"/>
    <xf numFmtId="0" fontId="236" fillId="0" borderId="0"/>
    <xf numFmtId="0" fontId="235" fillId="0" borderId="0"/>
    <xf numFmtId="0" fontId="235" fillId="0" borderId="0"/>
    <xf numFmtId="0" fontId="234" fillId="0" borderId="0"/>
    <xf numFmtId="0" fontId="234" fillId="0" borderId="0"/>
    <xf numFmtId="0" fontId="233" fillId="0" borderId="0"/>
    <xf numFmtId="0" fontId="233" fillId="0" borderId="0"/>
    <xf numFmtId="0" fontId="232" fillId="0" borderId="0"/>
    <xf numFmtId="0" fontId="232" fillId="0" borderId="0"/>
    <xf numFmtId="0" fontId="231" fillId="0" borderId="0"/>
    <xf numFmtId="0" fontId="231" fillId="0" borderId="0"/>
    <xf numFmtId="0" fontId="230" fillId="0" borderId="0"/>
    <xf numFmtId="0" fontId="230" fillId="0" borderId="0"/>
    <xf numFmtId="0" fontId="229" fillId="0" borderId="0"/>
    <xf numFmtId="0" fontId="229" fillId="0" borderId="0"/>
    <xf numFmtId="0" fontId="228" fillId="0" borderId="0"/>
    <xf numFmtId="0" fontId="228" fillId="0" borderId="0"/>
    <xf numFmtId="0" fontId="227" fillId="0" borderId="0"/>
    <xf numFmtId="0" fontId="227" fillId="0" borderId="0"/>
    <xf numFmtId="0" fontId="226" fillId="0" borderId="0"/>
    <xf numFmtId="0" fontId="226" fillId="0" borderId="0"/>
    <xf numFmtId="0" fontId="225" fillId="0" borderId="0"/>
    <xf numFmtId="0" fontId="225" fillId="0" borderId="0"/>
    <xf numFmtId="0" fontId="224" fillId="0" borderId="0"/>
    <xf numFmtId="0" fontId="224" fillId="0" borderId="0"/>
    <xf numFmtId="0" fontId="223" fillId="0" borderId="0"/>
    <xf numFmtId="0" fontId="223" fillId="0" borderId="0"/>
    <xf numFmtId="0" fontId="222" fillId="0" borderId="0"/>
    <xf numFmtId="0" fontId="222" fillId="0" borderId="0"/>
    <xf numFmtId="0" fontId="221" fillId="0" borderId="0"/>
    <xf numFmtId="0" fontId="221" fillId="0" borderId="0"/>
    <xf numFmtId="0" fontId="220" fillId="0" borderId="0"/>
    <xf numFmtId="0" fontId="220" fillId="0" borderId="0"/>
    <xf numFmtId="0" fontId="219" fillId="0" borderId="0"/>
    <xf numFmtId="0" fontId="219" fillId="0" borderId="0"/>
    <xf numFmtId="0" fontId="218" fillId="0" borderId="0"/>
    <xf numFmtId="0" fontId="218" fillId="0" borderId="0"/>
    <xf numFmtId="0" fontId="217" fillId="0" borderId="0"/>
    <xf numFmtId="0" fontId="217" fillId="0" borderId="0"/>
    <xf numFmtId="0" fontId="216" fillId="0" borderId="0"/>
    <xf numFmtId="0" fontId="216" fillId="0" borderId="0"/>
    <xf numFmtId="0" fontId="215" fillId="0" borderId="0"/>
    <xf numFmtId="0" fontId="215" fillId="0" borderId="0"/>
    <xf numFmtId="0" fontId="214" fillId="0" borderId="0"/>
    <xf numFmtId="0" fontId="214" fillId="0" borderId="0"/>
    <xf numFmtId="0" fontId="213" fillId="0" borderId="0"/>
    <xf numFmtId="0" fontId="213" fillId="0" borderId="0"/>
    <xf numFmtId="0" fontId="212" fillId="0" borderId="0"/>
    <xf numFmtId="0" fontId="212" fillId="0" borderId="0"/>
    <xf numFmtId="0" fontId="211" fillId="0" borderId="0"/>
    <xf numFmtId="0" fontId="211" fillId="0" borderId="0"/>
    <xf numFmtId="0" fontId="210" fillId="0" borderId="0"/>
    <xf numFmtId="0" fontId="210" fillId="0" borderId="0"/>
    <xf numFmtId="0" fontId="209" fillId="0" borderId="0"/>
    <xf numFmtId="0" fontId="209" fillId="0" borderId="0"/>
    <xf numFmtId="0" fontId="208" fillId="0" borderId="0"/>
    <xf numFmtId="0" fontId="208" fillId="0" borderId="0"/>
    <xf numFmtId="0" fontId="207" fillId="0" borderId="0"/>
    <xf numFmtId="0" fontId="207" fillId="0" borderId="0"/>
    <xf numFmtId="0" fontId="206" fillId="0" borderId="0"/>
    <xf numFmtId="0" fontId="206" fillId="0" borderId="0"/>
    <xf numFmtId="0" fontId="205" fillId="0" borderId="0"/>
    <xf numFmtId="0" fontId="205" fillId="0" borderId="0"/>
    <xf numFmtId="0" fontId="204" fillId="0" borderId="0"/>
    <xf numFmtId="0" fontId="204" fillId="0" borderId="0"/>
    <xf numFmtId="0" fontId="203" fillId="0" borderId="0"/>
    <xf numFmtId="0" fontId="203" fillId="0" borderId="0"/>
    <xf numFmtId="0" fontId="202" fillId="0" borderId="0"/>
    <xf numFmtId="0" fontId="202" fillId="0" borderId="0"/>
    <xf numFmtId="0" fontId="201" fillId="0" borderId="0"/>
    <xf numFmtId="0" fontId="201" fillId="0" borderId="0"/>
    <xf numFmtId="0" fontId="200" fillId="0" borderId="0"/>
    <xf numFmtId="0" fontId="200" fillId="0" borderId="0"/>
    <xf numFmtId="0" fontId="199" fillId="0" borderId="0"/>
    <xf numFmtId="0" fontId="199" fillId="0" borderId="0"/>
    <xf numFmtId="0" fontId="198" fillId="0" borderId="0"/>
    <xf numFmtId="0" fontId="198" fillId="0" borderId="0"/>
    <xf numFmtId="0" fontId="197" fillId="0" borderId="0"/>
    <xf numFmtId="0" fontId="197" fillId="0" borderId="0"/>
    <xf numFmtId="0" fontId="196" fillId="0" borderId="0"/>
    <xf numFmtId="0" fontId="196" fillId="0" borderId="0"/>
    <xf numFmtId="0" fontId="195" fillId="0" borderId="0"/>
    <xf numFmtId="0" fontId="195" fillId="0" borderId="0"/>
    <xf numFmtId="0" fontId="194" fillId="0" borderId="0"/>
    <xf numFmtId="0" fontId="194" fillId="0" borderId="0"/>
    <xf numFmtId="0" fontId="193" fillId="0" borderId="0"/>
    <xf numFmtId="0" fontId="193" fillId="0" borderId="0"/>
    <xf numFmtId="0" fontId="192" fillId="0" borderId="0"/>
    <xf numFmtId="0" fontId="192" fillId="0" borderId="0"/>
    <xf numFmtId="0" fontId="191" fillId="0" borderId="0"/>
    <xf numFmtId="0" fontId="191" fillId="0" borderId="0"/>
    <xf numFmtId="0" fontId="190" fillId="0" borderId="0"/>
    <xf numFmtId="0" fontId="190" fillId="0" borderId="0"/>
    <xf numFmtId="0" fontId="189" fillId="0" borderId="0"/>
    <xf numFmtId="0" fontId="189" fillId="0" borderId="0"/>
    <xf numFmtId="0" fontId="188" fillId="0" borderId="0"/>
    <xf numFmtId="0" fontId="188" fillId="0" borderId="0"/>
    <xf numFmtId="0" fontId="187" fillId="0" borderId="0"/>
    <xf numFmtId="0" fontId="187" fillId="0" borderId="0"/>
    <xf numFmtId="0" fontId="186" fillId="0" borderId="0"/>
    <xf numFmtId="0" fontId="186" fillId="0" borderId="0"/>
    <xf numFmtId="0" fontId="185" fillId="0" borderId="0"/>
    <xf numFmtId="0" fontId="185" fillId="0" borderId="0"/>
    <xf numFmtId="0" fontId="184" fillId="0" borderId="0"/>
    <xf numFmtId="0" fontId="184" fillId="0" borderId="0"/>
    <xf numFmtId="0" fontId="183" fillId="0" borderId="0"/>
    <xf numFmtId="0" fontId="183" fillId="0" borderId="0"/>
    <xf numFmtId="0" fontId="182" fillId="0" borderId="0"/>
    <xf numFmtId="0" fontId="182" fillId="0" borderId="0"/>
    <xf numFmtId="0" fontId="181" fillId="0" borderId="0"/>
    <xf numFmtId="0" fontId="181" fillId="0" borderId="0"/>
    <xf numFmtId="0" fontId="180" fillId="0" borderId="0"/>
    <xf numFmtId="0" fontId="180" fillId="0" borderId="0"/>
    <xf numFmtId="0" fontId="179" fillId="0" borderId="0"/>
    <xf numFmtId="0" fontId="179" fillId="0" borderId="0"/>
    <xf numFmtId="0" fontId="178" fillId="0" borderId="0"/>
    <xf numFmtId="0" fontId="178" fillId="0" borderId="0"/>
    <xf numFmtId="0" fontId="177" fillId="0" borderId="0"/>
    <xf numFmtId="0" fontId="177" fillId="0" borderId="0"/>
    <xf numFmtId="0" fontId="176" fillId="0" borderId="0"/>
    <xf numFmtId="0" fontId="176" fillId="0" borderId="0"/>
    <xf numFmtId="0" fontId="175" fillId="0" borderId="0"/>
    <xf numFmtId="0" fontId="175" fillId="0" borderId="0"/>
    <xf numFmtId="0" fontId="174" fillId="0" borderId="0"/>
    <xf numFmtId="0" fontId="174" fillId="0" borderId="0"/>
    <xf numFmtId="0" fontId="173" fillId="0" borderId="0"/>
    <xf numFmtId="0" fontId="173" fillId="0" borderId="0"/>
    <xf numFmtId="0" fontId="172" fillId="0" borderId="0"/>
    <xf numFmtId="0" fontId="172" fillId="0" borderId="0"/>
    <xf numFmtId="0" fontId="171" fillId="0" borderId="0"/>
    <xf numFmtId="0" fontId="171" fillId="0" borderId="0"/>
    <xf numFmtId="0" fontId="170" fillId="0" borderId="0"/>
    <xf numFmtId="0" fontId="170" fillId="0" borderId="0"/>
    <xf numFmtId="0" fontId="169" fillId="0" borderId="0"/>
    <xf numFmtId="0" fontId="169" fillId="0" borderId="0"/>
    <xf numFmtId="0" fontId="168" fillId="0" borderId="0"/>
    <xf numFmtId="0" fontId="168" fillId="0" borderId="0"/>
    <xf numFmtId="0" fontId="167" fillId="0" borderId="0"/>
    <xf numFmtId="0" fontId="167" fillId="0" borderId="0"/>
    <xf numFmtId="0" fontId="166" fillId="0" borderId="0"/>
    <xf numFmtId="0" fontId="166" fillId="0" borderId="0"/>
    <xf numFmtId="0" fontId="165" fillId="0" borderId="0"/>
    <xf numFmtId="0" fontId="165" fillId="0" borderId="0"/>
    <xf numFmtId="0" fontId="164" fillId="0" borderId="0"/>
    <xf numFmtId="0" fontId="164" fillId="0" borderId="0"/>
    <xf numFmtId="0" fontId="163" fillId="0" borderId="0"/>
    <xf numFmtId="0" fontId="163" fillId="0" borderId="0"/>
    <xf numFmtId="0" fontId="162" fillId="0" borderId="0"/>
    <xf numFmtId="0" fontId="162" fillId="0" borderId="0"/>
    <xf numFmtId="0" fontId="161" fillId="0" borderId="0"/>
    <xf numFmtId="0" fontId="161" fillId="0" borderId="0"/>
    <xf numFmtId="0" fontId="160" fillId="0" borderId="0"/>
    <xf numFmtId="0" fontId="160" fillId="0" borderId="0"/>
    <xf numFmtId="0" fontId="159" fillId="0" borderId="0"/>
    <xf numFmtId="0" fontId="159" fillId="0" borderId="0"/>
    <xf numFmtId="0" fontId="158" fillId="0" borderId="0"/>
    <xf numFmtId="0" fontId="158" fillId="0" borderId="0"/>
    <xf numFmtId="0" fontId="157" fillId="0" borderId="0"/>
    <xf numFmtId="0" fontId="157" fillId="0" borderId="0"/>
    <xf numFmtId="0" fontId="156" fillId="0" borderId="0"/>
    <xf numFmtId="0" fontId="156" fillId="0" borderId="0"/>
    <xf numFmtId="0" fontId="155" fillId="0" borderId="0"/>
    <xf numFmtId="0" fontId="155" fillId="0" borderId="0"/>
    <xf numFmtId="0" fontId="154" fillId="0" borderId="0"/>
    <xf numFmtId="0" fontId="154" fillId="0" borderId="0"/>
    <xf numFmtId="0" fontId="153" fillId="0" borderId="0"/>
    <xf numFmtId="0" fontId="153" fillId="0" borderId="0"/>
    <xf numFmtId="0" fontId="152" fillId="0" borderId="0"/>
    <xf numFmtId="0" fontId="152" fillId="0" borderId="0"/>
    <xf numFmtId="0" fontId="151" fillId="0" borderId="0"/>
    <xf numFmtId="0" fontId="151" fillId="0" borderId="0"/>
    <xf numFmtId="0" fontId="150" fillId="0" borderId="0"/>
    <xf numFmtId="0" fontId="150" fillId="0" borderId="0"/>
    <xf numFmtId="0" fontId="149" fillId="0" borderId="0"/>
    <xf numFmtId="0" fontId="149" fillId="0" borderId="0"/>
    <xf numFmtId="0" fontId="148" fillId="0" borderId="0"/>
    <xf numFmtId="0" fontId="148" fillId="0" borderId="0"/>
    <xf numFmtId="0" fontId="147" fillId="0" borderId="0"/>
    <xf numFmtId="0" fontId="147" fillId="0" borderId="0"/>
    <xf numFmtId="0" fontId="146" fillId="0" borderId="0"/>
    <xf numFmtId="0" fontId="146" fillId="0" borderId="0"/>
    <xf numFmtId="0" fontId="145" fillId="0" borderId="0"/>
    <xf numFmtId="0" fontId="145" fillId="0" borderId="0"/>
    <xf numFmtId="0" fontId="144" fillId="0" borderId="0"/>
    <xf numFmtId="0" fontId="144" fillId="0" borderId="0"/>
    <xf numFmtId="0" fontId="143" fillId="0" borderId="0"/>
    <xf numFmtId="0" fontId="143" fillId="0" borderId="0"/>
    <xf numFmtId="0" fontId="142" fillId="0" borderId="0"/>
    <xf numFmtId="0" fontId="142" fillId="0" borderId="0"/>
    <xf numFmtId="0" fontId="141" fillId="0" borderId="0"/>
    <xf numFmtId="0" fontId="141" fillId="0" borderId="0"/>
    <xf numFmtId="0" fontId="140" fillId="0" borderId="0"/>
    <xf numFmtId="0" fontId="140" fillId="0" borderId="0"/>
    <xf numFmtId="0" fontId="139" fillId="0" borderId="0"/>
    <xf numFmtId="0" fontId="139" fillId="0" borderId="0"/>
    <xf numFmtId="0" fontId="138" fillId="0" borderId="0"/>
    <xf numFmtId="0" fontId="138" fillId="0" borderId="0"/>
    <xf numFmtId="0" fontId="137" fillId="0" borderId="0"/>
    <xf numFmtId="0" fontId="137" fillId="0" borderId="0"/>
    <xf numFmtId="0" fontId="136" fillId="0" borderId="0"/>
    <xf numFmtId="0" fontId="136" fillId="0" borderId="0"/>
    <xf numFmtId="0" fontId="135" fillId="0" borderId="0"/>
    <xf numFmtId="0" fontId="135" fillId="0" borderId="0"/>
    <xf numFmtId="0" fontId="134" fillId="0" borderId="0"/>
    <xf numFmtId="0" fontId="134" fillId="0" borderId="0"/>
    <xf numFmtId="0" fontId="133" fillId="0" borderId="0"/>
    <xf numFmtId="0" fontId="133" fillId="0" borderId="0"/>
    <xf numFmtId="0" fontId="132" fillId="0" borderId="0"/>
    <xf numFmtId="0" fontId="132" fillId="0" borderId="0"/>
    <xf numFmtId="0" fontId="131" fillId="0" borderId="0"/>
    <xf numFmtId="0" fontId="131" fillId="0" borderId="0"/>
    <xf numFmtId="0" fontId="130" fillId="0" borderId="0"/>
    <xf numFmtId="0" fontId="130" fillId="0" borderId="0"/>
    <xf numFmtId="0" fontId="129" fillId="0" borderId="0"/>
    <xf numFmtId="0" fontId="129" fillId="0" borderId="0"/>
    <xf numFmtId="0" fontId="128" fillId="0" borderId="0"/>
    <xf numFmtId="0" fontId="128" fillId="0" borderId="0"/>
    <xf numFmtId="0" fontId="127" fillId="0" borderId="0"/>
    <xf numFmtId="0" fontId="127" fillId="0" borderId="0"/>
    <xf numFmtId="0" fontId="126" fillId="0" borderId="0"/>
    <xf numFmtId="0" fontId="126" fillId="0" borderId="0"/>
    <xf numFmtId="0" fontId="125" fillId="0" borderId="0"/>
    <xf numFmtId="0" fontId="125" fillId="0" borderId="0"/>
    <xf numFmtId="0" fontId="124" fillId="0" borderId="0"/>
    <xf numFmtId="0" fontId="124" fillId="0" borderId="0"/>
    <xf numFmtId="0" fontId="123" fillId="0" borderId="0"/>
    <xf numFmtId="0" fontId="123" fillId="0" borderId="0"/>
    <xf numFmtId="0" fontId="122" fillId="0" borderId="0"/>
    <xf numFmtId="0" fontId="122" fillId="0" borderId="0"/>
    <xf numFmtId="0" fontId="121" fillId="0" borderId="0"/>
    <xf numFmtId="0" fontId="121" fillId="0" borderId="0"/>
    <xf numFmtId="0" fontId="120" fillId="0" borderId="0"/>
    <xf numFmtId="0" fontId="120" fillId="0" borderId="0"/>
    <xf numFmtId="0" fontId="119" fillId="0" borderId="0"/>
    <xf numFmtId="0" fontId="119" fillId="0" borderId="0"/>
    <xf numFmtId="0" fontId="118" fillId="0" borderId="0"/>
    <xf numFmtId="0" fontId="118" fillId="0" borderId="0"/>
    <xf numFmtId="0" fontId="117" fillId="0" borderId="0"/>
    <xf numFmtId="0" fontId="117" fillId="0" borderId="0"/>
    <xf numFmtId="0" fontId="116" fillId="0" borderId="0"/>
    <xf numFmtId="0" fontId="116" fillId="0" borderId="0"/>
    <xf numFmtId="0" fontId="115" fillId="0" borderId="0"/>
    <xf numFmtId="0" fontId="115" fillId="0" borderId="0"/>
    <xf numFmtId="0" fontId="114" fillId="0" borderId="0"/>
    <xf numFmtId="0" fontId="114" fillId="0" borderId="0"/>
    <xf numFmtId="0" fontId="113" fillId="0" borderId="0"/>
    <xf numFmtId="0" fontId="113" fillId="0" borderId="0"/>
    <xf numFmtId="0" fontId="112" fillId="0" borderId="0"/>
    <xf numFmtId="0" fontId="112" fillId="0" borderId="0"/>
    <xf numFmtId="0" fontId="111" fillId="0" borderId="0"/>
    <xf numFmtId="0" fontId="111" fillId="0" borderId="0"/>
    <xf numFmtId="0" fontId="110" fillId="0" borderId="0"/>
    <xf numFmtId="0" fontId="110" fillId="0" borderId="0"/>
    <xf numFmtId="0" fontId="109" fillId="0" borderId="0"/>
    <xf numFmtId="0" fontId="109" fillId="0" borderId="0"/>
    <xf numFmtId="0" fontId="108" fillId="0" borderId="0"/>
    <xf numFmtId="0" fontId="108" fillId="0" borderId="0"/>
    <xf numFmtId="0" fontId="107" fillId="0" borderId="0"/>
    <xf numFmtId="0" fontId="107" fillId="0" borderId="0"/>
    <xf numFmtId="0" fontId="106" fillId="0" borderId="0"/>
    <xf numFmtId="0" fontId="106" fillId="0" borderId="0"/>
    <xf numFmtId="0" fontId="105" fillId="0" borderId="0"/>
    <xf numFmtId="0" fontId="105" fillId="0" borderId="0"/>
    <xf numFmtId="0" fontId="104" fillId="0" borderId="0"/>
    <xf numFmtId="0" fontId="104" fillId="0" borderId="0"/>
    <xf numFmtId="0" fontId="103" fillId="0" borderId="0"/>
    <xf numFmtId="0" fontId="103" fillId="0" borderId="0"/>
    <xf numFmtId="0" fontId="102" fillId="0" borderId="0"/>
    <xf numFmtId="0" fontId="102" fillId="0" borderId="0"/>
    <xf numFmtId="0" fontId="101" fillId="0" borderId="0"/>
    <xf numFmtId="0" fontId="101" fillId="0" borderId="0"/>
    <xf numFmtId="0" fontId="100" fillId="0" borderId="0"/>
    <xf numFmtId="0" fontId="100" fillId="0" borderId="0"/>
    <xf numFmtId="0" fontId="99" fillId="0" borderId="0"/>
    <xf numFmtId="0" fontId="99" fillId="0" borderId="0"/>
    <xf numFmtId="0" fontId="98" fillId="0" borderId="0"/>
    <xf numFmtId="0" fontId="98" fillId="0" borderId="0"/>
    <xf numFmtId="0" fontId="97" fillId="0" borderId="0"/>
    <xf numFmtId="0" fontId="97" fillId="0" borderId="0"/>
    <xf numFmtId="0" fontId="96" fillId="0" borderId="0"/>
    <xf numFmtId="0" fontId="96" fillId="0" borderId="0"/>
    <xf numFmtId="0" fontId="95" fillId="0" borderId="0"/>
    <xf numFmtId="0" fontId="95" fillId="0" borderId="0"/>
    <xf numFmtId="0" fontId="94" fillId="0" borderId="0"/>
    <xf numFmtId="0" fontId="94" fillId="0" borderId="0"/>
    <xf numFmtId="0" fontId="93" fillId="0" borderId="0"/>
    <xf numFmtId="0" fontId="93" fillId="0" borderId="0"/>
    <xf numFmtId="0" fontId="92" fillId="0" borderId="0"/>
    <xf numFmtId="0" fontId="92" fillId="0" borderId="0"/>
    <xf numFmtId="0" fontId="91" fillId="0" borderId="0"/>
    <xf numFmtId="0" fontId="91" fillId="0" borderId="0"/>
    <xf numFmtId="0" fontId="90" fillId="0" borderId="0"/>
    <xf numFmtId="0" fontId="90" fillId="0" borderId="0"/>
    <xf numFmtId="0" fontId="89" fillId="0" borderId="0"/>
    <xf numFmtId="0" fontId="89" fillId="0" borderId="0"/>
    <xf numFmtId="0" fontId="88" fillId="0" borderId="0"/>
    <xf numFmtId="0" fontId="88" fillId="0" borderId="0"/>
    <xf numFmtId="0" fontId="87" fillId="0" borderId="0"/>
    <xf numFmtId="0" fontId="87" fillId="0" borderId="0"/>
    <xf numFmtId="0" fontId="86" fillId="0" borderId="0"/>
    <xf numFmtId="0" fontId="86" fillId="0" borderId="0"/>
    <xf numFmtId="0" fontId="85" fillId="0" borderId="0"/>
    <xf numFmtId="0" fontId="85" fillId="0" borderId="0"/>
    <xf numFmtId="0" fontId="84" fillId="0" borderId="0"/>
    <xf numFmtId="0" fontId="84" fillId="0" borderId="0"/>
    <xf numFmtId="0" fontId="83" fillId="0" borderId="0"/>
    <xf numFmtId="0" fontId="83" fillId="0" borderId="0"/>
    <xf numFmtId="0" fontId="82" fillId="0" borderId="0"/>
    <xf numFmtId="0" fontId="82" fillId="0" borderId="0"/>
    <xf numFmtId="0" fontId="81" fillId="0" borderId="0"/>
    <xf numFmtId="0" fontId="81" fillId="0" borderId="0"/>
    <xf numFmtId="0" fontId="80" fillId="0" borderId="0"/>
    <xf numFmtId="0" fontId="80" fillId="0" borderId="0"/>
    <xf numFmtId="0" fontId="79" fillId="0" borderId="0"/>
    <xf numFmtId="0" fontId="79" fillId="0" borderId="0"/>
    <xf numFmtId="0" fontId="78" fillId="0" borderId="0"/>
    <xf numFmtId="0" fontId="78" fillId="0" borderId="0"/>
    <xf numFmtId="0" fontId="77" fillId="0" borderId="0"/>
    <xf numFmtId="0" fontId="77" fillId="0" borderId="0"/>
    <xf numFmtId="0" fontId="76" fillId="0" borderId="0"/>
    <xf numFmtId="0" fontId="76" fillId="0" borderId="0"/>
    <xf numFmtId="0" fontId="75" fillId="0" borderId="0"/>
    <xf numFmtId="0" fontId="75" fillId="0" borderId="0"/>
    <xf numFmtId="0" fontId="74" fillId="0" borderId="0"/>
    <xf numFmtId="0" fontId="74" fillId="0" borderId="0"/>
    <xf numFmtId="0" fontId="73" fillId="0" borderId="0"/>
    <xf numFmtId="0" fontId="73" fillId="0" borderId="0"/>
    <xf numFmtId="0" fontId="72" fillId="0" borderId="0"/>
    <xf numFmtId="0" fontId="72" fillId="0" borderId="0"/>
    <xf numFmtId="0" fontId="71" fillId="0" borderId="0"/>
    <xf numFmtId="0" fontId="71" fillId="0" borderId="0"/>
    <xf numFmtId="0" fontId="70" fillId="0" borderId="0"/>
    <xf numFmtId="0" fontId="70" fillId="0" borderId="0"/>
    <xf numFmtId="0" fontId="69" fillId="0" borderId="0"/>
    <xf numFmtId="0" fontId="69" fillId="0" borderId="0"/>
    <xf numFmtId="0" fontId="68" fillId="0" borderId="0"/>
    <xf numFmtId="0" fontId="68" fillId="0" borderId="0"/>
    <xf numFmtId="0" fontId="67" fillId="0" borderId="0"/>
    <xf numFmtId="0" fontId="67" fillId="0" borderId="0"/>
    <xf numFmtId="0" fontId="66" fillId="0" borderId="0"/>
    <xf numFmtId="0" fontId="66" fillId="0" borderId="0"/>
    <xf numFmtId="0" fontId="65" fillId="0" borderId="0"/>
    <xf numFmtId="0" fontId="65" fillId="0" borderId="0"/>
    <xf numFmtId="0" fontId="64" fillId="0" borderId="0"/>
    <xf numFmtId="0" fontId="64" fillId="0" borderId="0"/>
    <xf numFmtId="0" fontId="63" fillId="0" borderId="0"/>
    <xf numFmtId="0" fontId="63" fillId="0" borderId="0"/>
    <xf numFmtId="0" fontId="62" fillId="0" borderId="0"/>
    <xf numFmtId="0" fontId="62" fillId="0" borderId="0"/>
    <xf numFmtId="0" fontId="61" fillId="0" borderId="0"/>
    <xf numFmtId="0" fontId="61" fillId="0" borderId="0"/>
    <xf numFmtId="0" fontId="60" fillId="0" borderId="0"/>
    <xf numFmtId="0" fontId="60" fillId="0" borderId="0"/>
    <xf numFmtId="0" fontId="59" fillId="0" borderId="0"/>
    <xf numFmtId="0" fontId="59" fillId="0" borderId="0"/>
    <xf numFmtId="0" fontId="58" fillId="0" borderId="0"/>
    <xf numFmtId="0" fontId="58" fillId="0" borderId="0"/>
    <xf numFmtId="0" fontId="57" fillId="0" borderId="0"/>
    <xf numFmtId="0" fontId="57" fillId="0" borderId="0"/>
    <xf numFmtId="0" fontId="56" fillId="0" borderId="0"/>
    <xf numFmtId="0" fontId="56" fillId="0" borderId="0"/>
    <xf numFmtId="0" fontId="55" fillId="0" borderId="0"/>
    <xf numFmtId="0" fontId="55" fillId="0" borderId="0"/>
    <xf numFmtId="0" fontId="54" fillId="0" borderId="0"/>
    <xf numFmtId="0" fontId="54" fillId="0" borderId="0"/>
    <xf numFmtId="0" fontId="53" fillId="0" borderId="0"/>
    <xf numFmtId="0" fontId="53" fillId="0" borderId="0"/>
    <xf numFmtId="0" fontId="52" fillId="0" borderId="0"/>
    <xf numFmtId="0" fontId="52" fillId="0" borderId="0"/>
    <xf numFmtId="0" fontId="51" fillId="0" borderId="0"/>
    <xf numFmtId="0" fontId="51" fillId="0" borderId="0"/>
    <xf numFmtId="0" fontId="50" fillId="0" borderId="0"/>
    <xf numFmtId="0" fontId="50" fillId="0" borderId="0"/>
    <xf numFmtId="0" fontId="49" fillId="0" borderId="0"/>
    <xf numFmtId="0" fontId="49" fillId="0" borderId="0"/>
    <xf numFmtId="0" fontId="48" fillId="0" borderId="0"/>
    <xf numFmtId="0" fontId="48" fillId="0" borderId="0"/>
    <xf numFmtId="0" fontId="47" fillId="0" borderId="0"/>
    <xf numFmtId="0" fontId="47" fillId="0" borderId="0"/>
    <xf numFmtId="0" fontId="46" fillId="0" borderId="0"/>
    <xf numFmtId="0" fontId="46" fillId="0" borderId="0"/>
    <xf numFmtId="0" fontId="45" fillId="0" borderId="0"/>
    <xf numFmtId="0" fontId="45" fillId="0" borderId="0"/>
    <xf numFmtId="0" fontId="44" fillId="0" borderId="0"/>
    <xf numFmtId="0" fontId="44" fillId="0" borderId="0"/>
    <xf numFmtId="0" fontId="43" fillId="0" borderId="0"/>
    <xf numFmtId="0" fontId="43" fillId="0" borderId="0"/>
    <xf numFmtId="0" fontId="42" fillId="0" borderId="0"/>
    <xf numFmtId="0" fontId="42" fillId="0" borderId="0"/>
    <xf numFmtId="0" fontId="41" fillId="0" borderId="0"/>
    <xf numFmtId="0" fontId="41" fillId="0" borderId="0"/>
    <xf numFmtId="0" fontId="40" fillId="0" borderId="0"/>
    <xf numFmtId="0" fontId="40" fillId="0" borderId="0"/>
    <xf numFmtId="0" fontId="39" fillId="0" borderId="0"/>
    <xf numFmtId="0" fontId="39" fillId="0" borderId="0"/>
    <xf numFmtId="0" fontId="38" fillId="0" borderId="0"/>
    <xf numFmtId="0" fontId="38" fillId="0" borderId="0"/>
    <xf numFmtId="0" fontId="37" fillId="0" borderId="0"/>
    <xf numFmtId="0" fontId="37" fillId="0" borderId="0"/>
    <xf numFmtId="0" fontId="36" fillId="0" borderId="0"/>
    <xf numFmtId="0" fontId="36" fillId="0" borderId="0"/>
    <xf numFmtId="0" fontId="35" fillId="0" borderId="0"/>
    <xf numFmtId="0" fontId="35" fillId="0" borderId="0"/>
    <xf numFmtId="0" fontId="34" fillId="0" borderId="0"/>
    <xf numFmtId="0" fontId="34" fillId="0" borderId="0"/>
    <xf numFmtId="0" fontId="33" fillId="0" borderId="0"/>
    <xf numFmtId="0" fontId="33" fillId="0" borderId="0"/>
    <xf numFmtId="0" fontId="32" fillId="0" borderId="0"/>
    <xf numFmtId="0" fontId="32" fillId="0" borderId="0"/>
    <xf numFmtId="0" fontId="31" fillId="0" borderId="0"/>
    <xf numFmtId="0" fontId="31" fillId="0" borderId="0"/>
    <xf numFmtId="0" fontId="30" fillId="0" borderId="0"/>
    <xf numFmtId="0" fontId="30" fillId="0" borderId="0"/>
    <xf numFmtId="0" fontId="29" fillId="0" borderId="0"/>
    <xf numFmtId="0" fontId="29" fillId="0" borderId="0"/>
    <xf numFmtId="0" fontId="28" fillId="0" borderId="0"/>
    <xf numFmtId="0" fontId="28" fillId="0" borderId="0"/>
    <xf numFmtId="0" fontId="27" fillId="0" borderId="0"/>
    <xf numFmtId="0" fontId="27" fillId="0" borderId="0"/>
    <xf numFmtId="0" fontId="26" fillId="0" borderId="0"/>
    <xf numFmtId="0" fontId="26" fillId="0" borderId="0"/>
    <xf numFmtId="0" fontId="25" fillId="0" borderId="0"/>
    <xf numFmtId="0" fontId="25" fillId="0" borderId="0"/>
    <xf numFmtId="0" fontId="24" fillId="0" borderId="0"/>
    <xf numFmtId="0" fontId="24" fillId="0" borderId="0"/>
    <xf numFmtId="0" fontId="23" fillId="0" borderId="0"/>
    <xf numFmtId="0" fontId="23" fillId="0" borderId="0"/>
    <xf numFmtId="0" fontId="22" fillId="0" borderId="0"/>
    <xf numFmtId="0" fontId="22" fillId="0" borderId="0"/>
    <xf numFmtId="0" fontId="21" fillId="0" borderId="0"/>
    <xf numFmtId="0" fontId="21" fillId="0" borderId="0"/>
    <xf numFmtId="0" fontId="20" fillId="0" borderId="0"/>
    <xf numFmtId="0" fontId="20" fillId="0" borderId="0"/>
    <xf numFmtId="0" fontId="19" fillId="0" borderId="0"/>
    <xf numFmtId="0" fontId="19" fillId="0" borderId="0"/>
    <xf numFmtId="0" fontId="18" fillId="0" borderId="0"/>
    <xf numFmtId="0" fontId="18" fillId="0" borderId="0"/>
    <xf numFmtId="0" fontId="17" fillId="0" borderId="0"/>
    <xf numFmtId="0" fontId="17" fillId="0" borderId="0"/>
    <xf numFmtId="0" fontId="16" fillId="0" borderId="0"/>
    <xf numFmtId="0" fontId="16" fillId="0" borderId="0"/>
    <xf numFmtId="0" fontId="15" fillId="0" borderId="0"/>
    <xf numFmtId="0" fontId="15" fillId="0" borderId="0"/>
    <xf numFmtId="0" fontId="14" fillId="0" borderId="0"/>
    <xf numFmtId="0" fontId="14" fillId="0" borderId="0"/>
    <xf numFmtId="0" fontId="13" fillId="0" borderId="0"/>
    <xf numFmtId="0" fontId="13" fillId="0" borderId="0"/>
    <xf numFmtId="0" fontId="12" fillId="0" borderId="0"/>
    <xf numFmtId="0" fontId="12" fillId="0" borderId="0"/>
    <xf numFmtId="0" fontId="11" fillId="0" borderId="0"/>
    <xf numFmtId="0" fontId="11" fillId="0" borderId="0"/>
    <xf numFmtId="0" fontId="10" fillId="0" borderId="0"/>
    <xf numFmtId="0" fontId="10" fillId="0" borderId="0"/>
    <xf numFmtId="0" fontId="9" fillId="0" borderId="0"/>
    <xf numFmtId="0" fontId="9" fillId="0" borderId="0"/>
    <xf numFmtId="0" fontId="8" fillId="0" borderId="0"/>
    <xf numFmtId="0" fontId="8" fillId="0" borderId="0"/>
    <xf numFmtId="0" fontId="7" fillId="0" borderId="0"/>
    <xf numFmtId="0" fontId="7" fillId="0" borderId="0"/>
    <xf numFmtId="0" fontId="6" fillId="0" borderId="0"/>
    <xf numFmtId="0" fontId="6" fillId="0" borderId="0"/>
    <xf numFmtId="0" fontId="5" fillId="0" borderId="0"/>
    <xf numFmtId="0" fontId="5" fillId="0" borderId="0"/>
    <xf numFmtId="0" fontId="4" fillId="0" borderId="0"/>
    <xf numFmtId="0" fontId="4" fillId="0" borderId="0"/>
    <xf numFmtId="0" fontId="3" fillId="0" borderId="0"/>
    <xf numFmtId="0" fontId="3" fillId="0" borderId="0"/>
    <xf numFmtId="0" fontId="2" fillId="0" borderId="0"/>
    <xf numFmtId="0" fontId="2" fillId="0" borderId="0"/>
    <xf numFmtId="0" fontId="1" fillId="0" borderId="0"/>
    <xf numFmtId="0" fontId="1" fillId="0" borderId="0"/>
  </cellStyleXfs>
  <cellXfs count="159">
    <xf numFmtId="0" fontId="0" fillId="0" borderId="0" xfId="0"/>
    <xf numFmtId="0" fontId="287" fillId="0" borderId="0" xfId="0" applyFont="1"/>
    <xf numFmtId="0" fontId="0" fillId="0" borderId="0" xfId="0" applyFont="1"/>
    <xf numFmtId="0" fontId="0" fillId="0" borderId="0" xfId="0"/>
    <xf numFmtId="0" fontId="283" fillId="2" borderId="0" xfId="1"/>
    <xf numFmtId="0" fontId="286" fillId="0" borderId="0" xfId="195"/>
    <xf numFmtId="0" fontId="287" fillId="0" borderId="0" xfId="195" applyFont="1"/>
    <xf numFmtId="0" fontId="305" fillId="0" borderId="0" xfId="195" applyFont="1"/>
    <xf numFmtId="0" fontId="286" fillId="0" borderId="0" xfId="195" applyFill="1"/>
    <xf numFmtId="0" fontId="307" fillId="0" borderId="0" xfId="104" applyFont="1"/>
    <xf numFmtId="0" fontId="307" fillId="0" borderId="0" xfId="197" applyFont="1"/>
    <xf numFmtId="0" fontId="307" fillId="0" borderId="0" xfId="104" applyFont="1" applyFill="1"/>
    <xf numFmtId="0" fontId="287" fillId="0" borderId="0" xfId="0" applyFont="1" applyAlignment="1">
      <alignment vertical="center"/>
    </xf>
    <xf numFmtId="0" fontId="288" fillId="0" borderId="0" xfId="0" applyFont="1" applyAlignment="1">
      <alignment vertical="center"/>
    </xf>
    <xf numFmtId="0" fontId="289" fillId="0" borderId="0" xfId="0" applyFont="1" applyAlignment="1">
      <alignment vertical="center"/>
    </xf>
    <xf numFmtId="0" fontId="290" fillId="0" borderId="0" xfId="0" applyFont="1" applyAlignment="1">
      <alignment vertical="center"/>
    </xf>
    <xf numFmtId="0" fontId="291" fillId="0" borderId="0" xfId="0" applyFont="1" applyAlignment="1">
      <alignment vertical="center"/>
    </xf>
    <xf numFmtId="0" fontId="292" fillId="0" borderId="0" xfId="0" applyFont="1" applyAlignment="1">
      <alignment vertical="center"/>
    </xf>
    <xf numFmtId="0" fontId="293" fillId="0" borderId="0" xfId="0" applyFont="1" applyAlignment="1">
      <alignment vertical="center"/>
    </xf>
    <xf numFmtId="0" fontId="294" fillId="0" borderId="0" xfId="0" applyFont="1" applyAlignment="1">
      <alignment vertical="center"/>
    </xf>
    <xf numFmtId="0" fontId="295" fillId="0" borderId="0" xfId="0" applyFont="1" applyAlignment="1">
      <alignment vertical="center"/>
    </xf>
    <xf numFmtId="0" fontId="296" fillId="0" borderId="0" xfId="0" applyFont="1" applyAlignment="1">
      <alignment vertical="center"/>
    </xf>
    <xf numFmtId="0" fontId="297" fillId="0" borderId="0" xfId="0" applyFont="1" applyAlignment="1">
      <alignment vertical="center"/>
    </xf>
    <xf numFmtId="0" fontId="298" fillId="0" borderId="0" xfId="0" applyFont="1" applyAlignment="1">
      <alignment vertical="center"/>
    </xf>
    <xf numFmtId="0" fontId="287" fillId="4" borderId="1" xfId="3" applyFont="1" applyAlignment="1">
      <alignment vertical="center"/>
    </xf>
    <xf numFmtId="0" fontId="287" fillId="0" borderId="0" xfId="0" applyFont="1" applyFill="1" applyBorder="1" applyAlignment="1">
      <alignment vertical="center"/>
    </xf>
    <xf numFmtId="49" fontId="287" fillId="0" borderId="0" xfId="0" applyNumberFormat="1" applyFont="1" applyAlignment="1">
      <alignment vertical="center"/>
    </xf>
    <xf numFmtId="0" fontId="287" fillId="9" borderId="0" xfId="0" applyFont="1" applyFill="1" applyAlignment="1">
      <alignment vertical="center"/>
    </xf>
    <xf numFmtId="0" fontId="299" fillId="9" borderId="0" xfId="0" applyFont="1" applyFill="1" applyAlignment="1">
      <alignment vertical="center"/>
    </xf>
    <xf numFmtId="0" fontId="287" fillId="9" borderId="0" xfId="0" applyFont="1" applyFill="1" applyBorder="1" applyAlignment="1">
      <alignment vertical="center"/>
    </xf>
    <xf numFmtId="0" fontId="287" fillId="9" borderId="0" xfId="0" applyFont="1" applyFill="1" applyBorder="1" applyAlignment="1">
      <alignment horizontal="center" vertical="center"/>
    </xf>
    <xf numFmtId="0" fontId="0" fillId="0" borderId="0" xfId="0" applyFont="1" applyAlignment="1">
      <alignment vertical="center"/>
    </xf>
    <xf numFmtId="49" fontId="287" fillId="9" borderId="0" xfId="0" applyNumberFormat="1" applyFont="1" applyFill="1" applyAlignment="1">
      <alignment vertical="center"/>
    </xf>
    <xf numFmtId="0" fontId="0" fillId="0" borderId="0" xfId="0" applyFont="1" applyBorder="1" applyAlignment="1">
      <alignment vertical="center"/>
    </xf>
    <xf numFmtId="0" fontId="0" fillId="0" borderId="0" xfId="0" applyFont="1" applyBorder="1" applyAlignment="1">
      <alignment horizontal="center" vertical="center"/>
    </xf>
    <xf numFmtId="0" fontId="0" fillId="4" borderId="1" xfId="3" applyFont="1" applyAlignment="1">
      <alignment vertical="center"/>
    </xf>
    <xf numFmtId="49" fontId="0" fillId="0" borderId="0" xfId="0" applyNumberFormat="1" applyFont="1" applyBorder="1" applyAlignment="1">
      <alignment vertical="center"/>
    </xf>
    <xf numFmtId="0" fontId="300" fillId="0" borderId="0" xfId="0" applyFont="1" applyAlignment="1">
      <alignment vertical="center"/>
    </xf>
    <xf numFmtId="0" fontId="0" fillId="0" borderId="6" xfId="0" applyFont="1" applyBorder="1" applyAlignment="1">
      <alignment vertical="center"/>
    </xf>
    <xf numFmtId="0" fontId="300" fillId="0" borderId="6" xfId="0" applyFont="1" applyBorder="1" applyAlignment="1">
      <alignment vertical="center"/>
    </xf>
    <xf numFmtId="0" fontId="0" fillId="0" borderId="6" xfId="0" applyFont="1" applyBorder="1" applyAlignment="1">
      <alignment horizontal="center" vertical="center"/>
    </xf>
    <xf numFmtId="0" fontId="0" fillId="4" borderId="7" xfId="3" applyFont="1" applyBorder="1" applyAlignment="1">
      <alignment vertical="center"/>
    </xf>
    <xf numFmtId="49" fontId="0" fillId="0" borderId="6" xfId="0" applyNumberFormat="1" applyFont="1" applyBorder="1" applyAlignment="1">
      <alignment vertical="center"/>
    </xf>
    <xf numFmtId="0" fontId="0" fillId="4" borderId="2" xfId="3" applyFont="1" applyBorder="1" applyAlignment="1">
      <alignment vertical="center"/>
    </xf>
    <xf numFmtId="0" fontId="0" fillId="0" borderId="0" xfId="0" applyFont="1" applyFill="1" applyBorder="1" applyAlignment="1">
      <alignment vertical="center"/>
    </xf>
    <xf numFmtId="0" fontId="0" fillId="0" borderId="6" xfId="0" applyFont="1" applyFill="1" applyBorder="1" applyAlignment="1">
      <alignment vertical="center"/>
    </xf>
    <xf numFmtId="0" fontId="287" fillId="0" borderId="6" xfId="0" applyFont="1" applyBorder="1" applyAlignment="1">
      <alignment vertical="center"/>
    </xf>
    <xf numFmtId="0" fontId="0" fillId="4" borderId="9" xfId="3" applyFont="1" applyBorder="1" applyAlignment="1">
      <alignment vertical="center"/>
    </xf>
    <xf numFmtId="0" fontId="0" fillId="0" borderId="0" xfId="36" applyFont="1" applyAlignment="1">
      <alignment vertical="center"/>
    </xf>
    <xf numFmtId="49" fontId="0" fillId="0" borderId="0" xfId="0" applyNumberFormat="1" applyFont="1" applyAlignment="1">
      <alignment vertical="center"/>
    </xf>
    <xf numFmtId="0" fontId="287" fillId="4" borderId="7" xfId="3" applyFont="1" applyBorder="1" applyAlignment="1">
      <alignment vertical="center"/>
    </xf>
    <xf numFmtId="0" fontId="287" fillId="4" borderId="2" xfId="3" applyFont="1" applyBorder="1" applyAlignment="1">
      <alignment vertical="center"/>
    </xf>
    <xf numFmtId="0" fontId="0" fillId="9" borderId="0" xfId="0" applyFont="1" applyFill="1" applyAlignment="1">
      <alignment vertical="center"/>
    </xf>
    <xf numFmtId="0" fontId="287" fillId="9" borderId="6" xfId="0" applyFont="1" applyFill="1" applyBorder="1" applyAlignment="1">
      <alignment vertical="center"/>
    </xf>
    <xf numFmtId="0" fontId="0" fillId="0" borderId="0" xfId="8" applyFont="1" applyAlignment="1">
      <alignment vertical="center"/>
    </xf>
    <xf numFmtId="0" fontId="300" fillId="0" borderId="0" xfId="8" applyFont="1" applyAlignment="1">
      <alignment vertical="center"/>
    </xf>
    <xf numFmtId="0" fontId="0" fillId="0" borderId="0" xfId="8" applyFont="1" applyBorder="1" applyAlignment="1">
      <alignment vertical="center"/>
    </xf>
    <xf numFmtId="0" fontId="0" fillId="0" borderId="0" xfId="8" applyFont="1" applyFill="1" applyBorder="1" applyAlignment="1">
      <alignment vertical="center"/>
    </xf>
    <xf numFmtId="0" fontId="0" fillId="0" borderId="0" xfId="8" applyFont="1" applyBorder="1" applyAlignment="1">
      <alignment horizontal="center" vertical="center"/>
    </xf>
    <xf numFmtId="49" fontId="0" fillId="0" borderId="0" xfId="8" applyNumberFormat="1" applyFont="1" applyAlignment="1">
      <alignment vertical="center"/>
    </xf>
    <xf numFmtId="0" fontId="0" fillId="0" borderId="3" xfId="0" applyFont="1" applyBorder="1" applyAlignment="1">
      <alignment vertical="center"/>
    </xf>
    <xf numFmtId="0" fontId="300" fillId="0" borderId="3" xfId="0" applyFont="1" applyBorder="1" applyAlignment="1">
      <alignment vertical="center"/>
    </xf>
    <xf numFmtId="0" fontId="0" fillId="0" borderId="3" xfId="0" applyFont="1" applyFill="1" applyBorder="1" applyAlignment="1">
      <alignment vertical="center"/>
    </xf>
    <xf numFmtId="0" fontId="0" fillId="0" borderId="3" xfId="0" applyFont="1" applyBorder="1" applyAlignment="1">
      <alignment horizontal="center" vertical="center"/>
    </xf>
    <xf numFmtId="0" fontId="0" fillId="4" borderId="4" xfId="3" applyFont="1" applyBorder="1" applyAlignment="1">
      <alignment vertical="center"/>
    </xf>
    <xf numFmtId="0" fontId="0" fillId="4" borderId="3" xfId="3" applyFont="1" applyBorder="1" applyAlignment="1">
      <alignment vertical="center"/>
    </xf>
    <xf numFmtId="49" fontId="0" fillId="0" borderId="3" xfId="0" applyNumberFormat="1" applyFont="1" applyBorder="1" applyAlignment="1">
      <alignment vertical="center"/>
    </xf>
    <xf numFmtId="0" fontId="0" fillId="4" borderId="0" xfId="3" applyFont="1" applyBorder="1" applyAlignment="1">
      <alignment vertical="center"/>
    </xf>
    <xf numFmtId="0" fontId="0" fillId="4" borderId="5" xfId="3" applyFont="1" applyBorder="1" applyAlignment="1">
      <alignment vertical="center"/>
    </xf>
    <xf numFmtId="0" fontId="0" fillId="0" borderId="0" xfId="8" applyFont="1" applyFill="1" applyAlignment="1">
      <alignment vertical="center"/>
    </xf>
    <xf numFmtId="0" fontId="299" fillId="0" borderId="0" xfId="0" applyFont="1" applyAlignment="1">
      <alignment vertical="center"/>
    </xf>
    <xf numFmtId="0" fontId="304" fillId="10" borderId="0" xfId="0" applyFont="1" applyFill="1" applyAlignment="1">
      <alignment vertical="center"/>
    </xf>
    <xf numFmtId="0" fontId="0" fillId="0" borderId="0" xfId="0" applyFont="1" applyFill="1" applyAlignment="1">
      <alignment vertical="center"/>
    </xf>
    <xf numFmtId="0" fontId="301" fillId="0" borderId="0" xfId="15" applyFont="1" applyAlignment="1">
      <alignment vertical="center"/>
    </xf>
    <xf numFmtId="0" fontId="301" fillId="0" borderId="0" xfId="15" applyFont="1" applyFill="1" applyAlignment="1">
      <alignment vertical="center"/>
    </xf>
    <xf numFmtId="0" fontId="0" fillId="4" borderId="13" xfId="3" applyFont="1" applyBorder="1" applyAlignment="1">
      <alignment vertical="center"/>
    </xf>
    <xf numFmtId="0" fontId="0" fillId="4" borderId="12" xfId="3" applyFont="1" applyBorder="1" applyAlignment="1">
      <alignment vertical="center"/>
    </xf>
    <xf numFmtId="0" fontId="304" fillId="6" borderId="0" xfId="5" applyFont="1" applyAlignment="1">
      <alignment vertical="center"/>
    </xf>
    <xf numFmtId="0" fontId="304" fillId="5" borderId="0" xfId="4" applyFont="1" applyAlignment="1">
      <alignment vertical="center"/>
    </xf>
    <xf numFmtId="0" fontId="304" fillId="8" borderId="0" xfId="7" applyFont="1" applyAlignment="1">
      <alignment vertical="center"/>
    </xf>
    <xf numFmtId="0" fontId="304" fillId="7" borderId="0" xfId="6" applyFont="1" applyAlignment="1">
      <alignment vertical="center"/>
    </xf>
    <xf numFmtId="0" fontId="308" fillId="3" borderId="0" xfId="2" applyFont="1" applyAlignment="1">
      <alignment vertical="center"/>
    </xf>
    <xf numFmtId="0" fontId="308" fillId="3" borderId="1" xfId="2" applyFont="1" applyBorder="1" applyAlignment="1">
      <alignment vertical="center"/>
    </xf>
    <xf numFmtId="0" fontId="308" fillId="3" borderId="0" xfId="2" applyFont="1" applyBorder="1" applyAlignment="1">
      <alignment vertical="center"/>
    </xf>
    <xf numFmtId="49" fontId="308" fillId="3" borderId="0" xfId="2" applyNumberFormat="1" applyFont="1" applyAlignment="1">
      <alignment vertical="center"/>
    </xf>
    <xf numFmtId="0" fontId="309" fillId="2" borderId="0" xfId="1" applyFont="1" applyAlignment="1">
      <alignment vertical="center"/>
    </xf>
    <xf numFmtId="0" fontId="309" fillId="2" borderId="3" xfId="1" applyFont="1" applyBorder="1" applyAlignment="1">
      <alignment vertical="center"/>
    </xf>
    <xf numFmtId="0" fontId="309" fillId="2" borderId="6" xfId="1" applyFont="1" applyBorder="1" applyAlignment="1">
      <alignment vertical="center"/>
    </xf>
    <xf numFmtId="49" fontId="0" fillId="0" borderId="0" xfId="0" applyNumberFormat="1" applyFont="1" applyFill="1" applyBorder="1" applyAlignment="1">
      <alignment vertical="center"/>
    </xf>
    <xf numFmtId="0" fontId="310" fillId="0" borderId="0" xfId="34" applyFont="1" applyAlignment="1">
      <alignment vertical="center"/>
    </xf>
    <xf numFmtId="0" fontId="309" fillId="2" borderId="0" xfId="1" applyFont="1" applyBorder="1" applyAlignment="1">
      <alignment vertical="center"/>
    </xf>
    <xf numFmtId="49" fontId="309" fillId="2" borderId="0" xfId="1" applyNumberFormat="1" applyFont="1" applyAlignment="1">
      <alignment vertical="center"/>
    </xf>
    <xf numFmtId="0" fontId="308" fillId="3" borderId="0" xfId="2" applyFont="1" applyBorder="1" applyAlignment="1">
      <alignment horizontal="center" vertical="center"/>
    </xf>
    <xf numFmtId="49" fontId="308" fillId="3" borderId="0" xfId="2" applyNumberFormat="1" applyFont="1" applyBorder="1" applyAlignment="1">
      <alignment vertical="center"/>
    </xf>
    <xf numFmtId="0" fontId="308" fillId="3" borderId="6" xfId="2" applyFont="1" applyBorder="1" applyAlignment="1">
      <alignment vertical="center"/>
    </xf>
    <xf numFmtId="0" fontId="308" fillId="3" borderId="6" xfId="2" applyFont="1" applyBorder="1" applyAlignment="1">
      <alignment horizontal="center" vertical="center"/>
    </xf>
    <xf numFmtId="0" fontId="308" fillId="3" borderId="8" xfId="2" applyFont="1" applyBorder="1" applyAlignment="1">
      <alignment vertical="center"/>
    </xf>
    <xf numFmtId="49" fontId="308" fillId="3" borderId="6" xfId="2" applyNumberFormat="1" applyFont="1" applyBorder="1" applyAlignment="1">
      <alignment vertical="center"/>
    </xf>
    <xf numFmtId="0" fontId="0" fillId="0" borderId="0" xfId="2" applyFont="1" applyFill="1" applyBorder="1" applyAlignment="1">
      <alignment vertical="center"/>
    </xf>
    <xf numFmtId="0" fontId="308" fillId="3" borderId="10" xfId="2" applyFont="1" applyBorder="1" applyAlignment="1">
      <alignment vertical="center"/>
    </xf>
    <xf numFmtId="0" fontId="308" fillId="3" borderId="10" xfId="2" applyFont="1" applyBorder="1" applyAlignment="1">
      <alignment horizontal="center" vertical="center"/>
    </xf>
    <xf numFmtId="49" fontId="308" fillId="3" borderId="10" xfId="2" applyNumberFormat="1" applyFont="1" applyBorder="1" applyAlignment="1">
      <alignment vertical="center"/>
    </xf>
    <xf numFmtId="0" fontId="308" fillId="3" borderId="7" xfId="2" applyFont="1" applyBorder="1" applyAlignment="1">
      <alignment vertical="center"/>
    </xf>
    <xf numFmtId="0" fontId="301" fillId="0" borderId="0" xfId="103" applyFont="1" applyAlignment="1">
      <alignment vertical="center"/>
    </xf>
    <xf numFmtId="0" fontId="308" fillId="3" borderId="11" xfId="2" applyFont="1" applyBorder="1" applyAlignment="1">
      <alignment vertical="center"/>
    </xf>
    <xf numFmtId="0" fontId="308" fillId="3" borderId="3" xfId="2" applyFont="1" applyBorder="1" applyAlignment="1">
      <alignment vertical="center"/>
    </xf>
    <xf numFmtId="0" fontId="287" fillId="11" borderId="0" xfId="196" applyFont="1" applyAlignment="1">
      <alignment vertical="center"/>
    </xf>
    <xf numFmtId="0" fontId="311" fillId="11" borderId="0" xfId="196" applyFont="1" applyAlignment="1">
      <alignment vertical="center"/>
    </xf>
    <xf numFmtId="0" fontId="311" fillId="11" borderId="0" xfId="196" applyFont="1" applyBorder="1" applyAlignment="1">
      <alignment vertical="center"/>
    </xf>
    <xf numFmtId="0" fontId="311" fillId="11" borderId="0" xfId="196" applyFont="1" applyBorder="1" applyAlignment="1">
      <alignment horizontal="center" vertical="center"/>
    </xf>
    <xf numFmtId="0" fontId="311" fillId="11" borderId="1" xfId="196" applyFont="1" applyBorder="1" applyAlignment="1">
      <alignment vertical="center"/>
    </xf>
    <xf numFmtId="49" fontId="311" fillId="11" borderId="0" xfId="196" applyNumberFormat="1" applyFont="1" applyBorder="1" applyAlignment="1">
      <alignment vertical="center"/>
    </xf>
    <xf numFmtId="0" fontId="0" fillId="0" borderId="0" xfId="0" applyFill="1" applyAlignment="1">
      <alignment vertical="center"/>
    </xf>
    <xf numFmtId="0" fontId="0" fillId="0" borderId="0" xfId="0" applyAlignment="1">
      <alignment vertical="center"/>
    </xf>
    <xf numFmtId="0" fontId="0" fillId="0" borderId="6" xfId="0" applyBorder="1" applyAlignment="1">
      <alignment vertical="center"/>
    </xf>
    <xf numFmtId="0" fontId="300" fillId="0" borderId="0" xfId="0" applyFont="1" applyBorder="1" applyAlignment="1">
      <alignment vertical="center"/>
    </xf>
    <xf numFmtId="0" fontId="0" fillId="0" borderId="0" xfId="0" applyBorder="1" applyAlignment="1">
      <alignment vertical="center"/>
    </xf>
    <xf numFmtId="0" fontId="0" fillId="4" borderId="8" xfId="3" applyFont="1" applyBorder="1" applyAlignment="1">
      <alignment vertical="center"/>
    </xf>
    <xf numFmtId="0" fontId="0" fillId="0" borderId="10" xfId="0" applyFont="1" applyBorder="1" applyAlignment="1">
      <alignment vertical="center"/>
    </xf>
    <xf numFmtId="0" fontId="300" fillId="0" borderId="10" xfId="0" applyFont="1" applyBorder="1" applyAlignment="1">
      <alignment vertical="center"/>
    </xf>
    <xf numFmtId="0" fontId="0" fillId="0" borderId="10" xfId="0" applyFont="1" applyBorder="1" applyAlignment="1">
      <alignment horizontal="center" vertical="center"/>
    </xf>
    <xf numFmtId="0" fontId="0" fillId="4" borderId="14" xfId="3" applyFont="1" applyBorder="1" applyAlignment="1">
      <alignment vertical="center"/>
    </xf>
    <xf numFmtId="49" fontId="0" fillId="0" borderId="10" xfId="0" applyNumberFormat="1" applyFont="1" applyBorder="1" applyAlignment="1">
      <alignment vertical="center"/>
    </xf>
    <xf numFmtId="0" fontId="0" fillId="0" borderId="10" xfId="0" applyBorder="1" applyAlignment="1">
      <alignment vertical="center"/>
    </xf>
    <xf numFmtId="0" fontId="0" fillId="4" borderId="15" xfId="3" applyFont="1" applyBorder="1" applyAlignment="1">
      <alignment vertical="center"/>
    </xf>
    <xf numFmtId="0" fontId="0" fillId="0" borderId="0" xfId="195" applyFont="1" applyFill="1"/>
    <xf numFmtId="0" fontId="0" fillId="12" borderId="0" xfId="0" applyFill="1" applyAlignment="1">
      <alignment vertical="center"/>
    </xf>
    <xf numFmtId="0" fontId="0" fillId="13" borderId="0" xfId="0" applyFont="1" applyFill="1"/>
    <xf numFmtId="0" fontId="284" fillId="3" borderId="0" xfId="2" applyBorder="1" applyAlignment="1">
      <alignment vertical="center"/>
    </xf>
    <xf numFmtId="0" fontId="284" fillId="3" borderId="6" xfId="2" applyBorder="1" applyAlignment="1">
      <alignment vertical="center"/>
    </xf>
    <xf numFmtId="0" fontId="284" fillId="3" borderId="0" xfId="2" applyAlignment="1">
      <alignment vertical="center"/>
    </xf>
    <xf numFmtId="0" fontId="284" fillId="3" borderId="0" xfId="2" applyBorder="1" applyAlignment="1">
      <alignment horizontal="center" vertical="center"/>
    </xf>
    <xf numFmtId="0" fontId="284" fillId="3" borderId="9" xfId="2" applyBorder="1" applyAlignment="1">
      <alignment vertical="center"/>
    </xf>
    <xf numFmtId="49" fontId="284" fillId="3" borderId="0" xfId="2" applyNumberFormat="1" applyBorder="1" applyAlignment="1">
      <alignment vertical="center"/>
    </xf>
    <xf numFmtId="0" fontId="0" fillId="0" borderId="0" xfId="0" applyFill="1" applyBorder="1" applyAlignment="1">
      <alignment vertical="center"/>
    </xf>
    <xf numFmtId="0" fontId="308" fillId="3" borderId="15" xfId="2" applyFont="1" applyBorder="1" applyAlignment="1">
      <alignment vertical="center"/>
    </xf>
    <xf numFmtId="11" fontId="0" fillId="0" borderId="0" xfId="0" applyNumberFormat="1" applyFont="1" applyAlignment="1">
      <alignment vertical="center"/>
    </xf>
    <xf numFmtId="0" fontId="283" fillId="2" borderId="0" xfId="1" applyAlignment="1">
      <alignment vertical="center"/>
    </xf>
    <xf numFmtId="0" fontId="283" fillId="2" borderId="0" xfId="1" applyBorder="1" applyAlignment="1">
      <alignment vertical="center"/>
    </xf>
    <xf numFmtId="0" fontId="283" fillId="2" borderId="0" xfId="1" applyBorder="1" applyAlignment="1">
      <alignment horizontal="center" vertical="center"/>
    </xf>
    <xf numFmtId="0" fontId="283" fillId="2" borderId="1" xfId="1" applyBorder="1" applyAlignment="1">
      <alignment vertical="center"/>
    </xf>
    <xf numFmtId="49" fontId="283" fillId="2" borderId="0" xfId="1" applyNumberFormat="1" applyBorder="1" applyAlignment="1">
      <alignment vertical="center"/>
    </xf>
    <xf numFmtId="0" fontId="306" fillId="14" borderId="0" xfId="196" applyFill="1" applyAlignment="1">
      <alignment vertical="center"/>
    </xf>
    <xf numFmtId="0" fontId="306" fillId="14" borderId="1" xfId="196" applyFill="1" applyBorder="1" applyAlignment="1">
      <alignment vertical="center"/>
    </xf>
    <xf numFmtId="0" fontId="313" fillId="14" borderId="0" xfId="196" applyFont="1" applyFill="1" applyAlignment="1">
      <alignment vertical="center"/>
    </xf>
    <xf numFmtId="0" fontId="0" fillId="15" borderId="0" xfId="0" applyFill="1" applyAlignment="1">
      <alignment vertical="center"/>
    </xf>
    <xf numFmtId="0" fontId="0" fillId="0" borderId="0" xfId="1" applyFont="1" applyFill="1" applyAlignment="1">
      <alignment vertical="center"/>
    </xf>
    <xf numFmtId="0" fontId="0" fillId="16" borderId="0" xfId="0" applyFill="1" applyAlignment="1">
      <alignment vertical="center"/>
    </xf>
    <xf numFmtId="0" fontId="0" fillId="17" borderId="0" xfId="0" applyFill="1" applyAlignment="1">
      <alignment vertical="center"/>
    </xf>
    <xf numFmtId="0" fontId="0" fillId="18" borderId="0" xfId="0" applyFont="1" applyFill="1" applyAlignment="1">
      <alignment vertical="center"/>
    </xf>
    <xf numFmtId="49" fontId="0" fillId="0" borderId="0" xfId="0" applyNumberFormat="1" applyFill="1" applyBorder="1" applyAlignment="1">
      <alignment vertical="center"/>
    </xf>
    <xf numFmtId="49" fontId="286" fillId="0" borderId="0" xfId="2" applyNumberFormat="1" applyFont="1" applyFill="1" applyAlignment="1">
      <alignment vertical="center"/>
    </xf>
    <xf numFmtId="49" fontId="0" fillId="0" borderId="0" xfId="0" applyNumberFormat="1" applyBorder="1" applyAlignment="1">
      <alignment vertical="center"/>
    </xf>
    <xf numFmtId="1" fontId="287" fillId="9" borderId="0" xfId="0" applyNumberFormat="1" applyFont="1" applyFill="1" applyAlignment="1">
      <alignment vertical="center"/>
    </xf>
    <xf numFmtId="0" fontId="301" fillId="16" borderId="0" xfId="15" applyFont="1" applyFill="1" applyAlignment="1">
      <alignment vertical="center"/>
    </xf>
    <xf numFmtId="49" fontId="0" fillId="0" borderId="0" xfId="0" applyNumberFormat="1"/>
    <xf numFmtId="0" fontId="314" fillId="0" borderId="0" xfId="0" applyFont="1"/>
    <xf numFmtId="0" fontId="1" fillId="0" borderId="0" xfId="103" applyFont="1"/>
    <xf numFmtId="0" fontId="1" fillId="0" borderId="0" xfId="12" applyFont="1" applyFill="1" applyBorder="1"/>
  </cellXfs>
  <cellStyles count="752">
    <cellStyle name="60% - Accent1" xfId="4" builtinId="32"/>
    <cellStyle name="60% - Accent2" xfId="5" builtinId="36"/>
    <cellStyle name="60% - Accent4" xfId="6" builtinId="44"/>
    <cellStyle name="60% - Accent6" xfId="7" builtinId="52"/>
    <cellStyle name="Bad" xfId="1" builtinId="27"/>
    <cellStyle name="Good" xfId="196" builtinId="26"/>
    <cellStyle name="Neutral" xfId="2" builtinId="28"/>
    <cellStyle name="Normal" xfId="0" builtinId="0"/>
    <cellStyle name="Normal 10" xfId="104"/>
    <cellStyle name="Normal 11" xfId="103"/>
    <cellStyle name="Normal 11 10" xfId="218"/>
    <cellStyle name="Normal 11 100" xfId="398"/>
    <cellStyle name="Normal 11 101" xfId="400"/>
    <cellStyle name="Normal 11 102" xfId="402"/>
    <cellStyle name="Normal 11 103" xfId="404"/>
    <cellStyle name="Normal 11 104" xfId="406"/>
    <cellStyle name="Normal 11 105" xfId="408"/>
    <cellStyle name="Normal 11 106" xfId="410"/>
    <cellStyle name="Normal 11 107" xfId="412"/>
    <cellStyle name="Normal 11 108" xfId="414"/>
    <cellStyle name="Normal 11 109" xfId="416"/>
    <cellStyle name="Normal 11 11" xfId="220"/>
    <cellStyle name="Normal 11 110" xfId="418"/>
    <cellStyle name="Normal 11 111" xfId="420"/>
    <cellStyle name="Normal 11 112" xfId="422"/>
    <cellStyle name="Normal 11 113" xfId="424"/>
    <cellStyle name="Normal 11 114" xfId="426"/>
    <cellStyle name="Normal 11 115" xfId="428"/>
    <cellStyle name="Normal 11 116" xfId="430"/>
    <cellStyle name="Normal 11 117" xfId="432"/>
    <cellStyle name="Normal 11 118" xfId="434"/>
    <cellStyle name="Normal 11 119" xfId="436"/>
    <cellStyle name="Normal 11 12" xfId="222"/>
    <cellStyle name="Normal 11 120" xfId="438"/>
    <cellStyle name="Normal 11 121" xfId="440"/>
    <cellStyle name="Normal 11 122" xfId="442"/>
    <cellStyle name="Normal 11 123" xfId="444"/>
    <cellStyle name="Normal 11 124" xfId="446"/>
    <cellStyle name="Normal 11 125" xfId="448"/>
    <cellStyle name="Normal 11 126" xfId="450"/>
    <cellStyle name="Normal 11 127" xfId="452"/>
    <cellStyle name="Normal 11 128" xfId="454"/>
    <cellStyle name="Normal 11 129" xfId="456"/>
    <cellStyle name="Normal 11 13" xfId="224"/>
    <cellStyle name="Normal 11 130" xfId="458"/>
    <cellStyle name="Normal 11 131" xfId="460"/>
    <cellStyle name="Normal 11 132" xfId="462"/>
    <cellStyle name="Normal 11 133" xfId="464"/>
    <cellStyle name="Normal 11 134" xfId="466"/>
    <cellStyle name="Normal 11 135" xfId="468"/>
    <cellStyle name="Normal 11 136" xfId="470"/>
    <cellStyle name="Normal 11 137" xfId="472"/>
    <cellStyle name="Normal 11 138" xfId="474"/>
    <cellStyle name="Normal 11 139" xfId="476"/>
    <cellStyle name="Normal 11 14" xfId="226"/>
    <cellStyle name="Normal 11 140" xfId="478"/>
    <cellStyle name="Normal 11 141" xfId="480"/>
    <cellStyle name="Normal 11 142" xfId="482"/>
    <cellStyle name="Normal 11 143" xfId="484"/>
    <cellStyle name="Normal 11 144" xfId="486"/>
    <cellStyle name="Normal 11 145" xfId="488"/>
    <cellStyle name="Normal 11 146" xfId="490"/>
    <cellStyle name="Normal 11 147" xfId="492"/>
    <cellStyle name="Normal 11 148" xfId="494"/>
    <cellStyle name="Normal 11 149" xfId="496"/>
    <cellStyle name="Normal 11 15" xfId="228"/>
    <cellStyle name="Normal 11 150" xfId="498"/>
    <cellStyle name="Normal 11 151" xfId="500"/>
    <cellStyle name="Normal 11 152" xfId="502"/>
    <cellStyle name="Normal 11 153" xfId="504"/>
    <cellStyle name="Normal 11 154" xfId="506"/>
    <cellStyle name="Normal 11 155" xfId="508"/>
    <cellStyle name="Normal 11 156" xfId="510"/>
    <cellStyle name="Normal 11 157" xfId="512"/>
    <cellStyle name="Normal 11 158" xfId="514"/>
    <cellStyle name="Normal 11 159" xfId="516"/>
    <cellStyle name="Normal 11 16" xfId="230"/>
    <cellStyle name="Normal 11 160" xfId="518"/>
    <cellStyle name="Normal 11 161" xfId="520"/>
    <cellStyle name="Normal 11 162" xfId="522"/>
    <cellStyle name="Normal 11 163" xfId="524"/>
    <cellStyle name="Normal 11 164" xfId="526"/>
    <cellStyle name="Normal 11 165" xfId="528"/>
    <cellStyle name="Normal 11 166" xfId="530"/>
    <cellStyle name="Normal 11 167" xfId="532"/>
    <cellStyle name="Normal 11 168" xfId="534"/>
    <cellStyle name="Normal 11 169" xfId="536"/>
    <cellStyle name="Normal 11 17" xfId="232"/>
    <cellStyle name="Normal 11 170" xfId="538"/>
    <cellStyle name="Normal 11 171" xfId="540"/>
    <cellStyle name="Normal 11 172" xfId="542"/>
    <cellStyle name="Normal 11 173" xfId="544"/>
    <cellStyle name="Normal 11 174" xfId="546"/>
    <cellStyle name="Normal 11 175" xfId="548"/>
    <cellStyle name="Normal 11 176" xfId="550"/>
    <cellStyle name="Normal 11 177" xfId="552"/>
    <cellStyle name="Normal 11 178" xfId="554"/>
    <cellStyle name="Normal 11 179" xfId="556"/>
    <cellStyle name="Normal 11 18" xfId="234"/>
    <cellStyle name="Normal 11 180" xfId="558"/>
    <cellStyle name="Normal 11 181" xfId="560"/>
    <cellStyle name="Normal 11 182" xfId="562"/>
    <cellStyle name="Normal 11 183" xfId="564"/>
    <cellStyle name="Normal 11 184" xfId="566"/>
    <cellStyle name="Normal 11 185" xfId="568"/>
    <cellStyle name="Normal 11 186" xfId="570"/>
    <cellStyle name="Normal 11 187" xfId="572"/>
    <cellStyle name="Normal 11 188" xfId="574"/>
    <cellStyle name="Normal 11 189" xfId="576"/>
    <cellStyle name="Normal 11 19" xfId="236"/>
    <cellStyle name="Normal 11 190" xfId="578"/>
    <cellStyle name="Normal 11 191" xfId="580"/>
    <cellStyle name="Normal 11 192" xfId="582"/>
    <cellStyle name="Normal 11 193" xfId="584"/>
    <cellStyle name="Normal 11 194" xfId="586"/>
    <cellStyle name="Normal 11 195" xfId="588"/>
    <cellStyle name="Normal 11 196" xfId="590"/>
    <cellStyle name="Normal 11 197" xfId="592"/>
    <cellStyle name="Normal 11 198" xfId="594"/>
    <cellStyle name="Normal 11 199" xfId="596"/>
    <cellStyle name="Normal 11 2" xfId="198"/>
    <cellStyle name="Normal 11 20" xfId="238"/>
    <cellStyle name="Normal 11 200" xfId="598"/>
    <cellStyle name="Normal 11 201" xfId="600"/>
    <cellStyle name="Normal 11 202" xfId="602"/>
    <cellStyle name="Normal 11 203" xfId="604"/>
    <cellStyle name="Normal 11 204" xfId="606"/>
    <cellStyle name="Normal 11 205" xfId="608"/>
    <cellStyle name="Normal 11 206" xfId="610"/>
    <cellStyle name="Normal 11 207" xfId="612"/>
    <cellStyle name="Normal 11 208" xfId="614"/>
    <cellStyle name="Normal 11 209" xfId="616"/>
    <cellStyle name="Normal 11 21" xfId="240"/>
    <cellStyle name="Normal 11 210" xfId="618"/>
    <cellStyle name="Normal 11 211" xfId="620"/>
    <cellStyle name="Normal 11 212" xfId="622"/>
    <cellStyle name="Normal 11 213" xfId="624"/>
    <cellStyle name="Normal 11 214" xfId="626"/>
    <cellStyle name="Normal 11 215" xfId="628"/>
    <cellStyle name="Normal 11 216" xfId="630"/>
    <cellStyle name="Normal 11 217" xfId="632"/>
    <cellStyle name="Normal 11 218" xfId="634"/>
    <cellStyle name="Normal 11 219" xfId="636"/>
    <cellStyle name="Normal 11 22" xfId="242"/>
    <cellStyle name="Normal 11 220" xfId="638"/>
    <cellStyle name="Normal 11 221" xfId="640"/>
    <cellStyle name="Normal 11 222" xfId="642"/>
    <cellStyle name="Normal 11 223" xfId="644"/>
    <cellStyle name="Normal 11 224" xfId="646"/>
    <cellStyle name="Normal 11 225" xfId="648"/>
    <cellStyle name="Normal 11 226" xfId="650"/>
    <cellStyle name="Normal 11 227" xfId="652"/>
    <cellStyle name="Normal 11 228" xfId="654"/>
    <cellStyle name="Normal 11 229" xfId="656"/>
    <cellStyle name="Normal 11 23" xfId="244"/>
    <cellStyle name="Normal 11 230" xfId="658"/>
    <cellStyle name="Normal 11 231" xfId="660"/>
    <cellStyle name="Normal 11 232" xfId="662"/>
    <cellStyle name="Normal 11 233" xfId="664"/>
    <cellStyle name="Normal 11 234" xfId="666"/>
    <cellStyle name="Normal 11 235" xfId="668"/>
    <cellStyle name="Normal 11 236" xfId="670"/>
    <cellStyle name="Normal 11 237" xfId="672"/>
    <cellStyle name="Normal 11 238" xfId="674"/>
    <cellStyle name="Normal 11 239" xfId="676"/>
    <cellStyle name="Normal 11 24" xfId="246"/>
    <cellStyle name="Normal 11 240" xfId="678"/>
    <cellStyle name="Normal 11 241" xfId="680"/>
    <cellStyle name="Normal 11 242" xfId="682"/>
    <cellStyle name="Normal 11 243" xfId="684"/>
    <cellStyle name="Normal 11 244" xfId="686"/>
    <cellStyle name="Normal 11 245" xfId="688"/>
    <cellStyle name="Normal 11 246" xfId="690"/>
    <cellStyle name="Normal 11 247" xfId="692"/>
    <cellStyle name="Normal 11 248" xfId="694"/>
    <cellStyle name="Normal 11 249" xfId="696"/>
    <cellStyle name="Normal 11 25" xfId="248"/>
    <cellStyle name="Normal 11 250" xfId="698"/>
    <cellStyle name="Normal 11 251" xfId="700"/>
    <cellStyle name="Normal 11 252" xfId="702"/>
    <cellStyle name="Normal 11 253" xfId="704"/>
    <cellStyle name="Normal 11 254" xfId="706"/>
    <cellStyle name="Normal 11 255" xfId="708"/>
    <cellStyle name="Normal 11 256" xfId="710"/>
    <cellStyle name="Normal 11 257" xfId="712"/>
    <cellStyle name="Normal 11 258" xfId="714"/>
    <cellStyle name="Normal 11 259" xfId="716"/>
    <cellStyle name="Normal 11 26" xfId="250"/>
    <cellStyle name="Normal 11 260" xfId="718"/>
    <cellStyle name="Normal 11 261" xfId="720"/>
    <cellStyle name="Normal 11 262" xfId="722"/>
    <cellStyle name="Normal 11 263" xfId="724"/>
    <cellStyle name="Normal 11 264" xfId="726"/>
    <cellStyle name="Normal 11 265" xfId="728"/>
    <cellStyle name="Normal 11 266" xfId="730"/>
    <cellStyle name="Normal 11 267" xfId="732"/>
    <cellStyle name="Normal 11 268" xfId="734"/>
    <cellStyle name="Normal 11 269" xfId="736"/>
    <cellStyle name="Normal 11 27" xfId="252"/>
    <cellStyle name="Normal 11 270" xfId="738"/>
    <cellStyle name="Normal 11 271" xfId="740"/>
    <cellStyle name="Normal 11 272" xfId="742"/>
    <cellStyle name="Normal 11 273" xfId="744"/>
    <cellStyle name="Normal 11 274" xfId="746"/>
    <cellStyle name="Normal 11 275" xfId="748"/>
    <cellStyle name="Normal 11 276" xfId="750"/>
    <cellStyle name="Normal 11 28" xfId="254"/>
    <cellStyle name="Normal 11 29" xfId="256"/>
    <cellStyle name="Normal 11 3" xfId="204"/>
    <cellStyle name="Normal 11 30" xfId="258"/>
    <cellStyle name="Normal 11 31" xfId="260"/>
    <cellStyle name="Normal 11 32" xfId="262"/>
    <cellStyle name="Normal 11 33" xfId="264"/>
    <cellStyle name="Normal 11 34" xfId="266"/>
    <cellStyle name="Normal 11 35" xfId="268"/>
    <cellStyle name="Normal 11 36" xfId="270"/>
    <cellStyle name="Normal 11 37" xfId="272"/>
    <cellStyle name="Normal 11 38" xfId="274"/>
    <cellStyle name="Normal 11 39" xfId="276"/>
    <cellStyle name="Normal 11 4" xfId="206"/>
    <cellStyle name="Normal 11 40" xfId="278"/>
    <cellStyle name="Normal 11 41" xfId="280"/>
    <cellStyle name="Normal 11 42" xfId="282"/>
    <cellStyle name="Normal 11 43" xfId="284"/>
    <cellStyle name="Normal 11 44" xfId="286"/>
    <cellStyle name="Normal 11 45" xfId="288"/>
    <cellStyle name="Normal 11 46" xfId="290"/>
    <cellStyle name="Normal 11 47" xfId="292"/>
    <cellStyle name="Normal 11 48" xfId="294"/>
    <cellStyle name="Normal 11 49" xfId="296"/>
    <cellStyle name="Normal 11 5" xfId="208"/>
    <cellStyle name="Normal 11 50" xfId="298"/>
    <cellStyle name="Normal 11 51" xfId="300"/>
    <cellStyle name="Normal 11 52" xfId="302"/>
    <cellStyle name="Normal 11 53" xfId="304"/>
    <cellStyle name="Normal 11 54" xfId="306"/>
    <cellStyle name="Normal 11 55" xfId="308"/>
    <cellStyle name="Normal 11 56" xfId="310"/>
    <cellStyle name="Normal 11 57" xfId="312"/>
    <cellStyle name="Normal 11 58" xfId="314"/>
    <cellStyle name="Normal 11 59" xfId="316"/>
    <cellStyle name="Normal 11 6" xfId="210"/>
    <cellStyle name="Normal 11 60" xfId="318"/>
    <cellStyle name="Normal 11 61" xfId="320"/>
    <cellStyle name="Normal 11 62" xfId="322"/>
    <cellStyle name="Normal 11 63" xfId="324"/>
    <cellStyle name="Normal 11 64" xfId="326"/>
    <cellStyle name="Normal 11 65" xfId="328"/>
    <cellStyle name="Normal 11 66" xfId="330"/>
    <cellStyle name="Normal 11 67" xfId="332"/>
    <cellStyle name="Normal 11 68" xfId="334"/>
    <cellStyle name="Normal 11 69" xfId="336"/>
    <cellStyle name="Normal 11 7" xfId="212"/>
    <cellStyle name="Normal 11 70" xfId="338"/>
    <cellStyle name="Normal 11 71" xfId="340"/>
    <cellStyle name="Normal 11 72" xfId="342"/>
    <cellStyle name="Normal 11 73" xfId="344"/>
    <cellStyle name="Normal 11 74" xfId="346"/>
    <cellStyle name="Normal 11 75" xfId="348"/>
    <cellStyle name="Normal 11 76" xfId="350"/>
    <cellStyle name="Normal 11 77" xfId="352"/>
    <cellStyle name="Normal 11 78" xfId="354"/>
    <cellStyle name="Normal 11 79" xfId="356"/>
    <cellStyle name="Normal 11 8" xfId="214"/>
    <cellStyle name="Normal 11 80" xfId="358"/>
    <cellStyle name="Normal 11 81" xfId="360"/>
    <cellStyle name="Normal 11 82" xfId="362"/>
    <cellStyle name="Normal 11 83" xfId="364"/>
    <cellStyle name="Normal 11 84" xfId="366"/>
    <cellStyle name="Normal 11 85" xfId="368"/>
    <cellStyle name="Normal 11 86" xfId="370"/>
    <cellStyle name="Normal 11 87" xfId="372"/>
    <cellStyle name="Normal 11 88" xfId="374"/>
    <cellStyle name="Normal 11 89" xfId="376"/>
    <cellStyle name="Normal 11 9" xfId="216"/>
    <cellStyle name="Normal 11 90" xfId="378"/>
    <cellStyle name="Normal 11 91" xfId="380"/>
    <cellStyle name="Normal 11 92" xfId="382"/>
    <cellStyle name="Normal 11 93" xfId="384"/>
    <cellStyle name="Normal 11 94" xfId="386"/>
    <cellStyle name="Normal 11 95" xfId="388"/>
    <cellStyle name="Normal 11 96" xfId="390"/>
    <cellStyle name="Normal 11 97" xfId="392"/>
    <cellStyle name="Normal 11 98" xfId="394"/>
    <cellStyle name="Normal 11 99" xfId="396"/>
    <cellStyle name="Normal 12" xfId="194"/>
    <cellStyle name="Normal 13" xfId="197"/>
    <cellStyle name="Normal 14" xfId="199"/>
    <cellStyle name="Normal 14 10" xfId="221"/>
    <cellStyle name="Normal 14 100" xfId="401"/>
    <cellStyle name="Normal 14 101" xfId="403"/>
    <cellStyle name="Normal 14 102" xfId="405"/>
    <cellStyle name="Normal 14 103" xfId="407"/>
    <cellStyle name="Normal 14 104" xfId="409"/>
    <cellStyle name="Normal 14 105" xfId="411"/>
    <cellStyle name="Normal 14 106" xfId="413"/>
    <cellStyle name="Normal 14 107" xfId="415"/>
    <cellStyle name="Normal 14 108" xfId="417"/>
    <cellStyle name="Normal 14 109" xfId="419"/>
    <cellStyle name="Normal 14 11" xfId="223"/>
    <cellStyle name="Normal 14 110" xfId="421"/>
    <cellStyle name="Normal 14 111" xfId="423"/>
    <cellStyle name="Normal 14 112" xfId="425"/>
    <cellStyle name="Normal 14 113" xfId="427"/>
    <cellStyle name="Normal 14 114" xfId="429"/>
    <cellStyle name="Normal 14 115" xfId="431"/>
    <cellStyle name="Normal 14 116" xfId="433"/>
    <cellStyle name="Normal 14 117" xfId="435"/>
    <cellStyle name="Normal 14 118" xfId="437"/>
    <cellStyle name="Normal 14 119" xfId="439"/>
    <cellStyle name="Normal 14 12" xfId="225"/>
    <cellStyle name="Normal 14 120" xfId="441"/>
    <cellStyle name="Normal 14 121" xfId="443"/>
    <cellStyle name="Normal 14 122" xfId="445"/>
    <cellStyle name="Normal 14 123" xfId="447"/>
    <cellStyle name="Normal 14 124" xfId="449"/>
    <cellStyle name="Normal 14 125" xfId="451"/>
    <cellStyle name="Normal 14 126" xfId="453"/>
    <cellStyle name="Normal 14 127" xfId="455"/>
    <cellStyle name="Normal 14 128" xfId="457"/>
    <cellStyle name="Normal 14 129" xfId="459"/>
    <cellStyle name="Normal 14 13" xfId="227"/>
    <cellStyle name="Normal 14 130" xfId="461"/>
    <cellStyle name="Normal 14 131" xfId="463"/>
    <cellStyle name="Normal 14 132" xfId="465"/>
    <cellStyle name="Normal 14 133" xfId="467"/>
    <cellStyle name="Normal 14 134" xfId="469"/>
    <cellStyle name="Normal 14 135" xfId="471"/>
    <cellStyle name="Normal 14 136" xfId="473"/>
    <cellStyle name="Normal 14 137" xfId="475"/>
    <cellStyle name="Normal 14 138" xfId="477"/>
    <cellStyle name="Normal 14 139" xfId="479"/>
    <cellStyle name="Normal 14 14" xfId="229"/>
    <cellStyle name="Normal 14 140" xfId="481"/>
    <cellStyle name="Normal 14 141" xfId="483"/>
    <cellStyle name="Normal 14 142" xfId="485"/>
    <cellStyle name="Normal 14 143" xfId="487"/>
    <cellStyle name="Normal 14 144" xfId="489"/>
    <cellStyle name="Normal 14 145" xfId="491"/>
    <cellStyle name="Normal 14 146" xfId="493"/>
    <cellStyle name="Normal 14 147" xfId="495"/>
    <cellStyle name="Normal 14 148" xfId="497"/>
    <cellStyle name="Normal 14 149" xfId="499"/>
    <cellStyle name="Normal 14 15" xfId="231"/>
    <cellStyle name="Normal 14 150" xfId="501"/>
    <cellStyle name="Normal 14 151" xfId="503"/>
    <cellStyle name="Normal 14 152" xfId="505"/>
    <cellStyle name="Normal 14 153" xfId="507"/>
    <cellStyle name="Normal 14 154" xfId="509"/>
    <cellStyle name="Normal 14 155" xfId="511"/>
    <cellStyle name="Normal 14 156" xfId="513"/>
    <cellStyle name="Normal 14 157" xfId="515"/>
    <cellStyle name="Normal 14 158" xfId="517"/>
    <cellStyle name="Normal 14 159" xfId="519"/>
    <cellStyle name="Normal 14 16" xfId="233"/>
    <cellStyle name="Normal 14 160" xfId="521"/>
    <cellStyle name="Normal 14 161" xfId="523"/>
    <cellStyle name="Normal 14 162" xfId="525"/>
    <cellStyle name="Normal 14 163" xfId="527"/>
    <cellStyle name="Normal 14 164" xfId="529"/>
    <cellStyle name="Normal 14 165" xfId="531"/>
    <cellStyle name="Normal 14 166" xfId="533"/>
    <cellStyle name="Normal 14 167" xfId="535"/>
    <cellStyle name="Normal 14 168" xfId="537"/>
    <cellStyle name="Normal 14 169" xfId="539"/>
    <cellStyle name="Normal 14 17" xfId="235"/>
    <cellStyle name="Normal 14 170" xfId="541"/>
    <cellStyle name="Normal 14 171" xfId="543"/>
    <cellStyle name="Normal 14 172" xfId="545"/>
    <cellStyle name="Normal 14 173" xfId="547"/>
    <cellStyle name="Normal 14 174" xfId="549"/>
    <cellStyle name="Normal 14 175" xfId="551"/>
    <cellStyle name="Normal 14 176" xfId="553"/>
    <cellStyle name="Normal 14 177" xfId="555"/>
    <cellStyle name="Normal 14 178" xfId="557"/>
    <cellStyle name="Normal 14 179" xfId="559"/>
    <cellStyle name="Normal 14 18" xfId="237"/>
    <cellStyle name="Normal 14 180" xfId="561"/>
    <cellStyle name="Normal 14 181" xfId="563"/>
    <cellStyle name="Normal 14 182" xfId="565"/>
    <cellStyle name="Normal 14 183" xfId="567"/>
    <cellStyle name="Normal 14 184" xfId="569"/>
    <cellStyle name="Normal 14 185" xfId="571"/>
    <cellStyle name="Normal 14 186" xfId="573"/>
    <cellStyle name="Normal 14 187" xfId="575"/>
    <cellStyle name="Normal 14 188" xfId="577"/>
    <cellStyle name="Normal 14 189" xfId="579"/>
    <cellStyle name="Normal 14 19" xfId="239"/>
    <cellStyle name="Normal 14 190" xfId="581"/>
    <cellStyle name="Normal 14 191" xfId="583"/>
    <cellStyle name="Normal 14 192" xfId="585"/>
    <cellStyle name="Normal 14 193" xfId="587"/>
    <cellStyle name="Normal 14 194" xfId="589"/>
    <cellStyle name="Normal 14 195" xfId="591"/>
    <cellStyle name="Normal 14 196" xfId="593"/>
    <cellStyle name="Normal 14 197" xfId="595"/>
    <cellStyle name="Normal 14 198" xfId="597"/>
    <cellStyle name="Normal 14 199" xfId="599"/>
    <cellStyle name="Normal 14 2" xfId="205"/>
    <cellStyle name="Normal 14 20" xfId="241"/>
    <cellStyle name="Normal 14 200" xfId="601"/>
    <cellStyle name="Normal 14 201" xfId="603"/>
    <cellStyle name="Normal 14 202" xfId="605"/>
    <cellStyle name="Normal 14 203" xfId="607"/>
    <cellStyle name="Normal 14 204" xfId="609"/>
    <cellStyle name="Normal 14 205" xfId="611"/>
    <cellStyle name="Normal 14 206" xfId="613"/>
    <cellStyle name="Normal 14 207" xfId="615"/>
    <cellStyle name="Normal 14 208" xfId="617"/>
    <cellStyle name="Normal 14 209" xfId="619"/>
    <cellStyle name="Normal 14 21" xfId="243"/>
    <cellStyle name="Normal 14 210" xfId="621"/>
    <cellStyle name="Normal 14 211" xfId="623"/>
    <cellStyle name="Normal 14 212" xfId="625"/>
    <cellStyle name="Normal 14 213" xfId="627"/>
    <cellStyle name="Normal 14 214" xfId="629"/>
    <cellStyle name="Normal 14 215" xfId="631"/>
    <cellStyle name="Normal 14 216" xfId="633"/>
    <cellStyle name="Normal 14 217" xfId="635"/>
    <cellStyle name="Normal 14 218" xfId="637"/>
    <cellStyle name="Normal 14 219" xfId="639"/>
    <cellStyle name="Normal 14 22" xfId="245"/>
    <cellStyle name="Normal 14 220" xfId="641"/>
    <cellStyle name="Normal 14 221" xfId="643"/>
    <cellStyle name="Normal 14 222" xfId="645"/>
    <cellStyle name="Normal 14 223" xfId="647"/>
    <cellStyle name="Normal 14 224" xfId="649"/>
    <cellStyle name="Normal 14 225" xfId="651"/>
    <cellStyle name="Normal 14 226" xfId="653"/>
    <cellStyle name="Normal 14 227" xfId="655"/>
    <cellStyle name="Normal 14 228" xfId="657"/>
    <cellStyle name="Normal 14 229" xfId="659"/>
    <cellStyle name="Normal 14 23" xfId="247"/>
    <cellStyle name="Normal 14 230" xfId="661"/>
    <cellStyle name="Normal 14 231" xfId="663"/>
    <cellStyle name="Normal 14 232" xfId="665"/>
    <cellStyle name="Normal 14 233" xfId="667"/>
    <cellStyle name="Normal 14 234" xfId="669"/>
    <cellStyle name="Normal 14 235" xfId="671"/>
    <cellStyle name="Normal 14 236" xfId="673"/>
    <cellStyle name="Normal 14 237" xfId="675"/>
    <cellStyle name="Normal 14 238" xfId="677"/>
    <cellStyle name="Normal 14 239" xfId="679"/>
    <cellStyle name="Normal 14 24" xfId="249"/>
    <cellStyle name="Normal 14 240" xfId="681"/>
    <cellStyle name="Normal 14 241" xfId="683"/>
    <cellStyle name="Normal 14 242" xfId="685"/>
    <cellStyle name="Normal 14 243" xfId="687"/>
    <cellStyle name="Normal 14 244" xfId="689"/>
    <cellStyle name="Normal 14 245" xfId="691"/>
    <cellStyle name="Normal 14 246" xfId="693"/>
    <cellStyle name="Normal 14 247" xfId="695"/>
    <cellStyle name="Normal 14 248" xfId="697"/>
    <cellStyle name="Normal 14 249" xfId="699"/>
    <cellStyle name="Normal 14 25" xfId="251"/>
    <cellStyle name="Normal 14 250" xfId="701"/>
    <cellStyle name="Normal 14 251" xfId="703"/>
    <cellStyle name="Normal 14 252" xfId="705"/>
    <cellStyle name="Normal 14 253" xfId="707"/>
    <cellStyle name="Normal 14 254" xfId="709"/>
    <cellStyle name="Normal 14 255" xfId="711"/>
    <cellStyle name="Normal 14 256" xfId="713"/>
    <cellStyle name="Normal 14 257" xfId="715"/>
    <cellStyle name="Normal 14 258" xfId="717"/>
    <cellStyle name="Normal 14 259" xfId="719"/>
    <cellStyle name="Normal 14 26" xfId="253"/>
    <cellStyle name="Normal 14 260" xfId="721"/>
    <cellStyle name="Normal 14 261" xfId="723"/>
    <cellStyle name="Normal 14 262" xfId="725"/>
    <cellStyle name="Normal 14 263" xfId="727"/>
    <cellStyle name="Normal 14 264" xfId="729"/>
    <cellStyle name="Normal 14 265" xfId="731"/>
    <cellStyle name="Normal 14 266" xfId="733"/>
    <cellStyle name="Normal 14 267" xfId="735"/>
    <cellStyle name="Normal 14 268" xfId="737"/>
    <cellStyle name="Normal 14 269" xfId="739"/>
    <cellStyle name="Normal 14 27" xfId="255"/>
    <cellStyle name="Normal 14 270" xfId="741"/>
    <cellStyle name="Normal 14 271" xfId="743"/>
    <cellStyle name="Normal 14 272" xfId="745"/>
    <cellStyle name="Normal 14 273" xfId="747"/>
    <cellStyle name="Normal 14 274" xfId="749"/>
    <cellStyle name="Normal 14 275" xfId="751"/>
    <cellStyle name="Normal 14 28" xfId="257"/>
    <cellStyle name="Normal 14 29" xfId="259"/>
    <cellStyle name="Normal 14 3" xfId="207"/>
    <cellStyle name="Normal 14 30" xfId="261"/>
    <cellStyle name="Normal 14 31" xfId="263"/>
    <cellStyle name="Normal 14 32" xfId="265"/>
    <cellStyle name="Normal 14 33" xfId="267"/>
    <cellStyle name="Normal 14 34" xfId="269"/>
    <cellStyle name="Normal 14 35" xfId="271"/>
    <cellStyle name="Normal 14 36" xfId="273"/>
    <cellStyle name="Normal 14 37" xfId="275"/>
    <cellStyle name="Normal 14 38" xfId="277"/>
    <cellStyle name="Normal 14 39" xfId="279"/>
    <cellStyle name="Normal 14 4" xfId="209"/>
    <cellStyle name="Normal 14 40" xfId="281"/>
    <cellStyle name="Normal 14 41" xfId="283"/>
    <cellStyle name="Normal 14 42" xfId="285"/>
    <cellStyle name="Normal 14 43" xfId="287"/>
    <cellStyle name="Normal 14 44" xfId="289"/>
    <cellStyle name="Normal 14 45" xfId="291"/>
    <cellStyle name="Normal 14 46" xfId="293"/>
    <cellStyle name="Normal 14 47" xfId="295"/>
    <cellStyle name="Normal 14 48" xfId="297"/>
    <cellStyle name="Normal 14 49" xfId="299"/>
    <cellStyle name="Normal 14 5" xfId="211"/>
    <cellStyle name="Normal 14 50" xfId="301"/>
    <cellStyle name="Normal 14 51" xfId="303"/>
    <cellStyle name="Normal 14 52" xfId="305"/>
    <cellStyle name="Normal 14 53" xfId="307"/>
    <cellStyle name="Normal 14 54" xfId="309"/>
    <cellStyle name="Normal 14 55" xfId="311"/>
    <cellStyle name="Normal 14 56" xfId="313"/>
    <cellStyle name="Normal 14 57" xfId="315"/>
    <cellStyle name="Normal 14 58" xfId="317"/>
    <cellStyle name="Normal 14 59" xfId="319"/>
    <cellStyle name="Normal 14 6" xfId="213"/>
    <cellStyle name="Normal 14 60" xfId="321"/>
    <cellStyle name="Normal 14 61" xfId="323"/>
    <cellStyle name="Normal 14 62" xfId="325"/>
    <cellStyle name="Normal 14 63" xfId="327"/>
    <cellStyle name="Normal 14 64" xfId="329"/>
    <cellStyle name="Normal 14 65" xfId="331"/>
    <cellStyle name="Normal 14 66" xfId="333"/>
    <cellStyle name="Normal 14 67" xfId="335"/>
    <cellStyle name="Normal 14 68" xfId="337"/>
    <cellStyle name="Normal 14 69" xfId="339"/>
    <cellStyle name="Normal 14 7" xfId="215"/>
    <cellStyle name="Normal 14 70" xfId="341"/>
    <cellStyle name="Normal 14 71" xfId="343"/>
    <cellStyle name="Normal 14 72" xfId="345"/>
    <cellStyle name="Normal 14 73" xfId="347"/>
    <cellStyle name="Normal 14 74" xfId="349"/>
    <cellStyle name="Normal 14 75" xfId="351"/>
    <cellStyle name="Normal 14 76" xfId="353"/>
    <cellStyle name="Normal 14 77" xfId="355"/>
    <cellStyle name="Normal 14 78" xfId="357"/>
    <cellStyle name="Normal 14 79" xfId="359"/>
    <cellStyle name="Normal 14 8" xfId="217"/>
    <cellStyle name="Normal 14 80" xfId="361"/>
    <cellStyle name="Normal 14 81" xfId="363"/>
    <cellStyle name="Normal 14 82" xfId="365"/>
    <cellStyle name="Normal 14 83" xfId="367"/>
    <cellStyle name="Normal 14 84" xfId="369"/>
    <cellStyle name="Normal 14 85" xfId="371"/>
    <cellStyle name="Normal 14 86" xfId="373"/>
    <cellStyle name="Normal 14 87" xfId="375"/>
    <cellStyle name="Normal 14 88" xfId="377"/>
    <cellStyle name="Normal 14 89" xfId="379"/>
    <cellStyle name="Normal 14 9" xfId="219"/>
    <cellStyle name="Normal 14 90" xfId="381"/>
    <cellStyle name="Normal 14 91" xfId="383"/>
    <cellStyle name="Normal 14 92" xfId="385"/>
    <cellStyle name="Normal 14 93" xfId="387"/>
    <cellStyle name="Normal 14 94" xfId="389"/>
    <cellStyle name="Normal 14 95" xfId="391"/>
    <cellStyle name="Normal 14 96" xfId="393"/>
    <cellStyle name="Normal 14 97" xfId="395"/>
    <cellStyle name="Normal 14 98" xfId="397"/>
    <cellStyle name="Normal 14 99" xfId="399"/>
    <cellStyle name="Normal 2" xfId="8"/>
    <cellStyle name="Normal 3" xfId="9"/>
    <cellStyle name="Normal 3 10" xfId="27"/>
    <cellStyle name="Normal 3 10 2" xfId="51"/>
    <cellStyle name="Normal 3 10 2 2" xfId="95"/>
    <cellStyle name="Normal 3 10 2 2 2" xfId="185"/>
    <cellStyle name="Normal 3 10 2 3" xfId="141"/>
    <cellStyle name="Normal 3 10 3" xfId="73"/>
    <cellStyle name="Normal 3 10 3 2" xfId="163"/>
    <cellStyle name="Normal 3 10 4" xfId="119"/>
    <cellStyle name="Normal 3 11" xfId="29"/>
    <cellStyle name="Normal 3 11 2" xfId="53"/>
    <cellStyle name="Normal 3 11 2 2" xfId="97"/>
    <cellStyle name="Normal 3 11 2 2 2" xfId="187"/>
    <cellStyle name="Normal 3 11 2 3" xfId="143"/>
    <cellStyle name="Normal 3 11 3" xfId="75"/>
    <cellStyle name="Normal 3 11 3 2" xfId="165"/>
    <cellStyle name="Normal 3 11 4" xfId="121"/>
    <cellStyle name="Normal 3 12" xfId="38"/>
    <cellStyle name="Normal 3 12 2" xfId="82"/>
    <cellStyle name="Normal 3 12 2 2" xfId="172"/>
    <cellStyle name="Normal 3 12 3" xfId="128"/>
    <cellStyle name="Normal 3 13" xfId="60"/>
    <cellStyle name="Normal 3 13 2" xfId="150"/>
    <cellStyle name="Normal 3 14" xfId="106"/>
    <cellStyle name="Normal 3 15" xfId="200"/>
    <cellStyle name="Normal 3 2" xfId="15"/>
    <cellStyle name="Normal 3 2 10" xfId="33"/>
    <cellStyle name="Normal 3 2 10 2" xfId="57"/>
    <cellStyle name="Normal 3 2 10 2 2" xfId="101"/>
    <cellStyle name="Normal 3 2 10 2 2 2" xfId="191"/>
    <cellStyle name="Normal 3 2 10 2 3" xfId="147"/>
    <cellStyle name="Normal 3 2 10 3" xfId="79"/>
    <cellStyle name="Normal 3 2 10 3 2" xfId="169"/>
    <cellStyle name="Normal 3 2 10 4" xfId="125"/>
    <cellStyle name="Normal 3 2 11" xfId="39"/>
    <cellStyle name="Normal 3 2 11 2" xfId="83"/>
    <cellStyle name="Normal 3 2 11 2 2" xfId="173"/>
    <cellStyle name="Normal 3 2 11 3" xfId="129"/>
    <cellStyle name="Normal 3 2 12" xfId="61"/>
    <cellStyle name="Normal 3 2 12 2" xfId="151"/>
    <cellStyle name="Normal 3 2 13" xfId="107"/>
    <cellStyle name="Normal 3 2 14" xfId="201"/>
    <cellStyle name="Normal 3 2 2" xfId="20"/>
    <cellStyle name="Normal 3 2 2 2" xfId="44"/>
    <cellStyle name="Normal 3 2 2 2 2" xfId="88"/>
    <cellStyle name="Normal 3 2 2 2 2 2" xfId="178"/>
    <cellStyle name="Normal 3 2 2 2 3" xfId="134"/>
    <cellStyle name="Normal 3 2 2 3" xfId="66"/>
    <cellStyle name="Normal 3 2 2 3 2" xfId="156"/>
    <cellStyle name="Normal 3 2 2 4" xfId="112"/>
    <cellStyle name="Normal 3 2 3" xfId="22"/>
    <cellStyle name="Normal 3 2 3 2" xfId="46"/>
    <cellStyle name="Normal 3 2 3 2 2" xfId="90"/>
    <cellStyle name="Normal 3 2 3 2 2 2" xfId="180"/>
    <cellStyle name="Normal 3 2 3 2 3" xfId="136"/>
    <cellStyle name="Normal 3 2 3 3" xfId="68"/>
    <cellStyle name="Normal 3 2 3 3 2" xfId="158"/>
    <cellStyle name="Normal 3 2 3 4" xfId="114"/>
    <cellStyle name="Normal 3 2 4" xfId="24"/>
    <cellStyle name="Normal 3 2 4 2" xfId="48"/>
    <cellStyle name="Normal 3 2 4 2 2" xfId="92"/>
    <cellStyle name="Normal 3 2 4 2 2 2" xfId="182"/>
    <cellStyle name="Normal 3 2 4 2 3" xfId="138"/>
    <cellStyle name="Normal 3 2 4 3" xfId="70"/>
    <cellStyle name="Normal 3 2 4 3 2" xfId="160"/>
    <cellStyle name="Normal 3 2 4 4" xfId="116"/>
    <cellStyle name="Normal 3 2 5" xfId="26"/>
    <cellStyle name="Normal 3 2 5 2" xfId="50"/>
    <cellStyle name="Normal 3 2 5 2 2" xfId="94"/>
    <cellStyle name="Normal 3 2 5 2 2 2" xfId="184"/>
    <cellStyle name="Normal 3 2 5 2 3" xfId="140"/>
    <cellStyle name="Normal 3 2 5 3" xfId="72"/>
    <cellStyle name="Normal 3 2 5 3 2" xfId="162"/>
    <cellStyle name="Normal 3 2 5 4" xfId="118"/>
    <cellStyle name="Normal 3 2 6" xfId="28"/>
    <cellStyle name="Normal 3 2 6 2" xfId="52"/>
    <cellStyle name="Normal 3 2 6 2 2" xfId="96"/>
    <cellStyle name="Normal 3 2 6 2 2 2" xfId="186"/>
    <cellStyle name="Normal 3 2 6 2 3" xfId="142"/>
    <cellStyle name="Normal 3 2 6 3" xfId="74"/>
    <cellStyle name="Normal 3 2 6 3 2" xfId="164"/>
    <cellStyle name="Normal 3 2 6 4" xfId="120"/>
    <cellStyle name="Normal 3 2 7" xfId="30"/>
    <cellStyle name="Normal 3 2 7 2" xfId="54"/>
    <cellStyle name="Normal 3 2 7 2 2" xfId="98"/>
    <cellStyle name="Normal 3 2 7 2 2 2" xfId="188"/>
    <cellStyle name="Normal 3 2 7 2 3" xfId="144"/>
    <cellStyle name="Normal 3 2 7 3" xfId="76"/>
    <cellStyle name="Normal 3 2 7 3 2" xfId="166"/>
    <cellStyle name="Normal 3 2 7 4" xfId="122"/>
    <cellStyle name="Normal 3 2 8" xfId="31"/>
    <cellStyle name="Normal 3 2 8 2" xfId="55"/>
    <cellStyle name="Normal 3 2 8 2 2" xfId="99"/>
    <cellStyle name="Normal 3 2 8 2 2 2" xfId="189"/>
    <cellStyle name="Normal 3 2 8 2 3" xfId="145"/>
    <cellStyle name="Normal 3 2 8 3" xfId="77"/>
    <cellStyle name="Normal 3 2 8 3 2" xfId="167"/>
    <cellStyle name="Normal 3 2 8 4" xfId="123"/>
    <cellStyle name="Normal 3 2 9" xfId="32"/>
    <cellStyle name="Normal 3 2 9 2" xfId="56"/>
    <cellStyle name="Normal 3 2 9 2 2" xfId="100"/>
    <cellStyle name="Normal 3 2 9 2 2 2" xfId="190"/>
    <cellStyle name="Normal 3 2 9 2 3" xfId="146"/>
    <cellStyle name="Normal 3 2 9 3" xfId="78"/>
    <cellStyle name="Normal 3 2 9 3 2" xfId="168"/>
    <cellStyle name="Normal 3 2 9 4" xfId="124"/>
    <cellStyle name="Normal 3 3" xfId="17"/>
    <cellStyle name="Normal 3 3 2" xfId="41"/>
    <cellStyle name="Normal 3 3 2 2" xfId="85"/>
    <cellStyle name="Normal 3 3 2 2 2" xfId="175"/>
    <cellStyle name="Normal 3 3 2 3" xfId="131"/>
    <cellStyle name="Normal 3 3 3" xfId="63"/>
    <cellStyle name="Normal 3 3 3 2" xfId="153"/>
    <cellStyle name="Normal 3 3 4" xfId="109"/>
    <cellStyle name="Normal 3 4" xfId="18"/>
    <cellStyle name="Normal 3 4 2" xfId="42"/>
    <cellStyle name="Normal 3 4 2 2" xfId="86"/>
    <cellStyle name="Normal 3 4 2 2 2" xfId="176"/>
    <cellStyle name="Normal 3 4 2 3" xfId="132"/>
    <cellStyle name="Normal 3 4 3" xfId="64"/>
    <cellStyle name="Normal 3 4 3 2" xfId="154"/>
    <cellStyle name="Normal 3 4 4" xfId="110"/>
    <cellStyle name="Normal 3 5" xfId="16"/>
    <cellStyle name="Normal 3 5 2" xfId="40"/>
    <cellStyle name="Normal 3 5 2 2" xfId="84"/>
    <cellStyle name="Normal 3 5 2 2 2" xfId="174"/>
    <cellStyle name="Normal 3 5 2 3" xfId="130"/>
    <cellStyle name="Normal 3 5 3" xfId="62"/>
    <cellStyle name="Normal 3 5 3 2" xfId="152"/>
    <cellStyle name="Normal 3 5 4" xfId="108"/>
    <cellStyle name="Normal 3 6" xfId="19"/>
    <cellStyle name="Normal 3 6 2" xfId="43"/>
    <cellStyle name="Normal 3 6 2 2" xfId="87"/>
    <cellStyle name="Normal 3 6 2 2 2" xfId="177"/>
    <cellStyle name="Normal 3 6 2 3" xfId="133"/>
    <cellStyle name="Normal 3 6 3" xfId="65"/>
    <cellStyle name="Normal 3 6 3 2" xfId="155"/>
    <cellStyle name="Normal 3 6 4" xfId="111"/>
    <cellStyle name="Normal 3 7" xfId="21"/>
    <cellStyle name="Normal 3 7 2" xfId="45"/>
    <cellStyle name="Normal 3 7 2 2" xfId="89"/>
    <cellStyle name="Normal 3 7 2 2 2" xfId="179"/>
    <cellStyle name="Normal 3 7 2 3" xfId="135"/>
    <cellStyle name="Normal 3 7 3" xfId="67"/>
    <cellStyle name="Normal 3 7 3 2" xfId="157"/>
    <cellStyle name="Normal 3 7 4" xfId="113"/>
    <cellStyle name="Normal 3 8" xfId="23"/>
    <cellStyle name="Normal 3 8 2" xfId="47"/>
    <cellStyle name="Normal 3 8 2 2" xfId="91"/>
    <cellStyle name="Normal 3 8 2 2 2" xfId="181"/>
    <cellStyle name="Normal 3 8 2 3" xfId="137"/>
    <cellStyle name="Normal 3 8 3" xfId="69"/>
    <cellStyle name="Normal 3 8 3 2" xfId="159"/>
    <cellStyle name="Normal 3 8 4" xfId="115"/>
    <cellStyle name="Normal 3 9" xfId="25"/>
    <cellStyle name="Normal 3 9 2" xfId="49"/>
    <cellStyle name="Normal 3 9 2 2" xfId="93"/>
    <cellStyle name="Normal 3 9 2 2 2" xfId="183"/>
    <cellStyle name="Normal 3 9 2 3" xfId="139"/>
    <cellStyle name="Normal 3 9 3" xfId="71"/>
    <cellStyle name="Normal 3 9 3 2" xfId="161"/>
    <cellStyle name="Normal 3 9 4" xfId="117"/>
    <cellStyle name="Normal 4" xfId="10"/>
    <cellStyle name="Normal 5" xfId="11"/>
    <cellStyle name="Normal 6" xfId="34"/>
    <cellStyle name="Normal 6 2" xfId="58"/>
    <cellStyle name="Normal 6 2 2" xfId="102"/>
    <cellStyle name="Normal 6 2 2 2" xfId="192"/>
    <cellStyle name="Normal 6 2 3" xfId="148"/>
    <cellStyle name="Normal 6 3" xfId="80"/>
    <cellStyle name="Normal 6 3 2" xfId="170"/>
    <cellStyle name="Normal 6 4" xfId="126"/>
    <cellStyle name="Normal 6 5" xfId="195"/>
    <cellStyle name="Normal 6 6" xfId="202"/>
    <cellStyle name="Normal 7" xfId="36"/>
    <cellStyle name="Normal 8" xfId="35"/>
    <cellStyle name="Normal 8 2" xfId="81"/>
    <cellStyle name="Normal 8 2 2" xfId="171"/>
    <cellStyle name="Normal 8 3" xfId="127"/>
    <cellStyle name="Normal 9" xfId="59"/>
    <cellStyle name="Normal 9 2" xfId="149"/>
    <cellStyle name="Note" xfId="3" builtinId="10"/>
    <cellStyle name="Note 2" xfId="12"/>
    <cellStyle name="Note 3" xfId="13"/>
    <cellStyle name="Note 4" xfId="14"/>
    <cellStyle name="Note 5" xfId="37"/>
    <cellStyle name="Note 6" xfId="105"/>
    <cellStyle name="Note 7" xfId="193"/>
    <cellStyle name="Note 8" xfId="203"/>
  </cellStyles>
  <dxfs count="0"/>
  <tableStyles count="0" defaultTableStyle="TableStyleMedium9" defaultPivotStyle="PivotStyleLight16"/>
  <colors>
    <mruColors>
      <color rgb="FFCCFFCC"/>
      <color rgb="FF99FF9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GU49"/>
  <sheetViews>
    <sheetView workbookViewId="0">
      <selection activeCell="C43" sqref="C43"/>
    </sheetView>
  </sheetViews>
  <sheetFormatPr defaultRowHeight="12.75"/>
  <cols>
    <col min="1" max="1" width="23.42578125" style="1" bestFit="1" customWidth="1"/>
    <col min="2" max="2" width="11.140625" style="3" customWidth="1"/>
    <col min="3" max="3" width="15.85546875" style="3" customWidth="1"/>
    <col min="4" max="4" width="15.140625" style="3" customWidth="1"/>
    <col min="5" max="5" width="17.28515625" style="3" customWidth="1"/>
    <col min="6" max="6" width="14.42578125" style="3" bestFit="1" customWidth="1"/>
    <col min="7" max="7" width="14.140625" style="3" bestFit="1" customWidth="1"/>
    <col min="8" max="8" width="22.5703125" style="3" bestFit="1" customWidth="1"/>
    <col min="9" max="9" width="18.42578125" style="3" bestFit="1" customWidth="1"/>
    <col min="10" max="10" width="13.28515625" style="3" bestFit="1" customWidth="1"/>
    <col min="11" max="11" width="16.28515625" style="3" bestFit="1" customWidth="1"/>
    <col min="12" max="12" width="21.85546875" style="3" bestFit="1" customWidth="1"/>
    <col min="13" max="13" width="11.5703125" style="3" bestFit="1" customWidth="1"/>
    <col min="14" max="14" width="15.85546875" style="3" bestFit="1" customWidth="1"/>
    <col min="15" max="15" width="15.42578125" style="3" bestFit="1" customWidth="1"/>
    <col min="16" max="16" width="13.28515625" style="3" bestFit="1" customWidth="1"/>
    <col min="17" max="17" width="14.5703125" style="3" bestFit="1" customWidth="1"/>
    <col min="18" max="18" width="23.42578125" style="3" bestFit="1" customWidth="1"/>
    <col min="19" max="19" width="16.7109375" style="3" bestFit="1" customWidth="1"/>
    <col min="20" max="20" width="16.42578125" style="3" bestFit="1" customWidth="1"/>
    <col min="21" max="21" width="24.5703125" style="3" bestFit="1" customWidth="1"/>
    <col min="22" max="22" width="15.42578125" style="3" bestFit="1" customWidth="1"/>
    <col min="23" max="23" width="13.5703125" style="3" bestFit="1" customWidth="1"/>
    <col min="24" max="24" width="20.85546875" style="3" bestFit="1" customWidth="1"/>
    <col min="25" max="25" width="16.5703125" style="3" customWidth="1"/>
    <col min="26" max="26" width="11.7109375" style="3" customWidth="1"/>
    <col min="27" max="27" width="13.28515625" style="3" bestFit="1" customWidth="1"/>
    <col min="28" max="28" width="16.7109375" style="3" bestFit="1" customWidth="1"/>
    <col min="29" max="29" width="7.5703125" style="3" bestFit="1" customWidth="1"/>
    <col min="30" max="30" width="9.140625" style="3"/>
    <col min="31" max="31" width="11.28515625" style="3" bestFit="1" customWidth="1"/>
    <col min="32" max="32" width="16.7109375" style="3" bestFit="1" customWidth="1"/>
    <col min="33" max="33" width="10.5703125" style="3" bestFit="1" customWidth="1"/>
    <col min="34" max="34" width="8.5703125" style="3" bestFit="1" customWidth="1"/>
    <col min="35" max="35" width="9.140625" style="3"/>
    <col min="36" max="36" width="5.85546875" style="3" bestFit="1" customWidth="1"/>
    <col min="37" max="37" width="10.5703125" style="3" bestFit="1" customWidth="1"/>
    <col min="38" max="42" width="9.140625" style="3"/>
    <col min="43" max="43" width="14.42578125" style="3" customWidth="1"/>
    <col min="44" max="44" width="20.28515625" style="3" customWidth="1"/>
    <col min="45" max="45" width="16.5703125" style="3" customWidth="1"/>
    <col min="46" max="46" width="19.85546875" style="3" customWidth="1"/>
    <col min="47" max="47" width="11.7109375" style="3" customWidth="1"/>
    <col min="48" max="48" width="12" style="3" customWidth="1"/>
    <col min="49" max="49" width="12.140625" style="3" customWidth="1"/>
    <col min="50" max="50" width="16.7109375" style="3" customWidth="1"/>
    <col min="51" max="51" width="13.85546875" style="3" customWidth="1"/>
    <col min="52" max="52" width="21.140625" style="3" customWidth="1"/>
    <col min="53" max="53" width="13.140625" style="3" customWidth="1"/>
    <col min="54" max="54" width="18.42578125" style="3" customWidth="1"/>
    <col min="55" max="55" width="11.28515625" style="3" customWidth="1"/>
    <col min="56" max="56" width="16.140625" style="3" customWidth="1"/>
    <col min="57" max="57" width="12.42578125" style="3" customWidth="1"/>
    <col min="58" max="58" width="9.140625" style="3"/>
    <col min="59" max="59" width="12.28515625" style="3" customWidth="1"/>
    <col min="60" max="60" width="13.85546875" style="3" customWidth="1"/>
    <col min="61" max="61" width="17" style="3" customWidth="1"/>
    <col min="62" max="62" width="14.7109375" style="3" customWidth="1"/>
    <col min="63" max="16384" width="9.140625" style="3"/>
  </cols>
  <sheetData>
    <row r="1" spans="1:70" s="1" customFormat="1">
      <c r="A1" s="1" t="s">
        <v>667</v>
      </c>
      <c r="B1" s="1" t="s">
        <v>666</v>
      </c>
    </row>
    <row r="2" spans="1:70" s="1" customFormat="1"/>
    <row r="3" spans="1:70">
      <c r="A3" s="1" t="s">
        <v>6</v>
      </c>
      <c r="B3" s="3" t="s">
        <v>1554</v>
      </c>
      <c r="C3" s="3">
        <v>1</v>
      </c>
      <c r="D3" s="3">
        <v>2</v>
      </c>
    </row>
    <row r="4" spans="1:70">
      <c r="A4" s="1" t="s">
        <v>8</v>
      </c>
      <c r="B4" s="3" t="s">
        <v>75</v>
      </c>
      <c r="C4" s="3" t="s">
        <v>99</v>
      </c>
      <c r="D4" s="3" t="s">
        <v>78</v>
      </c>
      <c r="E4" s="3" t="s">
        <v>74</v>
      </c>
      <c r="F4" s="3" t="s">
        <v>219</v>
      </c>
      <c r="G4" s="3" t="s">
        <v>224</v>
      </c>
      <c r="H4" s="3" t="s">
        <v>216</v>
      </c>
      <c r="I4" s="3" t="s">
        <v>222</v>
      </c>
      <c r="J4" s="3" t="s">
        <v>116</v>
      </c>
      <c r="K4" s="3" t="s">
        <v>213</v>
      </c>
    </row>
    <row r="5" spans="1:70">
      <c r="A5" s="1" t="s">
        <v>665</v>
      </c>
      <c r="B5" s="3" t="s">
        <v>75</v>
      </c>
      <c r="C5" s="3" t="s">
        <v>99</v>
      </c>
      <c r="D5" s="3" t="s">
        <v>78</v>
      </c>
      <c r="E5" s="3" t="s">
        <v>74</v>
      </c>
      <c r="F5" s="3" t="s">
        <v>605</v>
      </c>
      <c r="G5" s="3" t="s">
        <v>664</v>
      </c>
      <c r="H5" s="3" t="s">
        <v>663</v>
      </c>
      <c r="I5" s="3" t="s">
        <v>662</v>
      </c>
      <c r="J5" s="3" t="s">
        <v>661</v>
      </c>
      <c r="K5" s="3" t="s">
        <v>660</v>
      </c>
      <c r="L5" s="3" t="s">
        <v>790</v>
      </c>
      <c r="M5" s="3" t="s">
        <v>1494</v>
      </c>
    </row>
    <row r="6" spans="1:70">
      <c r="A6" s="1" t="s">
        <v>659</v>
      </c>
      <c r="B6" s="3" t="s">
        <v>75</v>
      </c>
      <c r="C6" s="3">
        <v>0</v>
      </c>
      <c r="D6" s="3">
        <v>1</v>
      </c>
      <c r="E6" s="3">
        <v>2</v>
      </c>
      <c r="F6" s="3">
        <v>3</v>
      </c>
      <c r="G6" s="3">
        <v>4</v>
      </c>
      <c r="H6" s="3">
        <v>5</v>
      </c>
      <c r="I6" s="3">
        <v>6</v>
      </c>
      <c r="J6" s="3">
        <v>7</v>
      </c>
      <c r="K6" s="3">
        <v>8</v>
      </c>
      <c r="L6" s="3">
        <v>9</v>
      </c>
      <c r="M6" s="3">
        <v>10</v>
      </c>
    </row>
    <row r="7" spans="1:70">
      <c r="A7" s="1" t="s">
        <v>658</v>
      </c>
      <c r="B7" s="3" t="s">
        <v>75</v>
      </c>
      <c r="C7" s="3" t="s">
        <v>655</v>
      </c>
      <c r="D7" s="3" t="s">
        <v>654</v>
      </c>
      <c r="E7" s="3" t="s">
        <v>116</v>
      </c>
      <c r="F7" s="3" t="s">
        <v>653</v>
      </c>
      <c r="G7" s="3" t="s">
        <v>652</v>
      </c>
      <c r="H7" s="3" t="s">
        <v>651</v>
      </c>
      <c r="I7" s="3" t="s">
        <v>48</v>
      </c>
      <c r="J7" s="3" t="s">
        <v>650</v>
      </c>
      <c r="K7" s="3" t="s">
        <v>657</v>
      </c>
      <c r="L7" s="3" t="s">
        <v>649</v>
      </c>
      <c r="M7" s="3" t="s">
        <v>648</v>
      </c>
      <c r="N7" s="3" t="s">
        <v>656</v>
      </c>
      <c r="O7" s="3" t="s">
        <v>646</v>
      </c>
      <c r="P7" s="3" t="s">
        <v>645</v>
      </c>
      <c r="Q7" s="3" t="s">
        <v>777</v>
      </c>
      <c r="R7" s="3" t="s">
        <v>776</v>
      </c>
      <c r="S7" s="3" t="s">
        <v>753</v>
      </c>
      <c r="T7" s="3" t="s">
        <v>752</v>
      </c>
      <c r="U7" s="3" t="s">
        <v>751</v>
      </c>
      <c r="V7" s="3" t="s">
        <v>750</v>
      </c>
      <c r="W7" s="3" t="s">
        <v>749</v>
      </c>
      <c r="X7" s="3" t="s">
        <v>775</v>
      </c>
      <c r="Y7" s="3" t="s">
        <v>748</v>
      </c>
      <c r="Z7" s="3" t="s">
        <v>774</v>
      </c>
      <c r="AA7" s="3" t="s">
        <v>773</v>
      </c>
      <c r="AB7" s="3" t="s">
        <v>772</v>
      </c>
      <c r="AC7" s="3" t="s">
        <v>771</v>
      </c>
      <c r="AD7" s="3" t="s">
        <v>770</v>
      </c>
      <c r="AE7" s="3" t="s">
        <v>747</v>
      </c>
      <c r="AF7" s="3" t="s">
        <v>746</v>
      </c>
      <c r="AG7" s="3" t="s">
        <v>769</v>
      </c>
      <c r="AH7" s="3" t="s">
        <v>745</v>
      </c>
      <c r="AI7" s="3" t="s">
        <v>768</v>
      </c>
      <c r="AJ7" s="3" t="s">
        <v>744</v>
      </c>
      <c r="AK7" s="3" t="s">
        <v>795</v>
      </c>
      <c r="AL7" s="3" t="s">
        <v>796</v>
      </c>
      <c r="AM7" s="3" t="s">
        <v>1709</v>
      </c>
      <c r="AN7" s="3" t="s">
        <v>647</v>
      </c>
      <c r="AO7" s="3" t="s">
        <v>1243</v>
      </c>
      <c r="AP7" s="3" t="s">
        <v>1494</v>
      </c>
      <c r="AQ7" s="3" t="s">
        <v>1498</v>
      </c>
      <c r="AR7" s="3" t="s">
        <v>1584</v>
      </c>
      <c r="AS7" s="3" t="s">
        <v>1583</v>
      </c>
      <c r="AT7" s="3" t="s">
        <v>1582</v>
      </c>
      <c r="AU7" s="3" t="s">
        <v>1581</v>
      </c>
      <c r="AV7" s="3" t="s">
        <v>1580</v>
      </c>
      <c r="AW7" s="3" t="s">
        <v>1579</v>
      </c>
      <c r="AX7" s="3" t="s">
        <v>1578</v>
      </c>
      <c r="AY7" s="3" t="s">
        <v>1577</v>
      </c>
      <c r="AZ7" s="3" t="s">
        <v>1576</v>
      </c>
      <c r="BA7" s="3" t="s">
        <v>1575</v>
      </c>
      <c r="BB7" s="3" t="s">
        <v>1574</v>
      </c>
      <c r="BC7" s="3" t="s">
        <v>1573</v>
      </c>
      <c r="BD7" s="3" t="s">
        <v>1572</v>
      </c>
      <c r="BE7" s="3" t="s">
        <v>1571</v>
      </c>
      <c r="BF7" s="3" t="s">
        <v>1707</v>
      </c>
      <c r="BG7" s="3" t="s">
        <v>1706</v>
      </c>
      <c r="BH7" s="3" t="s">
        <v>1705</v>
      </c>
      <c r="BI7" s="3" t="s">
        <v>1704</v>
      </c>
      <c r="BJ7" s="3" t="s">
        <v>1568</v>
      </c>
      <c r="BK7" s="3" t="s">
        <v>1567</v>
      </c>
      <c r="BL7" s="3" t="s">
        <v>1570</v>
      </c>
      <c r="BM7" s="3" t="s">
        <v>1566</v>
      </c>
      <c r="BN7" s="3" t="s">
        <v>1565</v>
      </c>
      <c r="BO7" s="3" t="s">
        <v>1564</v>
      </c>
      <c r="BP7" s="3" t="s">
        <v>1730</v>
      </c>
      <c r="BQ7" s="3" t="s">
        <v>1737</v>
      </c>
      <c r="BR7" s="3" t="s">
        <v>1738</v>
      </c>
    </row>
    <row r="8" spans="1:70">
      <c r="A8" s="1" t="s">
        <v>644</v>
      </c>
      <c r="B8" s="3" t="s">
        <v>75</v>
      </c>
      <c r="C8" s="3" t="s">
        <v>216</v>
      </c>
      <c r="D8" s="3" t="s">
        <v>643</v>
      </c>
      <c r="E8" s="3" t="s">
        <v>642</v>
      </c>
      <c r="F8" s="3" t="s">
        <v>219</v>
      </c>
      <c r="G8" s="3" t="s">
        <v>641</v>
      </c>
      <c r="H8" s="3" t="s">
        <v>640</v>
      </c>
      <c r="I8" s="3" t="s">
        <v>639</v>
      </c>
      <c r="J8" s="3" t="s">
        <v>638</v>
      </c>
      <c r="K8" s="3" t="s">
        <v>637</v>
      </c>
      <c r="L8" s="3" t="s">
        <v>636</v>
      </c>
      <c r="M8" s="3" t="s">
        <v>635</v>
      </c>
      <c r="N8" s="3" t="s">
        <v>634</v>
      </c>
      <c r="O8" s="3" t="s">
        <v>633</v>
      </c>
      <c r="P8" s="3" t="s">
        <v>632</v>
      </c>
    </row>
    <row r="9" spans="1:70">
      <c r="A9" s="1" t="s">
        <v>631</v>
      </c>
      <c r="B9" s="3" t="s">
        <v>75</v>
      </c>
      <c r="C9" s="3" t="s">
        <v>630</v>
      </c>
      <c r="D9" s="3" t="s">
        <v>629</v>
      </c>
      <c r="E9" s="3" t="s">
        <v>628</v>
      </c>
      <c r="F9" s="3" t="s">
        <v>627</v>
      </c>
    </row>
    <row r="10" spans="1:70">
      <c r="A10" s="1" t="s">
        <v>626</v>
      </c>
      <c r="B10" s="3" t="s">
        <v>75</v>
      </c>
      <c r="C10" s="3" t="s">
        <v>625</v>
      </c>
      <c r="D10" s="3" t="s">
        <v>624</v>
      </c>
      <c r="E10" s="3" t="s">
        <v>623</v>
      </c>
      <c r="F10" s="3" t="s">
        <v>1741</v>
      </c>
    </row>
    <row r="11" spans="1:70">
      <c r="A11" s="1" t="s">
        <v>1745</v>
      </c>
      <c r="B11" s="3" t="s">
        <v>75</v>
      </c>
      <c r="C11" s="3" t="s">
        <v>1744</v>
      </c>
    </row>
    <row r="12" spans="1:70">
      <c r="A12" s="1" t="s">
        <v>622</v>
      </c>
      <c r="B12" s="3" t="s">
        <v>75</v>
      </c>
      <c r="C12" s="3" t="s">
        <v>621</v>
      </c>
    </row>
    <row r="13" spans="1:70">
      <c r="A13" s="1" t="s">
        <v>620</v>
      </c>
      <c r="B13" s="3" t="s">
        <v>619</v>
      </c>
      <c r="C13" s="3" t="s">
        <v>618</v>
      </c>
      <c r="D13" s="3" t="s">
        <v>617</v>
      </c>
      <c r="E13" s="3" t="s">
        <v>76</v>
      </c>
      <c r="F13" s="3" t="s">
        <v>33</v>
      </c>
      <c r="G13" s="3" t="s">
        <v>616</v>
      </c>
      <c r="H13" s="3" t="s">
        <v>615</v>
      </c>
      <c r="I13" s="3" t="s">
        <v>614</v>
      </c>
      <c r="J13" s="3" t="s">
        <v>613</v>
      </c>
      <c r="K13" s="3" t="s">
        <v>612</v>
      </c>
      <c r="L13" s="3" t="s">
        <v>605</v>
      </c>
      <c r="M13" s="3" t="s">
        <v>611</v>
      </c>
      <c r="N13" s="3" t="s">
        <v>610</v>
      </c>
      <c r="O13" s="3" t="s">
        <v>609</v>
      </c>
    </row>
    <row r="14" spans="1:70">
      <c r="A14" s="1" t="s">
        <v>608</v>
      </c>
      <c r="B14" s="3" t="s">
        <v>607</v>
      </c>
      <c r="C14" s="3" t="s">
        <v>606</v>
      </c>
    </row>
    <row r="15" spans="1:70">
      <c r="A15" s="1" t="s">
        <v>20</v>
      </c>
      <c r="B15" s="3" t="s">
        <v>75</v>
      </c>
      <c r="C15" s="3" t="s">
        <v>100</v>
      </c>
      <c r="D15" s="3" t="s">
        <v>130</v>
      </c>
      <c r="E15" s="3" t="s">
        <v>118</v>
      </c>
      <c r="F15" s="3" t="s">
        <v>184</v>
      </c>
      <c r="G15" s="3" t="s">
        <v>194</v>
      </c>
      <c r="H15" s="3" t="s">
        <v>206</v>
      </c>
      <c r="I15" s="3" t="s">
        <v>174</v>
      </c>
      <c r="J15" s="3" t="s">
        <v>79</v>
      </c>
      <c r="K15" s="3" t="s">
        <v>212</v>
      </c>
      <c r="L15" s="3" t="s">
        <v>605</v>
      </c>
    </row>
    <row r="16" spans="1:70">
      <c r="A16" s="1" t="s">
        <v>2</v>
      </c>
      <c r="B16" s="3" t="s">
        <v>73</v>
      </c>
      <c r="C16" s="3" t="s">
        <v>48</v>
      </c>
      <c r="D16" s="3" t="s">
        <v>302</v>
      </c>
      <c r="E16" s="3" t="s">
        <v>604</v>
      </c>
      <c r="F16" s="3" t="s">
        <v>603</v>
      </c>
      <c r="G16" s="3" t="s">
        <v>602</v>
      </c>
    </row>
    <row r="17" spans="1:203">
      <c r="A17" s="1" t="s">
        <v>601</v>
      </c>
      <c r="B17" s="3" t="s">
        <v>75</v>
      </c>
      <c r="C17" s="3" t="s">
        <v>600</v>
      </c>
      <c r="D17" s="3" t="s">
        <v>599</v>
      </c>
      <c r="E17" s="3" t="s">
        <v>586</v>
      </c>
      <c r="F17" s="3" t="s">
        <v>598</v>
      </c>
      <c r="G17" s="3" t="s">
        <v>597</v>
      </c>
      <c r="H17" s="3" t="s">
        <v>1075</v>
      </c>
    </row>
    <row r="18" spans="1:203">
      <c r="A18" s="1" t="s">
        <v>596</v>
      </c>
      <c r="B18" s="3" t="s">
        <v>75</v>
      </c>
      <c r="C18" s="3" t="s">
        <v>219</v>
      </c>
      <c r="D18" s="3" t="s">
        <v>216</v>
      </c>
      <c r="E18" s="3" t="s">
        <v>222</v>
      </c>
      <c r="F18" s="3" t="s">
        <v>224</v>
      </c>
      <c r="G18" s="3" t="s">
        <v>803</v>
      </c>
    </row>
    <row r="19" spans="1:203">
      <c r="A19" s="1" t="s">
        <v>595</v>
      </c>
      <c r="B19" s="3" t="s">
        <v>75</v>
      </c>
      <c r="C19" s="3" t="s">
        <v>594</v>
      </c>
      <c r="D19" s="3" t="s">
        <v>593</v>
      </c>
      <c r="E19" s="3" t="s">
        <v>905</v>
      </c>
      <c r="F19" s="3" t="s">
        <v>1074</v>
      </c>
      <c r="G19" s="3" t="s">
        <v>1477</v>
      </c>
    </row>
    <row r="20" spans="1:203">
      <c r="A20" s="1" t="s">
        <v>592</v>
      </c>
      <c r="B20" s="3" t="s">
        <v>75</v>
      </c>
      <c r="C20" s="3" t="s">
        <v>591</v>
      </c>
      <c r="D20" s="3" t="s">
        <v>590</v>
      </c>
      <c r="E20" s="3" t="s">
        <v>589</v>
      </c>
      <c r="F20" s="3" t="s">
        <v>588</v>
      </c>
      <c r="G20" s="3" t="s">
        <v>73</v>
      </c>
      <c r="H20" s="3" t="s">
        <v>587</v>
      </c>
      <c r="I20" s="3" t="s">
        <v>586</v>
      </c>
      <c r="J20" s="3" t="s">
        <v>585</v>
      </c>
      <c r="K20" s="3" t="s">
        <v>584</v>
      </c>
      <c r="L20" s="3" t="s">
        <v>583</v>
      </c>
      <c r="M20" s="3" t="s">
        <v>1055</v>
      </c>
      <c r="N20" s="3" t="s">
        <v>1496</v>
      </c>
      <c r="O20" s="3" t="s">
        <v>1497</v>
      </c>
      <c r="P20" s="3" t="s">
        <v>1718</v>
      </c>
      <c r="Q20" s="3" t="s">
        <v>1740</v>
      </c>
    </row>
    <row r="21" spans="1:203">
      <c r="A21" s="1" t="s">
        <v>3</v>
      </c>
      <c r="B21" s="3">
        <v>1</v>
      </c>
    </row>
    <row r="22" spans="1:203">
      <c r="A22" s="1" t="s">
        <v>582</v>
      </c>
      <c r="B22" s="3">
        <v>0</v>
      </c>
      <c r="C22" s="3">
        <v>1</v>
      </c>
      <c r="D22" s="3">
        <v>2</v>
      </c>
      <c r="E22" s="3">
        <v>3</v>
      </c>
      <c r="F22" s="3">
        <v>4</v>
      </c>
      <c r="G22" s="3">
        <v>5</v>
      </c>
      <c r="H22" s="3">
        <v>6</v>
      </c>
      <c r="I22" s="3">
        <v>7</v>
      </c>
      <c r="J22" s="3">
        <v>8</v>
      </c>
      <c r="K22" s="3">
        <v>9</v>
      </c>
      <c r="L22" s="3">
        <v>10</v>
      </c>
      <c r="M22" s="3">
        <v>11</v>
      </c>
      <c r="N22" s="3">
        <v>12</v>
      </c>
      <c r="O22" s="3">
        <v>13</v>
      </c>
      <c r="P22" s="3">
        <v>14</v>
      </c>
      <c r="Q22" s="3">
        <v>15</v>
      </c>
      <c r="R22" s="3">
        <v>16</v>
      </c>
      <c r="S22" s="3">
        <v>17</v>
      </c>
      <c r="T22" s="3">
        <v>18</v>
      </c>
      <c r="U22" s="3">
        <v>19</v>
      </c>
      <c r="V22" s="3">
        <v>20</v>
      </c>
    </row>
    <row r="23" spans="1:203">
      <c r="A23" s="1" t="s">
        <v>581</v>
      </c>
      <c r="B23" s="3" t="s">
        <v>75</v>
      </c>
      <c r="C23" s="3">
        <v>-10</v>
      </c>
      <c r="D23" s="3">
        <v>-9.9</v>
      </c>
      <c r="E23" s="3">
        <v>-9.8000000000000007</v>
      </c>
      <c r="F23" s="3">
        <v>-9.6999999999999993</v>
      </c>
      <c r="G23" s="3">
        <v>-9.6</v>
      </c>
      <c r="H23" s="3">
        <v>-9.5</v>
      </c>
      <c r="I23" s="3">
        <v>-9.4</v>
      </c>
      <c r="J23" s="3">
        <v>-9.3000000000000007</v>
      </c>
      <c r="K23" s="3">
        <v>-9.1999999999999993</v>
      </c>
      <c r="L23" s="3">
        <v>-9.1</v>
      </c>
      <c r="M23" s="3">
        <v>-9</v>
      </c>
      <c r="N23" s="3">
        <v>-8.9</v>
      </c>
      <c r="O23" s="3">
        <v>-8.8000000000000007</v>
      </c>
      <c r="P23" s="3">
        <v>-8.6999999999999993</v>
      </c>
      <c r="Q23" s="3">
        <v>-8.6</v>
      </c>
      <c r="R23" s="3">
        <v>-8.5000000000000107</v>
      </c>
      <c r="S23" s="3">
        <v>-8.4000000000000092</v>
      </c>
      <c r="T23" s="3">
        <v>-8.3000000000000096</v>
      </c>
      <c r="U23" s="3">
        <v>-8.2000000000000099</v>
      </c>
      <c r="V23" s="3">
        <v>-8.1000000000000103</v>
      </c>
      <c r="W23" s="3">
        <v>-8.0000000000000107</v>
      </c>
      <c r="X23" s="3">
        <v>-7.9000000000000101</v>
      </c>
      <c r="Y23" s="3">
        <v>-7.8000000000000096</v>
      </c>
      <c r="Z23" s="3">
        <v>-7.7000000000000099</v>
      </c>
      <c r="AA23" s="3">
        <v>-7.6000000000000103</v>
      </c>
      <c r="AB23" s="3">
        <v>-7.5000000000000098</v>
      </c>
      <c r="AC23" s="3">
        <v>-7.4000000000000101</v>
      </c>
      <c r="AD23" s="3">
        <v>-7.3000000000000096</v>
      </c>
      <c r="AE23" s="3">
        <v>-7.2000000000000099</v>
      </c>
      <c r="AF23" s="3">
        <v>-7.1000000000000103</v>
      </c>
      <c r="AG23" s="3">
        <v>-7.0000000000000098</v>
      </c>
      <c r="AH23" s="3">
        <v>-6.9000000000000101</v>
      </c>
      <c r="AI23" s="3">
        <v>-6.8000000000000096</v>
      </c>
      <c r="AJ23" s="3">
        <v>-6.7000000000000099</v>
      </c>
      <c r="AK23" s="3">
        <v>-6.6000000000000103</v>
      </c>
      <c r="AL23" s="3">
        <v>-6.5000000000000098</v>
      </c>
      <c r="AM23" s="3">
        <v>-6.4000000000000101</v>
      </c>
      <c r="AN23" s="3">
        <v>-6.3000000000000096</v>
      </c>
      <c r="AO23" s="3">
        <v>-6.2000000000000099</v>
      </c>
      <c r="AP23" s="3">
        <v>-6.1000000000000103</v>
      </c>
      <c r="AQ23" s="3">
        <v>-6.0000000000000098</v>
      </c>
      <c r="AR23" s="3">
        <v>-5.9000000000000101</v>
      </c>
      <c r="AS23" s="3">
        <v>-5.8000000000000096</v>
      </c>
      <c r="AT23" s="3">
        <v>-5.7000000000000197</v>
      </c>
      <c r="AU23" s="3">
        <v>-5.6000000000000201</v>
      </c>
      <c r="AV23" s="3">
        <v>-5.5000000000000204</v>
      </c>
      <c r="AW23" s="3">
        <v>-5.4000000000000199</v>
      </c>
      <c r="AX23" s="3">
        <v>-5.3000000000000203</v>
      </c>
      <c r="AY23" s="3">
        <v>-5.2000000000000197</v>
      </c>
      <c r="AZ23" s="3">
        <v>-5.1000000000000201</v>
      </c>
      <c r="BA23" s="3">
        <v>-5.0000000000000204</v>
      </c>
      <c r="BB23" s="3">
        <v>-4.9000000000000199</v>
      </c>
      <c r="BC23" s="3">
        <v>-4.8000000000000203</v>
      </c>
      <c r="BD23" s="3">
        <v>-4.7000000000000197</v>
      </c>
      <c r="BE23" s="3">
        <v>-4.6000000000000201</v>
      </c>
      <c r="BF23" s="3">
        <v>-4.5000000000000204</v>
      </c>
      <c r="BG23" s="3">
        <v>-4.4000000000000199</v>
      </c>
      <c r="BH23" s="3">
        <v>-4.3000000000000203</v>
      </c>
      <c r="BI23" s="3">
        <v>-4.2000000000000197</v>
      </c>
      <c r="BJ23" s="3">
        <v>-4.1000000000000201</v>
      </c>
      <c r="BK23" s="3">
        <v>-4.0000000000000204</v>
      </c>
      <c r="BL23" s="3">
        <v>-3.9000000000000199</v>
      </c>
      <c r="BM23" s="3">
        <v>-3.8000000000000198</v>
      </c>
      <c r="BN23" s="3">
        <v>-3.7000000000000202</v>
      </c>
      <c r="BO23" s="3">
        <v>-3.6000000000000201</v>
      </c>
      <c r="BP23" s="3">
        <v>-3.50000000000002</v>
      </c>
      <c r="BQ23" s="3">
        <v>-3.4000000000000199</v>
      </c>
      <c r="BR23" s="3">
        <v>-3.3000000000000198</v>
      </c>
      <c r="BS23" s="3">
        <v>-3.2000000000000202</v>
      </c>
      <c r="BT23" s="3">
        <v>-3.1000000000000201</v>
      </c>
      <c r="BU23" s="3">
        <v>-3.00000000000002</v>
      </c>
      <c r="BV23" s="3">
        <v>-2.9000000000000301</v>
      </c>
      <c r="BW23" s="3">
        <v>-2.80000000000003</v>
      </c>
      <c r="BX23" s="3">
        <v>-2.7000000000000299</v>
      </c>
      <c r="BY23" s="3">
        <v>-2.6000000000000298</v>
      </c>
      <c r="BZ23" s="3">
        <v>-2.5000000000000302</v>
      </c>
      <c r="CA23" s="3">
        <v>-2.4000000000000301</v>
      </c>
      <c r="CB23" s="3">
        <v>-2.30000000000003</v>
      </c>
      <c r="CC23" s="3">
        <v>-2.2000000000000299</v>
      </c>
      <c r="CD23" s="3">
        <v>-2.1000000000000298</v>
      </c>
      <c r="CE23" s="3">
        <v>-2.0000000000000302</v>
      </c>
      <c r="CF23" s="3">
        <v>-1.9000000000000301</v>
      </c>
      <c r="CG23" s="3">
        <v>-1.80000000000003</v>
      </c>
      <c r="CH23" s="3">
        <v>-1.7000000000000299</v>
      </c>
      <c r="CI23" s="3">
        <v>-1.6000000000000301</v>
      </c>
      <c r="CJ23" s="3">
        <v>-1.50000000000003</v>
      </c>
      <c r="CK23" s="3">
        <v>-1.4000000000000301</v>
      </c>
      <c r="CL23" s="3">
        <v>-1.30000000000003</v>
      </c>
      <c r="CM23" s="3">
        <v>-1.2000000000000299</v>
      </c>
      <c r="CN23" s="3">
        <v>-1.1000000000000301</v>
      </c>
      <c r="CO23" s="3">
        <v>-1.00000000000003</v>
      </c>
      <c r="CP23" s="3">
        <v>-0.900000000000031</v>
      </c>
      <c r="CQ23" s="3">
        <v>-0.80000000000002902</v>
      </c>
      <c r="CR23" s="3">
        <v>-0.70000000000002904</v>
      </c>
      <c r="CS23" s="3">
        <v>-0.60000000000002995</v>
      </c>
      <c r="CT23" s="3">
        <v>-0.50000000000002998</v>
      </c>
      <c r="CU23" s="3">
        <v>-0.400000000000031</v>
      </c>
      <c r="CV23" s="3">
        <v>-0.30000000000002902</v>
      </c>
      <c r="CW23" s="3">
        <v>-0.20000000000002899</v>
      </c>
      <c r="CX23" s="3">
        <v>-0.100000000000041</v>
      </c>
      <c r="CY23" s="3">
        <v>0</v>
      </c>
      <c r="CZ23" s="3">
        <v>9.9999999999999603E-2</v>
      </c>
      <c r="DA23" s="3">
        <v>0.19999999999999901</v>
      </c>
      <c r="DB23" s="3">
        <v>0.30000000000000099</v>
      </c>
      <c r="DC23" s="3">
        <v>0.4</v>
      </c>
      <c r="DD23" s="3">
        <v>0.5</v>
      </c>
      <c r="DE23" s="3">
        <v>0.6</v>
      </c>
      <c r="DF23" s="3">
        <v>0.69999999999999896</v>
      </c>
      <c r="DG23" s="3">
        <v>0.80000000000000104</v>
      </c>
      <c r="DH23" s="3">
        <v>0.9</v>
      </c>
      <c r="DI23" s="3">
        <v>1</v>
      </c>
      <c r="DJ23" s="3">
        <v>1.1000000000000001</v>
      </c>
      <c r="DK23" s="3">
        <v>1.2</v>
      </c>
      <c r="DL23" s="3">
        <v>1.3</v>
      </c>
      <c r="DM23" s="3">
        <v>1.4</v>
      </c>
      <c r="DN23" s="3">
        <v>1.5</v>
      </c>
      <c r="DO23" s="3">
        <v>1.6</v>
      </c>
      <c r="DP23" s="3">
        <v>1.7</v>
      </c>
      <c r="DQ23" s="3">
        <v>1.8</v>
      </c>
      <c r="DR23" s="3">
        <v>1.9</v>
      </c>
      <c r="DS23" s="3">
        <v>2</v>
      </c>
      <c r="DT23" s="3">
        <v>2.1</v>
      </c>
      <c r="DU23" s="3">
        <v>2.2000000000000002</v>
      </c>
      <c r="DV23" s="3">
        <v>2.2999999999999998</v>
      </c>
      <c r="DW23" s="3">
        <v>2.4</v>
      </c>
      <c r="DX23" s="3">
        <v>2.5</v>
      </c>
      <c r="DY23" s="3">
        <v>2.6</v>
      </c>
      <c r="DZ23" s="3">
        <v>2.7</v>
      </c>
      <c r="EA23" s="3">
        <v>2.8</v>
      </c>
      <c r="EB23" s="3">
        <v>2.9</v>
      </c>
      <c r="EC23" s="3">
        <v>3</v>
      </c>
      <c r="ED23" s="3">
        <v>3.1</v>
      </c>
      <c r="EE23" s="3">
        <v>3.2</v>
      </c>
      <c r="EF23" s="3">
        <v>3.3</v>
      </c>
      <c r="EG23" s="3">
        <v>3.4</v>
      </c>
      <c r="EH23" s="3">
        <v>3.5</v>
      </c>
      <c r="EI23" s="3">
        <v>3.6</v>
      </c>
      <c r="EJ23" s="3">
        <v>3.7</v>
      </c>
      <c r="EK23" s="3">
        <v>3.8</v>
      </c>
      <c r="EL23" s="3">
        <v>3.9</v>
      </c>
      <c r="EM23" s="3">
        <v>4</v>
      </c>
      <c r="EN23" s="3">
        <v>4.0999999999999002</v>
      </c>
      <c r="EO23" s="3">
        <v>4.1999999999998998</v>
      </c>
      <c r="EP23" s="3">
        <v>4.2999999999999003</v>
      </c>
      <c r="EQ23" s="3">
        <v>4.3999999999999</v>
      </c>
      <c r="ER23" s="3">
        <v>4.4999999999998996</v>
      </c>
      <c r="ES23" s="3">
        <v>4.5999999999999002</v>
      </c>
      <c r="ET23" s="3">
        <v>4.6999999999998998</v>
      </c>
      <c r="EU23" s="3">
        <v>4.7999999999999003</v>
      </c>
      <c r="EV23" s="3">
        <v>4.8999999999999</v>
      </c>
      <c r="EW23" s="3">
        <v>4.9999999999998996</v>
      </c>
      <c r="EX23" s="3">
        <v>5.0999999999999002</v>
      </c>
      <c r="EY23" s="3">
        <v>5.1999999999998998</v>
      </c>
      <c r="EZ23" s="3">
        <v>5.2999999999999003</v>
      </c>
      <c r="FA23" s="3">
        <v>5.3999999999999</v>
      </c>
      <c r="FB23" s="3">
        <v>5.4999999999998996</v>
      </c>
      <c r="FC23" s="3">
        <v>5.5999999999999002</v>
      </c>
      <c r="FD23" s="3">
        <v>5.6999999999998998</v>
      </c>
      <c r="FE23" s="3">
        <v>5.7999999999999003</v>
      </c>
      <c r="FF23" s="3">
        <v>5.8999999999999</v>
      </c>
      <c r="FG23" s="3">
        <v>5.9999999999998996</v>
      </c>
      <c r="FH23" s="3">
        <v>6.0999999999999002</v>
      </c>
      <c r="FI23" s="3">
        <v>6.1999999999998998</v>
      </c>
      <c r="FJ23" s="3">
        <v>6.2999999999999003</v>
      </c>
      <c r="FK23" s="3">
        <v>6.3999999999999</v>
      </c>
      <c r="FL23" s="3">
        <v>6.4999999999998996</v>
      </c>
      <c r="FM23" s="3">
        <v>6.5999999999999002</v>
      </c>
      <c r="FN23" s="3">
        <v>6.6999999999998998</v>
      </c>
      <c r="FO23" s="3">
        <v>6.7999999999999003</v>
      </c>
      <c r="FP23" s="3">
        <v>6.8999999999999</v>
      </c>
      <c r="FQ23" s="3">
        <v>6.9999999999998996</v>
      </c>
      <c r="FR23" s="3">
        <v>7.0999999999999002</v>
      </c>
      <c r="FS23" s="3">
        <v>7.1999999999998998</v>
      </c>
      <c r="FT23" s="3">
        <v>7.2999999999999003</v>
      </c>
      <c r="FU23" s="3">
        <v>7.3999999999999</v>
      </c>
      <c r="FV23" s="3">
        <v>7.4999999999998996</v>
      </c>
      <c r="FW23" s="3">
        <v>7.5999999999999002</v>
      </c>
      <c r="FX23" s="3">
        <v>7.6999999999998998</v>
      </c>
      <c r="FY23" s="3">
        <v>7.7999999999999003</v>
      </c>
      <c r="FZ23" s="3">
        <v>7.8999999999999</v>
      </c>
      <c r="GA23" s="3">
        <v>7.9999999999998996</v>
      </c>
      <c r="GB23" s="3">
        <v>8.0999999999999002</v>
      </c>
      <c r="GC23" s="3">
        <v>8.1999999999998998</v>
      </c>
      <c r="GD23" s="3">
        <v>8.2999999999998995</v>
      </c>
      <c r="GE23" s="3">
        <v>8.3999999999999009</v>
      </c>
      <c r="GF23" s="3">
        <v>8.4999999999999005</v>
      </c>
      <c r="GG23" s="3">
        <v>8.5999999999999002</v>
      </c>
      <c r="GH23" s="3">
        <v>8.6999999999998998</v>
      </c>
      <c r="GI23" s="3">
        <v>8.7999999999998995</v>
      </c>
      <c r="GJ23" s="3">
        <v>8.8999999999999009</v>
      </c>
      <c r="GK23" s="3">
        <v>8.9999999999999005</v>
      </c>
      <c r="GL23" s="3">
        <v>9.0999999999999002</v>
      </c>
      <c r="GM23" s="3">
        <v>9.1999999999998998</v>
      </c>
      <c r="GN23" s="3">
        <v>9.2999999999998995</v>
      </c>
      <c r="GO23" s="3">
        <v>9.3999999999999009</v>
      </c>
      <c r="GP23" s="3">
        <v>9.4999999999999005</v>
      </c>
      <c r="GQ23" s="3">
        <v>9.5999999999999002</v>
      </c>
      <c r="GR23" s="3">
        <v>9.6999999999998998</v>
      </c>
      <c r="GS23" s="3">
        <v>9.7999999999998995</v>
      </c>
      <c r="GT23" s="3">
        <v>9.8999999999999009</v>
      </c>
      <c r="GU23" s="3">
        <v>9.9999999999999005</v>
      </c>
    </row>
    <row r="24" spans="1:203">
      <c r="A24" s="1" t="s">
        <v>580</v>
      </c>
      <c r="B24" s="3" t="s">
        <v>75</v>
      </c>
      <c r="C24" s="3">
        <v>-10</v>
      </c>
      <c r="D24" s="3">
        <v>-9</v>
      </c>
      <c r="E24" s="3">
        <v>-8</v>
      </c>
      <c r="F24" s="3">
        <v>-7</v>
      </c>
      <c r="G24" s="3">
        <v>-6</v>
      </c>
      <c r="H24" s="3">
        <v>-5</v>
      </c>
      <c r="I24" s="3">
        <v>-4</v>
      </c>
      <c r="J24" s="3">
        <v>-3</v>
      </c>
      <c r="K24" s="3">
        <v>-2</v>
      </c>
      <c r="L24" s="3">
        <v>-1</v>
      </c>
      <c r="M24" s="3">
        <v>0</v>
      </c>
      <c r="N24" s="3">
        <v>1</v>
      </c>
      <c r="O24" s="3">
        <v>2</v>
      </c>
      <c r="P24" s="3">
        <v>3</v>
      </c>
      <c r="Q24" s="3">
        <v>4</v>
      </c>
      <c r="R24" s="3">
        <v>5</v>
      </c>
      <c r="S24" s="3">
        <v>6</v>
      </c>
      <c r="T24" s="3">
        <v>7</v>
      </c>
      <c r="U24" s="3">
        <v>8</v>
      </c>
      <c r="V24" s="3">
        <v>9</v>
      </c>
      <c r="W24" s="3">
        <v>10</v>
      </c>
    </row>
    <row r="25" spans="1:203">
      <c r="A25" s="1" t="s">
        <v>579</v>
      </c>
      <c r="B25" s="3" t="s">
        <v>75</v>
      </c>
      <c r="C25" s="3">
        <v>1</v>
      </c>
      <c r="D25" s="3">
        <v>2</v>
      </c>
      <c r="E25" s="3">
        <v>3</v>
      </c>
      <c r="F25" s="3">
        <v>4</v>
      </c>
      <c r="G25" s="3">
        <v>5</v>
      </c>
      <c r="H25" s="3">
        <v>6</v>
      </c>
      <c r="I25" s="3">
        <v>7</v>
      </c>
      <c r="J25" s="3">
        <v>8</v>
      </c>
      <c r="K25" s="3">
        <v>9</v>
      </c>
      <c r="L25" s="3">
        <v>10</v>
      </c>
      <c r="M25" s="3">
        <v>11</v>
      </c>
      <c r="N25" s="3">
        <v>12</v>
      </c>
      <c r="O25" s="3">
        <v>13</v>
      </c>
      <c r="P25" s="3">
        <v>14</v>
      </c>
      <c r="Q25" s="3">
        <v>15</v>
      </c>
      <c r="R25" s="3">
        <v>16</v>
      </c>
      <c r="S25" s="3">
        <v>17</v>
      </c>
      <c r="T25" s="3">
        <v>18</v>
      </c>
      <c r="U25" s="3">
        <v>19</v>
      </c>
      <c r="V25" s="3">
        <v>20</v>
      </c>
      <c r="W25" s="3">
        <v>21</v>
      </c>
      <c r="X25" s="3">
        <v>22</v>
      </c>
      <c r="Y25" s="3">
        <v>23</v>
      </c>
      <c r="Z25" s="3">
        <v>24</v>
      </c>
      <c r="AA25" s="3">
        <v>25</v>
      </c>
      <c r="AB25" s="3">
        <v>26</v>
      </c>
      <c r="AC25" s="3">
        <v>27</v>
      </c>
      <c r="AD25" s="3">
        <v>28</v>
      </c>
      <c r="AE25" s="3">
        <v>29</v>
      </c>
      <c r="AF25" s="3">
        <v>30</v>
      </c>
      <c r="AG25" s="3">
        <v>31</v>
      </c>
      <c r="AH25" s="3">
        <v>32</v>
      </c>
      <c r="AI25" s="3">
        <v>33</v>
      </c>
      <c r="AJ25" s="3">
        <v>34</v>
      </c>
      <c r="AK25" s="3">
        <v>35</v>
      </c>
      <c r="AL25" s="3">
        <v>36</v>
      </c>
      <c r="AM25" s="3">
        <v>37</v>
      </c>
      <c r="AN25" s="3">
        <v>38</v>
      </c>
      <c r="AO25" s="3">
        <v>39</v>
      </c>
      <c r="AP25" s="3">
        <v>40</v>
      </c>
      <c r="AQ25" s="3">
        <v>41</v>
      </c>
      <c r="AR25" s="3">
        <v>42</v>
      </c>
      <c r="AS25" s="3">
        <v>43</v>
      </c>
      <c r="AT25" s="3">
        <v>44</v>
      </c>
      <c r="AU25" s="3">
        <v>45</v>
      </c>
      <c r="AV25" s="3">
        <v>46</v>
      </c>
      <c r="AW25" s="3">
        <v>47</v>
      </c>
      <c r="AX25" s="3">
        <v>48</v>
      </c>
      <c r="AY25" s="3">
        <v>49</v>
      </c>
      <c r="AZ25" s="3">
        <v>50</v>
      </c>
      <c r="BA25" s="3">
        <v>51</v>
      </c>
      <c r="BB25" s="3">
        <v>52</v>
      </c>
      <c r="BC25" s="3">
        <v>53</v>
      </c>
      <c r="BD25" s="3">
        <v>54</v>
      </c>
      <c r="BE25" s="3">
        <v>55</v>
      </c>
      <c r="BF25" s="3">
        <v>56</v>
      </c>
      <c r="BG25" s="3">
        <v>57</v>
      </c>
      <c r="BH25" s="3">
        <v>58</v>
      </c>
      <c r="BI25" s="3">
        <v>59</v>
      </c>
      <c r="BJ25" s="3">
        <v>60</v>
      </c>
      <c r="BK25" s="3">
        <v>61</v>
      </c>
      <c r="BL25" s="3">
        <v>62</v>
      </c>
      <c r="BM25" s="3">
        <v>63</v>
      </c>
      <c r="BN25" s="3">
        <v>64</v>
      </c>
      <c r="BO25" s="3">
        <v>65</v>
      </c>
      <c r="BP25" s="3">
        <v>66</v>
      </c>
      <c r="BQ25" s="3">
        <v>67</v>
      </c>
      <c r="BR25" s="3">
        <v>68</v>
      </c>
      <c r="BS25" s="3">
        <v>69</v>
      </c>
      <c r="BT25" s="3">
        <v>70</v>
      </c>
      <c r="BU25" s="3">
        <v>71</v>
      </c>
      <c r="BV25" s="3">
        <v>72</v>
      </c>
      <c r="BW25" s="3">
        <v>73</v>
      </c>
      <c r="BX25" s="3">
        <v>74</v>
      </c>
      <c r="BY25" s="3">
        <v>75</v>
      </c>
      <c r="BZ25" s="3">
        <v>76</v>
      </c>
      <c r="CA25" s="3">
        <v>77</v>
      </c>
      <c r="CB25" s="3">
        <v>78</v>
      </c>
      <c r="CC25" s="3">
        <v>79</v>
      </c>
      <c r="CD25" s="3">
        <v>80</v>
      </c>
      <c r="CE25" s="3">
        <v>81</v>
      </c>
      <c r="CF25" s="3">
        <v>82</v>
      </c>
      <c r="CG25" s="3">
        <v>83</v>
      </c>
      <c r="CH25" s="3">
        <v>84</v>
      </c>
      <c r="CI25" s="3">
        <v>85</v>
      </c>
      <c r="CJ25" s="3">
        <v>86</v>
      </c>
      <c r="CK25" s="3">
        <v>87</v>
      </c>
      <c r="CL25" s="3">
        <v>88</v>
      </c>
      <c r="CM25" s="3">
        <v>89</v>
      </c>
      <c r="CN25" s="3">
        <v>90</v>
      </c>
      <c r="CO25" s="3">
        <v>91</v>
      </c>
      <c r="CP25" s="3">
        <v>92</v>
      </c>
      <c r="CQ25" s="3">
        <v>93</v>
      </c>
      <c r="CR25" s="3">
        <v>94</v>
      </c>
      <c r="CS25" s="3">
        <v>95</v>
      </c>
      <c r="CT25" s="3">
        <v>96</v>
      </c>
      <c r="CU25" s="3">
        <v>97</v>
      </c>
      <c r="CV25" s="3">
        <v>98</v>
      </c>
      <c r="CW25" s="3">
        <v>99</v>
      </c>
      <c r="CX25" s="3">
        <v>100</v>
      </c>
    </row>
    <row r="26" spans="1:203">
      <c r="A26" s="1" t="s">
        <v>578</v>
      </c>
      <c r="B26" s="3" t="s">
        <v>75</v>
      </c>
      <c r="C26" s="3">
        <v>0</v>
      </c>
      <c r="D26" s="3">
        <v>0.1</v>
      </c>
      <c r="E26" s="3">
        <v>0.2</v>
      </c>
      <c r="F26" s="3">
        <v>0.3</v>
      </c>
      <c r="G26" s="3">
        <v>0.4</v>
      </c>
      <c r="H26" s="3">
        <v>0.5</v>
      </c>
      <c r="I26" s="3">
        <v>0.6</v>
      </c>
      <c r="J26" s="3">
        <v>0.7</v>
      </c>
      <c r="K26" s="3">
        <v>0.8</v>
      </c>
      <c r="L26" s="3">
        <v>0.9</v>
      </c>
      <c r="M26" s="3">
        <v>1</v>
      </c>
      <c r="N26" s="3">
        <v>1.1000000000000001</v>
      </c>
      <c r="O26" s="3">
        <v>1.2</v>
      </c>
      <c r="P26" s="3">
        <v>1.3</v>
      </c>
      <c r="Q26" s="3">
        <v>1.4</v>
      </c>
      <c r="R26" s="3">
        <v>1.5</v>
      </c>
      <c r="S26" s="3">
        <v>1.6</v>
      </c>
      <c r="T26" s="3">
        <v>1.7</v>
      </c>
      <c r="U26" s="3">
        <v>1.8</v>
      </c>
      <c r="V26" s="3">
        <v>1.9</v>
      </c>
      <c r="W26" s="3">
        <v>2</v>
      </c>
      <c r="X26" s="3">
        <v>2.1</v>
      </c>
      <c r="Y26" s="3">
        <v>2.2000000000000002</v>
      </c>
      <c r="Z26" s="3">
        <v>2.2999999999999998</v>
      </c>
      <c r="AA26" s="3">
        <v>2.4</v>
      </c>
      <c r="AB26" s="3">
        <v>2.5</v>
      </c>
      <c r="AC26" s="3">
        <v>2.6</v>
      </c>
      <c r="AD26" s="3">
        <v>2.7</v>
      </c>
      <c r="AE26" s="3">
        <v>2.8</v>
      </c>
      <c r="AF26" s="3">
        <v>2.9</v>
      </c>
      <c r="AG26" s="3">
        <v>3</v>
      </c>
      <c r="AH26" s="3">
        <v>3.1</v>
      </c>
      <c r="AI26" s="3">
        <v>3.2</v>
      </c>
      <c r="AJ26" s="3">
        <v>3.3</v>
      </c>
      <c r="AK26" s="3">
        <v>3.4</v>
      </c>
      <c r="AL26" s="3">
        <v>3.5</v>
      </c>
      <c r="AM26" s="3">
        <v>3.6</v>
      </c>
      <c r="AN26" s="3">
        <v>3.7</v>
      </c>
      <c r="AO26" s="3">
        <v>3.8</v>
      </c>
      <c r="AP26" s="3">
        <v>3.9</v>
      </c>
      <c r="AQ26" s="3">
        <v>4</v>
      </c>
      <c r="AR26" s="3">
        <v>4.0999999999999996</v>
      </c>
      <c r="AS26" s="3">
        <v>4.2</v>
      </c>
      <c r="AT26" s="3">
        <v>4.3</v>
      </c>
      <c r="AU26" s="3">
        <v>4.4000000000000004</v>
      </c>
      <c r="AV26" s="3">
        <v>4.5</v>
      </c>
      <c r="AW26" s="3">
        <v>4.5999999999999996</v>
      </c>
      <c r="AX26" s="3">
        <v>4.7</v>
      </c>
      <c r="AY26" s="3">
        <v>4.8</v>
      </c>
      <c r="AZ26" s="3">
        <v>4.9000000000000004</v>
      </c>
      <c r="BA26" s="3">
        <v>5</v>
      </c>
      <c r="BB26" s="3">
        <v>5.0999999999999996</v>
      </c>
      <c r="BC26" s="3">
        <v>5.2</v>
      </c>
      <c r="BD26" s="3">
        <v>5.3</v>
      </c>
      <c r="BE26" s="3">
        <v>5.4</v>
      </c>
      <c r="BF26" s="3">
        <v>5.5</v>
      </c>
      <c r="BG26" s="3">
        <v>5.6</v>
      </c>
      <c r="BH26" s="3">
        <v>5.7</v>
      </c>
      <c r="BI26" s="3">
        <v>5.8</v>
      </c>
      <c r="BJ26" s="3">
        <v>5.9</v>
      </c>
      <c r="BK26" s="3">
        <v>6</v>
      </c>
      <c r="BL26" s="3">
        <v>6.1</v>
      </c>
      <c r="BM26" s="3">
        <v>6.2</v>
      </c>
      <c r="BN26" s="3">
        <v>6.3</v>
      </c>
      <c r="BO26" s="3">
        <v>6.4</v>
      </c>
      <c r="BP26" s="3">
        <v>6.5</v>
      </c>
      <c r="BQ26" s="3">
        <v>6.6</v>
      </c>
      <c r="BR26" s="3">
        <v>6.7</v>
      </c>
      <c r="BS26" s="3">
        <v>6.8</v>
      </c>
      <c r="BT26" s="3">
        <v>6.9</v>
      </c>
      <c r="BU26" s="3">
        <v>7</v>
      </c>
      <c r="BV26" s="3">
        <v>7.1</v>
      </c>
      <c r="BW26" s="3">
        <v>7.2</v>
      </c>
      <c r="BX26" s="3">
        <v>7.3</v>
      </c>
      <c r="BY26" s="3">
        <v>7.4</v>
      </c>
      <c r="BZ26" s="3">
        <v>7.5</v>
      </c>
      <c r="CA26" s="3">
        <v>7.6</v>
      </c>
      <c r="CB26" s="3">
        <v>7.7</v>
      </c>
      <c r="CC26" s="3">
        <v>7.8</v>
      </c>
      <c r="CD26" s="3">
        <v>7.9</v>
      </c>
      <c r="CE26" s="3">
        <v>8</v>
      </c>
      <c r="CF26" s="3">
        <v>8.1</v>
      </c>
      <c r="CG26" s="3">
        <v>8.1999999999999993</v>
      </c>
      <c r="CH26" s="3">
        <v>8.3000000000000007</v>
      </c>
      <c r="CI26" s="3">
        <v>8.4</v>
      </c>
      <c r="CJ26" s="3">
        <v>8.5</v>
      </c>
      <c r="CK26" s="3">
        <v>8.6</v>
      </c>
      <c r="CL26" s="3">
        <v>8.6999999999999993</v>
      </c>
      <c r="CM26" s="3">
        <v>8.8000000000000007</v>
      </c>
      <c r="CN26" s="3">
        <v>8.9</v>
      </c>
      <c r="CO26" s="3">
        <v>9</v>
      </c>
      <c r="CP26" s="3">
        <v>9.1</v>
      </c>
      <c r="CQ26" s="3">
        <v>9.1999999999999993</v>
      </c>
      <c r="CR26" s="3">
        <v>9.3000000000000007</v>
      </c>
      <c r="CS26" s="3">
        <v>9.4</v>
      </c>
      <c r="CT26" s="3">
        <v>9.5</v>
      </c>
      <c r="CU26" s="3">
        <v>9.6</v>
      </c>
      <c r="CV26" s="3">
        <v>9.6999999999999993</v>
      </c>
      <c r="CW26" s="3">
        <v>9.8000000000000007</v>
      </c>
      <c r="CX26" s="3">
        <v>9.9</v>
      </c>
      <c r="CY26" s="3">
        <v>10</v>
      </c>
    </row>
    <row r="27" spans="1:203">
      <c r="A27" s="1" t="s">
        <v>577</v>
      </c>
    </row>
    <row r="28" spans="1:203">
      <c r="A28" s="1" t="s">
        <v>576</v>
      </c>
    </row>
    <row r="29" spans="1:203">
      <c r="A29" s="1" t="s">
        <v>575</v>
      </c>
    </row>
    <row r="30" spans="1:203">
      <c r="A30" s="1" t="s">
        <v>574</v>
      </c>
    </row>
    <row r="31" spans="1:203">
      <c r="A31" s="1" t="s">
        <v>573</v>
      </c>
      <c r="B31" s="3" t="s">
        <v>75</v>
      </c>
      <c r="C31" s="3" t="s">
        <v>572</v>
      </c>
      <c r="D31" s="3" t="s">
        <v>571</v>
      </c>
      <c r="E31" s="3" t="s">
        <v>570</v>
      </c>
      <c r="F31" s="3" t="s">
        <v>569</v>
      </c>
      <c r="G31" s="3" t="s">
        <v>568</v>
      </c>
      <c r="H31" s="3" t="s">
        <v>567</v>
      </c>
      <c r="I31" s="3" t="s">
        <v>566</v>
      </c>
      <c r="J31" s="3" t="s">
        <v>565</v>
      </c>
      <c r="K31" s="3" t="s">
        <v>766</v>
      </c>
      <c r="L31" s="3" t="s">
        <v>765</v>
      </c>
      <c r="M31" s="3" t="s">
        <v>764</v>
      </c>
      <c r="N31" s="3" t="s">
        <v>763</v>
      </c>
      <c r="O31" s="3" t="s">
        <v>762</v>
      </c>
      <c r="P31" s="3" t="s">
        <v>761</v>
      </c>
      <c r="Q31" s="3" t="s">
        <v>760</v>
      </c>
      <c r="R31" s="3" t="s">
        <v>759</v>
      </c>
      <c r="S31" s="3" t="s">
        <v>758</v>
      </c>
      <c r="T31" s="3" t="s">
        <v>757</v>
      </c>
      <c r="U31" s="3" t="s">
        <v>756</v>
      </c>
      <c r="V31" s="3" t="s">
        <v>755</v>
      </c>
      <c r="W31" s="3" t="s">
        <v>754</v>
      </c>
      <c r="X31" s="3" t="s">
        <v>1294</v>
      </c>
      <c r="Y31" s="3" t="s">
        <v>564</v>
      </c>
      <c r="Z31" s="3" t="s">
        <v>563</v>
      </c>
      <c r="AA31" s="3" t="s">
        <v>562</v>
      </c>
      <c r="AB31" s="3" t="s">
        <v>561</v>
      </c>
      <c r="AC31" s="3" t="s">
        <v>1038</v>
      </c>
      <c r="AD31" s="3" t="s">
        <v>560</v>
      </c>
      <c r="AE31" s="3" t="s">
        <v>605</v>
      </c>
      <c r="AF31" s="3" t="s">
        <v>1037</v>
      </c>
      <c r="AG31" s="3" t="s">
        <v>1244</v>
      </c>
      <c r="AH31" s="3" t="s">
        <v>1499</v>
      </c>
    </row>
    <row r="32" spans="1:203">
      <c r="A32" s="1" t="s">
        <v>559</v>
      </c>
    </row>
    <row r="33" spans="1:37">
      <c r="A33" s="1" t="s">
        <v>558</v>
      </c>
      <c r="B33" s="3" t="s">
        <v>75</v>
      </c>
      <c r="C33" s="3" t="s">
        <v>557</v>
      </c>
      <c r="D33" s="3" t="s">
        <v>556</v>
      </c>
      <c r="E33" s="3" t="s">
        <v>1073</v>
      </c>
    </row>
    <row r="34" spans="1:37">
      <c r="A34" s="1" t="s">
        <v>5</v>
      </c>
    </row>
    <row r="35" spans="1:37">
      <c r="A35" s="1" t="s">
        <v>687</v>
      </c>
      <c r="B35" s="3" t="s">
        <v>75</v>
      </c>
      <c r="C35" s="3" t="s">
        <v>655</v>
      </c>
      <c r="D35" s="3" t="s">
        <v>654</v>
      </c>
      <c r="E35" s="3" t="s">
        <v>116</v>
      </c>
      <c r="F35" s="3" t="s">
        <v>686</v>
      </c>
      <c r="G35" s="3" t="s">
        <v>651</v>
      </c>
      <c r="H35" s="3" t="s">
        <v>685</v>
      </c>
      <c r="I35" s="3" t="s">
        <v>649</v>
      </c>
      <c r="J35" s="3" t="s">
        <v>48</v>
      </c>
      <c r="K35" s="3" t="s">
        <v>753</v>
      </c>
      <c r="L35" s="3" t="s">
        <v>752</v>
      </c>
      <c r="M35" s="3" t="s">
        <v>751</v>
      </c>
      <c r="N35" s="3" t="s">
        <v>750</v>
      </c>
      <c r="O35" s="3" t="s">
        <v>749</v>
      </c>
      <c r="P35" s="3" t="s">
        <v>748</v>
      </c>
      <c r="Q35" s="3" t="s">
        <v>747</v>
      </c>
      <c r="R35" s="3" t="s">
        <v>746</v>
      </c>
      <c r="S35" s="3" t="s">
        <v>745</v>
      </c>
      <c r="T35" s="3" t="s">
        <v>744</v>
      </c>
      <c r="U35" s="3" t="s">
        <v>1569</v>
      </c>
      <c r="V35" s="3" t="s">
        <v>1568</v>
      </c>
      <c r="W35" s="3" t="s">
        <v>1567</v>
      </c>
      <c r="X35" s="3" t="s">
        <v>1566</v>
      </c>
      <c r="Y35" s="3" t="s">
        <v>1565</v>
      </c>
      <c r="Z35" s="3" t="s">
        <v>1564</v>
      </c>
      <c r="AA35" s="3" t="s">
        <v>1730</v>
      </c>
      <c r="AB35" s="3" t="s">
        <v>1737</v>
      </c>
      <c r="AC35" s="3" t="s">
        <v>1929</v>
      </c>
      <c r="AD35" s="3" t="s">
        <v>1928</v>
      </c>
      <c r="AE35" s="3" t="s">
        <v>1927</v>
      </c>
      <c r="AF35" s="3" t="s">
        <v>1926</v>
      </c>
    </row>
    <row r="36" spans="1:37">
      <c r="A36" s="1" t="s">
        <v>724</v>
      </c>
      <c r="B36" s="3" t="s">
        <v>723</v>
      </c>
      <c r="C36" s="3" t="s">
        <v>730</v>
      </c>
      <c r="D36" s="3" t="s">
        <v>722</v>
      </c>
      <c r="E36" s="3" t="s">
        <v>721</v>
      </c>
      <c r="F36" s="3" t="s">
        <v>720</v>
      </c>
      <c r="G36" s="3" t="s">
        <v>1417</v>
      </c>
      <c r="H36" s="3" t="s">
        <v>719</v>
      </c>
      <c r="I36" s="3" t="s">
        <v>718</v>
      </c>
    </row>
    <row r="37" spans="1:37">
      <c r="A37" s="1" t="s">
        <v>844</v>
      </c>
      <c r="B37" s="3" t="s">
        <v>75</v>
      </c>
      <c r="C37" s="3" t="s">
        <v>843</v>
      </c>
      <c r="D37" s="3" t="s">
        <v>842</v>
      </c>
    </row>
    <row r="38" spans="1:37">
      <c r="A38" s="1" t="s">
        <v>1036</v>
      </c>
      <c r="B38" s="3" t="s">
        <v>75</v>
      </c>
      <c r="C38" s="8" t="s">
        <v>1035</v>
      </c>
      <c r="D38" s="3" t="s">
        <v>1034</v>
      </c>
      <c r="E38" s="3" t="s">
        <v>1033</v>
      </c>
      <c r="F38" s="3" t="s">
        <v>1032</v>
      </c>
      <c r="G38" s="3" t="s">
        <v>1031</v>
      </c>
    </row>
    <row r="39" spans="1:37">
      <c r="A39" s="1" t="s">
        <v>1410</v>
      </c>
      <c r="B39" s="125" t="s">
        <v>75</v>
      </c>
      <c r="C39" s="8" t="s">
        <v>1409</v>
      </c>
      <c r="D39" s="3" t="s">
        <v>31</v>
      </c>
      <c r="E39" s="3" t="s">
        <v>194</v>
      </c>
      <c r="F39" s="3" t="s">
        <v>1408</v>
      </c>
      <c r="G39" s="3" t="s">
        <v>33</v>
      </c>
      <c r="H39" s="3" t="s">
        <v>1407</v>
      </c>
      <c r="I39" s="3" t="s">
        <v>1406</v>
      </c>
      <c r="J39" s="3" t="s">
        <v>1405</v>
      </c>
      <c r="K39" s="3" t="s">
        <v>1404</v>
      </c>
      <c r="L39" s="3" t="s">
        <v>1403</v>
      </c>
      <c r="M39" s="3" t="s">
        <v>1402</v>
      </c>
      <c r="N39" s="3" t="s">
        <v>1401</v>
      </c>
      <c r="O39" s="3" t="s">
        <v>1475</v>
      </c>
      <c r="P39" s="3" t="s">
        <v>1474</v>
      </c>
      <c r="Q39" s="3" t="s">
        <v>1473</v>
      </c>
      <c r="R39" s="3" t="s">
        <v>1480</v>
      </c>
      <c r="S39" s="3" t="s">
        <v>1479</v>
      </c>
    </row>
    <row r="40" spans="1:37">
      <c r="A40" s="1" t="s">
        <v>1506</v>
      </c>
      <c r="B40" s="125" t="s">
        <v>75</v>
      </c>
      <c r="C40" s="8" t="s">
        <v>28</v>
      </c>
      <c r="D40" s="3" t="s">
        <v>29</v>
      </c>
      <c r="E40" s="3" t="s">
        <v>1505</v>
      </c>
      <c r="F40" s="3" t="s">
        <v>30</v>
      </c>
      <c r="G40" s="3" t="s">
        <v>31</v>
      </c>
      <c r="H40" s="3" t="s">
        <v>32</v>
      </c>
      <c r="I40" s="3" t="s">
        <v>194</v>
      </c>
      <c r="J40" s="3" t="s">
        <v>206</v>
      </c>
      <c r="K40" s="3" t="s">
        <v>33</v>
      </c>
      <c r="L40" s="3" t="s">
        <v>34</v>
      </c>
      <c r="M40" s="3" t="s">
        <v>35</v>
      </c>
      <c r="N40" s="3" t="s">
        <v>36</v>
      </c>
      <c r="O40" s="3" t="s">
        <v>37</v>
      </c>
      <c r="P40" s="3" t="s">
        <v>38</v>
      </c>
      <c r="Q40" s="3" t="s">
        <v>39</v>
      </c>
      <c r="R40" s="3" t="s">
        <v>40</v>
      </c>
      <c r="S40" s="3" t="s">
        <v>41</v>
      </c>
      <c r="T40" s="3" t="s">
        <v>42</v>
      </c>
      <c r="U40" s="3" t="s">
        <v>43</v>
      </c>
      <c r="V40" s="3" t="s">
        <v>44</v>
      </c>
      <c r="W40" s="3" t="s">
        <v>1504</v>
      </c>
      <c r="X40" s="3" t="s">
        <v>1503</v>
      </c>
      <c r="Y40" s="3" t="s">
        <v>45</v>
      </c>
      <c r="Z40" s="3" t="s">
        <v>46</v>
      </c>
      <c r="AA40" s="3" t="s">
        <v>47</v>
      </c>
      <c r="AB40" s="3" t="s">
        <v>48</v>
      </c>
      <c r="AC40" s="3" t="s">
        <v>49</v>
      </c>
      <c r="AD40" s="3" t="s">
        <v>50</v>
      </c>
      <c r="AE40" s="3" t="s">
        <v>51</v>
      </c>
      <c r="AF40" s="3" t="s">
        <v>52</v>
      </c>
      <c r="AG40" s="3" t="s">
        <v>53</v>
      </c>
      <c r="AH40" s="3" t="s">
        <v>767</v>
      </c>
      <c r="AI40" s="3" t="s">
        <v>1476</v>
      </c>
      <c r="AJ40" s="3" t="s">
        <v>212</v>
      </c>
      <c r="AK40" s="3" t="s">
        <v>1502</v>
      </c>
    </row>
    <row r="41" spans="1:37">
      <c r="A41" s="1" t="s">
        <v>1599</v>
      </c>
      <c r="B41" s="125" t="s">
        <v>75</v>
      </c>
      <c r="C41" s="125" t="s">
        <v>1598</v>
      </c>
      <c r="D41" s="3" t="s">
        <v>1597</v>
      </c>
      <c r="E41" s="3" t="s">
        <v>1596</v>
      </c>
    </row>
    <row r="42" spans="1:37">
      <c r="A42" s="1" t="s">
        <v>1717</v>
      </c>
      <c r="B42" s="125" t="s">
        <v>1716</v>
      </c>
      <c r="C42" s="125" t="s">
        <v>1502</v>
      </c>
    </row>
    <row r="43" spans="1:37">
      <c r="A43" s="1" t="s">
        <v>1765</v>
      </c>
      <c r="B43" s="125" t="s">
        <v>75</v>
      </c>
      <c r="C43" s="125" t="s">
        <v>1764</v>
      </c>
    </row>
    <row r="45" spans="1:37" ht="15">
      <c r="A45" s="5"/>
      <c r="B45" s="7" t="s">
        <v>1024</v>
      </c>
      <c r="C45" s="5"/>
      <c r="D45" s="5"/>
      <c r="E45" s="5"/>
      <c r="F45" s="5"/>
    </row>
    <row r="46" spans="1:37">
      <c r="A46" s="6" t="s">
        <v>1023</v>
      </c>
      <c r="B46" s="3" t="s">
        <v>1021</v>
      </c>
      <c r="C46" s="3" t="s">
        <v>1020</v>
      </c>
      <c r="D46" s="3" t="s">
        <v>1019</v>
      </c>
      <c r="E46" s="3" t="s">
        <v>1018</v>
      </c>
      <c r="F46" s="3" t="s">
        <v>1022</v>
      </c>
      <c r="M46" s="5"/>
    </row>
    <row r="47" spans="1:37">
      <c r="A47" s="1" t="s">
        <v>1027</v>
      </c>
      <c r="B47" s="8" t="s">
        <v>1026</v>
      </c>
      <c r="C47" s="125" t="s">
        <v>1770</v>
      </c>
      <c r="D47" s="3" t="s">
        <v>1025</v>
      </c>
      <c r="E47" s="3" t="s">
        <v>1769</v>
      </c>
      <c r="F47" s="3" t="s">
        <v>1018</v>
      </c>
      <c r="G47" s="3" t="s">
        <v>1768</v>
      </c>
      <c r="H47" s="3" t="s">
        <v>71</v>
      </c>
    </row>
    <row r="48" spans="1:37">
      <c r="A48" s="1" t="s">
        <v>1250</v>
      </c>
      <c r="B48" s="3" t="s">
        <v>1277</v>
      </c>
      <c r="C48" s="3" t="s">
        <v>1276</v>
      </c>
      <c r="D48" s="3" t="s">
        <v>1275</v>
      </c>
      <c r="E48" s="3" t="s">
        <v>1274</v>
      </c>
      <c r="F48" s="3" t="s">
        <v>1273</v>
      </c>
      <c r="G48" s="3" t="s">
        <v>1156</v>
      </c>
      <c r="H48" s="3" t="s">
        <v>1272</v>
      </c>
      <c r="I48" s="3" t="s">
        <v>1271</v>
      </c>
      <c r="J48" s="3" t="s">
        <v>1270</v>
      </c>
      <c r="K48" s="3" t="s">
        <v>1269</v>
      </c>
      <c r="L48" s="3" t="s">
        <v>1268</v>
      </c>
      <c r="M48" s="3" t="s">
        <v>1286</v>
      </c>
      <c r="N48" s="3" t="s">
        <v>1267</v>
      </c>
      <c r="O48" s="3" t="s">
        <v>1799</v>
      </c>
      <c r="P48" s="155" t="s">
        <v>1798</v>
      </c>
      <c r="Q48" s="155" t="s">
        <v>1797</v>
      </c>
    </row>
    <row r="49" spans="1:108" ht="15">
      <c r="A49" s="1" t="s">
        <v>1164</v>
      </c>
      <c r="B49" s="2" t="s">
        <v>1226</v>
      </c>
      <c r="C49" s="2" t="s">
        <v>1225</v>
      </c>
      <c r="D49" s="3" t="s">
        <v>1224</v>
      </c>
      <c r="E49" s="3" t="s">
        <v>1223</v>
      </c>
      <c r="F49" s="3" t="s">
        <v>1222</v>
      </c>
      <c r="G49" s="3" t="s">
        <v>1221</v>
      </c>
      <c r="H49" s="3" t="s">
        <v>1220</v>
      </c>
      <c r="I49" s="2" t="s">
        <v>1219</v>
      </c>
      <c r="J49" s="2" t="s">
        <v>1218</v>
      </c>
      <c r="K49" s="2" t="s">
        <v>1217</v>
      </c>
      <c r="L49" s="2" t="s">
        <v>1216</v>
      </c>
      <c r="M49" s="2" t="s">
        <v>1215</v>
      </c>
      <c r="N49" s="2" t="s">
        <v>1214</v>
      </c>
      <c r="O49" s="3" t="s">
        <v>1213</v>
      </c>
      <c r="P49" s="3" t="s">
        <v>1212</v>
      </c>
      <c r="Q49" s="3" t="s">
        <v>1211</v>
      </c>
      <c r="R49" s="3" t="s">
        <v>1210</v>
      </c>
      <c r="S49" s="3" t="s">
        <v>1209</v>
      </c>
      <c r="T49" s="2" t="s">
        <v>1208</v>
      </c>
      <c r="U49" s="3" t="s">
        <v>1207</v>
      </c>
      <c r="V49" s="3" t="s">
        <v>1206</v>
      </c>
      <c r="W49" s="2" t="s">
        <v>1205</v>
      </c>
      <c r="X49" s="3" t="s">
        <v>1204</v>
      </c>
      <c r="Y49" s="3" t="s">
        <v>1203</v>
      </c>
      <c r="Z49" s="2" t="s">
        <v>1202</v>
      </c>
      <c r="AA49" s="158" t="s">
        <v>1201</v>
      </c>
      <c r="AB49" s="3" t="s">
        <v>1200</v>
      </c>
      <c r="AC49" s="3" t="s">
        <v>1199</v>
      </c>
      <c r="AD49" s="2" t="s">
        <v>1198</v>
      </c>
      <c r="AE49" s="2" t="s">
        <v>1197</v>
      </c>
      <c r="AF49" s="3" t="s">
        <v>1196</v>
      </c>
      <c r="AG49" s="2" t="s">
        <v>1195</v>
      </c>
      <c r="AH49" s="157" t="s">
        <v>1194</v>
      </c>
      <c r="AI49" s="2" t="s">
        <v>1193</v>
      </c>
      <c r="AJ49" s="3" t="s">
        <v>1192</v>
      </c>
      <c r="AK49" s="157" t="s">
        <v>1191</v>
      </c>
      <c r="AL49" s="3" t="s">
        <v>1190</v>
      </c>
      <c r="AM49" s="3" t="s">
        <v>1189</v>
      </c>
      <c r="AN49" s="2" t="s">
        <v>1188</v>
      </c>
      <c r="AO49" s="3" t="s">
        <v>1187</v>
      </c>
      <c r="AP49" s="3" t="s">
        <v>1186</v>
      </c>
      <c r="AQ49" s="3" t="s">
        <v>1185</v>
      </c>
      <c r="AR49" s="3" t="s">
        <v>1184</v>
      </c>
      <c r="AS49" s="3" t="s">
        <v>1183</v>
      </c>
      <c r="AT49" s="2" t="s">
        <v>1182</v>
      </c>
      <c r="AU49" s="2" t="s">
        <v>1181</v>
      </c>
      <c r="AV49" s="2" t="s">
        <v>1180</v>
      </c>
      <c r="AW49" s="2" t="s">
        <v>1179</v>
      </c>
      <c r="AX49" s="2" t="s">
        <v>1178</v>
      </c>
      <c r="AY49" s="3" t="s">
        <v>1177</v>
      </c>
      <c r="AZ49" s="3" t="s">
        <v>1176</v>
      </c>
      <c r="BA49" s="3" t="s">
        <v>1175</v>
      </c>
      <c r="BB49" s="3" t="s">
        <v>1174</v>
      </c>
      <c r="BC49" s="2" t="s">
        <v>1173</v>
      </c>
      <c r="BD49" s="3" t="s">
        <v>1172</v>
      </c>
      <c r="BE49" s="3" t="s">
        <v>1171</v>
      </c>
      <c r="BF49" s="3" t="s">
        <v>1170</v>
      </c>
      <c r="BG49" s="3" t="s">
        <v>1169</v>
      </c>
      <c r="BH49" s="3" t="s">
        <v>1168</v>
      </c>
      <c r="BI49" s="9" t="s">
        <v>612</v>
      </c>
      <c r="BJ49" s="2" t="s">
        <v>605</v>
      </c>
      <c r="BK49" s="2" t="s">
        <v>1163</v>
      </c>
      <c r="BL49" s="10" t="s">
        <v>118</v>
      </c>
      <c r="BM49" s="9" t="s">
        <v>615</v>
      </c>
      <c r="BN49" s="2" t="s">
        <v>1162</v>
      </c>
      <c r="BO49" s="9" t="s">
        <v>194</v>
      </c>
      <c r="BP49" s="9" t="s">
        <v>1161</v>
      </c>
      <c r="BQ49" s="9" t="s">
        <v>1160</v>
      </c>
      <c r="BR49" s="9" t="s">
        <v>130</v>
      </c>
      <c r="BS49" s="9" t="s">
        <v>206</v>
      </c>
      <c r="BT49" s="2" t="s">
        <v>88</v>
      </c>
      <c r="BU49" s="2" t="s">
        <v>1159</v>
      </c>
      <c r="BV49" s="2" t="s">
        <v>602</v>
      </c>
      <c r="BW49" s="9" t="s">
        <v>1158</v>
      </c>
      <c r="BX49" s="9" t="s">
        <v>1157</v>
      </c>
      <c r="BY49" s="2" t="s">
        <v>1156</v>
      </c>
      <c r="BZ49" s="2" t="s">
        <v>1155</v>
      </c>
      <c r="CA49" s="2" t="s">
        <v>1154</v>
      </c>
      <c r="CB49" s="9" t="s">
        <v>619</v>
      </c>
      <c r="CC49" s="9" t="s">
        <v>1153</v>
      </c>
      <c r="CD49" s="2" t="s">
        <v>720</v>
      </c>
      <c r="CE49" s="2" t="s">
        <v>520</v>
      </c>
      <c r="CF49" s="9" t="s">
        <v>1152</v>
      </c>
      <c r="CG49" s="9" t="s">
        <v>1151</v>
      </c>
      <c r="CH49" s="2" t="s">
        <v>1150</v>
      </c>
      <c r="CI49" s="9" t="s">
        <v>616</v>
      </c>
      <c r="CJ49" s="9" t="s">
        <v>1031</v>
      </c>
      <c r="CK49" s="2" t="s">
        <v>1149</v>
      </c>
      <c r="CL49" s="9" t="s">
        <v>33</v>
      </c>
      <c r="CM49" s="9" t="s">
        <v>1148</v>
      </c>
      <c r="CN49" s="3" t="s">
        <v>1147</v>
      </c>
      <c r="CO49" s="3" t="s">
        <v>1146</v>
      </c>
      <c r="CP49" s="3" t="s">
        <v>1145</v>
      </c>
      <c r="CQ49" s="3" t="s">
        <v>1144</v>
      </c>
      <c r="CR49" s="3" t="s">
        <v>1143</v>
      </c>
      <c r="CS49" s="3" t="s">
        <v>1142</v>
      </c>
      <c r="CT49" s="3" t="s">
        <v>1141</v>
      </c>
      <c r="CU49" s="3" t="s">
        <v>1140</v>
      </c>
      <c r="CV49" s="9" t="s">
        <v>174</v>
      </c>
      <c r="CW49" s="9" t="s">
        <v>184</v>
      </c>
      <c r="CX49" s="2" t="s">
        <v>1139</v>
      </c>
      <c r="CY49" s="2" t="s">
        <v>100</v>
      </c>
      <c r="CZ49" s="9" t="s">
        <v>152</v>
      </c>
      <c r="DA49" s="9" t="s">
        <v>167</v>
      </c>
      <c r="DB49" s="2" t="s">
        <v>1138</v>
      </c>
      <c r="DC49" s="9" t="s">
        <v>132</v>
      </c>
      <c r="DD49" s="11" t="s">
        <v>1167</v>
      </c>
    </row>
  </sheetData>
  <sheetProtection selectLockedCells="1" selectUnlockedCells="1"/>
  <pageMargins left="0.75" right="0.75" top="1" bottom="1" header="0.51180555555555551" footer="0.51180555555555551"/>
  <pageSetup firstPageNumber="0" orientation="portrait" horizontalDpi="300" verticalDpi="300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3"/>
  <dimension ref="A1:DF1092"/>
  <sheetViews>
    <sheetView tabSelected="1" zoomScale="85" zoomScaleNormal="85" workbookViewId="0">
      <pane xSplit="5" ySplit="1" topLeftCell="F707" activePane="bottomRight" state="frozen"/>
      <selection pane="topRight" activeCell="F1" sqref="F1"/>
      <selection pane="bottomLeft" activeCell="A2" sqref="A2"/>
      <selection pane="bottomRight" activeCell="L737" sqref="L737"/>
    </sheetView>
  </sheetViews>
  <sheetFormatPr defaultRowHeight="12.75"/>
  <cols>
    <col min="1" max="1" width="44.7109375" style="31" bestFit="1" customWidth="1"/>
    <col min="2" max="2" width="25.28515625" style="31" customWidth="1"/>
    <col min="3" max="3" width="14.140625" style="31" customWidth="1"/>
    <col min="4" max="4" width="4.140625" style="31" customWidth="1"/>
    <col min="5" max="5" width="13.140625" style="31" customWidth="1"/>
    <col min="6" max="6" width="22.140625" style="31" customWidth="1"/>
    <col min="7" max="7" width="13.42578125" style="31" customWidth="1"/>
    <col min="8" max="8" width="13.140625" style="31" customWidth="1"/>
    <col min="9" max="9" width="13.7109375" style="31" customWidth="1"/>
    <col min="10" max="10" width="10" style="31" customWidth="1"/>
    <col min="11" max="12" width="15.140625" style="31" customWidth="1"/>
    <col min="13" max="13" width="18" style="31" bestFit="1" customWidth="1"/>
    <col min="14" max="15" width="15.140625" style="31" customWidth="1"/>
    <col min="16" max="16" width="14.5703125" style="31" customWidth="1"/>
    <col min="17" max="17" width="9.7109375" style="31" customWidth="1"/>
    <col min="18" max="18" width="24.140625" style="31" customWidth="1"/>
    <col min="19" max="20" width="9.140625" style="31"/>
    <col min="21" max="22" width="12" style="31" customWidth="1"/>
    <col min="23" max="23" width="13.140625" style="31" customWidth="1"/>
    <col min="24" max="24" width="16.85546875" style="31" bestFit="1" customWidth="1"/>
    <col min="25" max="25" width="7.85546875" style="31" customWidth="1"/>
    <col min="26" max="26" width="36.140625" style="31" bestFit="1" customWidth="1"/>
    <col min="27" max="27" width="13.85546875" style="31" customWidth="1"/>
    <col min="28" max="28" width="11.7109375" style="31" customWidth="1"/>
    <col min="29" max="29" width="16.85546875" style="31" customWidth="1"/>
    <col min="30" max="30" width="13.5703125" style="31" customWidth="1"/>
    <col min="31" max="61" width="16.85546875" style="31" customWidth="1"/>
    <col min="62" max="62" width="10.28515625" style="31" customWidth="1"/>
    <col min="63" max="63" width="10.42578125" style="31" customWidth="1"/>
    <col min="64" max="64" width="10.85546875" style="31" customWidth="1"/>
    <col min="65" max="65" width="12.28515625" style="31" customWidth="1"/>
    <col min="66" max="66" width="9.42578125" style="31" customWidth="1"/>
    <col min="67" max="67" width="13" style="31" customWidth="1"/>
    <col min="68" max="68" width="11.140625" style="31" customWidth="1"/>
    <col min="69" max="69" width="10.85546875" style="31" customWidth="1"/>
    <col min="70" max="70" width="10.7109375" style="31" customWidth="1"/>
    <col min="71" max="71" width="13.28515625" style="31" customWidth="1"/>
    <col min="72" max="72" width="10.85546875" style="31" customWidth="1"/>
    <col min="73" max="73" width="14.28515625" style="31" customWidth="1"/>
    <col min="74" max="74" width="12.28515625" style="31" bestFit="1" customWidth="1"/>
    <col min="75" max="76" width="12.28515625" style="31" customWidth="1"/>
    <col min="77" max="77" width="19" style="31" customWidth="1"/>
    <col min="78" max="78" width="19.5703125" style="31" customWidth="1"/>
    <col min="79" max="79" width="9.140625" style="31" customWidth="1"/>
    <col min="80" max="80" width="10.85546875" style="31" customWidth="1"/>
    <col min="81" max="81" width="24.140625" style="35" customWidth="1"/>
    <col min="82" max="82" width="30.85546875" style="35" customWidth="1"/>
    <col min="83" max="83" width="23.7109375" style="35" bestFit="1" customWidth="1"/>
    <col min="84" max="84" width="39.5703125" style="35" customWidth="1"/>
    <col min="85" max="85" width="16.5703125" style="31" customWidth="1"/>
    <col min="86" max="86" width="10.85546875" style="31" customWidth="1"/>
    <col min="87" max="91" width="16.5703125" style="31" customWidth="1"/>
    <col min="92" max="92" width="7.5703125" style="31" customWidth="1"/>
    <col min="93" max="99" width="5.5703125" style="31" customWidth="1"/>
    <col min="100" max="100" width="43.28515625" style="49" customWidth="1"/>
    <col min="101" max="102" width="1.85546875" style="31" customWidth="1"/>
    <col min="103" max="103" width="1.28515625" style="31" customWidth="1"/>
    <col min="104" max="104" width="33.42578125" style="31" bestFit="1" customWidth="1"/>
    <col min="105" max="105" width="11.28515625" style="31" customWidth="1"/>
    <col min="106" max="106" width="11.85546875" style="31" customWidth="1"/>
    <col min="107" max="16384" width="9.140625" style="31"/>
  </cols>
  <sheetData>
    <row r="1" spans="1:110" s="12" customFormat="1">
      <c r="A1" s="12" t="s">
        <v>0</v>
      </c>
      <c r="B1" s="12" t="s">
        <v>1</v>
      </c>
      <c r="C1" s="12" t="s">
        <v>2</v>
      </c>
      <c r="D1" s="12" t="s">
        <v>3</v>
      </c>
      <c r="E1" s="12" t="s">
        <v>4</v>
      </c>
      <c r="F1" s="12" t="s">
        <v>5</v>
      </c>
      <c r="G1" s="12" t="s">
        <v>1478</v>
      </c>
      <c r="H1" s="12" t="s">
        <v>7</v>
      </c>
      <c r="I1" s="12" t="s">
        <v>8</v>
      </c>
      <c r="J1" s="12" t="s">
        <v>9</v>
      </c>
      <c r="K1" s="12" t="s">
        <v>10</v>
      </c>
      <c r="L1" s="12" t="s">
        <v>529</v>
      </c>
      <c r="M1" s="12" t="s">
        <v>1028</v>
      </c>
      <c r="N1" s="12" t="s">
        <v>11</v>
      </c>
      <c r="O1" s="12" t="s">
        <v>12</v>
      </c>
      <c r="P1" s="12" t="s">
        <v>13</v>
      </c>
      <c r="Q1" s="12" t="s">
        <v>14</v>
      </c>
      <c r="R1" s="12" t="s">
        <v>15</v>
      </c>
      <c r="S1" s="12" t="s">
        <v>16</v>
      </c>
      <c r="T1" s="12" t="s">
        <v>17</v>
      </c>
      <c r="U1" s="12" t="s">
        <v>18</v>
      </c>
      <c r="V1" s="12" t="s">
        <v>19</v>
      </c>
      <c r="W1" s="12" t="s">
        <v>20</v>
      </c>
      <c r="X1" s="12" t="s">
        <v>1410</v>
      </c>
      <c r="Y1" s="12" t="s">
        <v>21</v>
      </c>
      <c r="Z1" s="12" t="s">
        <v>1487</v>
      </c>
      <c r="AA1" s="13" t="s">
        <v>22</v>
      </c>
      <c r="AB1" s="14" t="s">
        <v>23</v>
      </c>
      <c r="AC1" s="15" t="s">
        <v>24</v>
      </c>
      <c r="AD1" s="16" t="s">
        <v>25</v>
      </c>
      <c r="AE1" s="17" t="s">
        <v>26</v>
      </c>
      <c r="AF1" s="18" t="s">
        <v>27</v>
      </c>
      <c r="AG1" s="77" t="s">
        <v>28</v>
      </c>
      <c r="AH1" s="77" t="s">
        <v>29</v>
      </c>
      <c r="AI1" s="77" t="s">
        <v>30</v>
      </c>
      <c r="AJ1" s="77" t="s">
        <v>31</v>
      </c>
      <c r="AK1" s="77" t="s">
        <v>32</v>
      </c>
      <c r="AL1" s="77" t="s">
        <v>194</v>
      </c>
      <c r="AM1" s="77" t="s">
        <v>206</v>
      </c>
      <c r="AN1" s="77" t="s">
        <v>212</v>
      </c>
      <c r="AO1" s="77" t="s">
        <v>1476</v>
      </c>
      <c r="AP1" s="77" t="s">
        <v>33</v>
      </c>
      <c r="AQ1" s="77" t="s">
        <v>1502</v>
      </c>
      <c r="AR1" s="77" t="s">
        <v>35</v>
      </c>
      <c r="AS1" s="77" t="s">
        <v>767</v>
      </c>
      <c r="AT1" s="78" t="s">
        <v>36</v>
      </c>
      <c r="AU1" s="78" t="s">
        <v>37</v>
      </c>
      <c r="AV1" s="78" t="s">
        <v>38</v>
      </c>
      <c r="AW1" s="78" t="s">
        <v>39</v>
      </c>
      <c r="AX1" s="78" t="s">
        <v>40</v>
      </c>
      <c r="AY1" s="78" t="s">
        <v>41</v>
      </c>
      <c r="AZ1" s="78" t="s">
        <v>42</v>
      </c>
      <c r="BA1" s="79" t="s">
        <v>43</v>
      </c>
      <c r="BB1" s="79" t="s">
        <v>44</v>
      </c>
      <c r="BC1" s="79" t="s">
        <v>1015</v>
      </c>
      <c r="BD1" s="79" t="s">
        <v>1014</v>
      </c>
      <c r="BE1" s="79" t="s">
        <v>45</v>
      </c>
      <c r="BF1" s="79" t="s">
        <v>46</v>
      </c>
      <c r="BG1" s="80" t="s">
        <v>47</v>
      </c>
      <c r="BH1" s="80" t="s">
        <v>51</v>
      </c>
      <c r="BI1" s="80" t="s">
        <v>52</v>
      </c>
      <c r="BJ1" s="80" t="s">
        <v>53</v>
      </c>
      <c r="BK1" s="19" t="s">
        <v>54</v>
      </c>
      <c r="BL1" s="20" t="s">
        <v>55</v>
      </c>
      <c r="BM1" s="21" t="s">
        <v>56</v>
      </c>
      <c r="BN1" s="15" t="s">
        <v>57</v>
      </c>
      <c r="BO1" s="22" t="s">
        <v>58</v>
      </c>
      <c r="BP1" s="23" t="s">
        <v>59</v>
      </c>
      <c r="BQ1" s="22" t="s">
        <v>58</v>
      </c>
      <c r="BR1" s="12" t="s">
        <v>60</v>
      </c>
      <c r="BS1" s="12" t="s">
        <v>61</v>
      </c>
      <c r="BT1" s="12" t="s">
        <v>62</v>
      </c>
      <c r="BU1" s="12" t="s">
        <v>526</v>
      </c>
      <c r="BV1" s="12" t="s">
        <v>523</v>
      </c>
      <c r="BW1" s="12" t="s">
        <v>524</v>
      </c>
      <c r="BX1" s="12" t="s">
        <v>525</v>
      </c>
      <c r="BY1" s="12" t="s">
        <v>63</v>
      </c>
      <c r="BZ1" s="12" t="s">
        <v>64</v>
      </c>
      <c r="CA1" s="12" t="s">
        <v>326</v>
      </c>
      <c r="CB1" s="12" t="s">
        <v>1490</v>
      </c>
      <c r="CC1" s="24" t="s">
        <v>1242</v>
      </c>
      <c r="CD1" s="24" t="s">
        <v>65</v>
      </c>
      <c r="CE1" s="24" t="s">
        <v>1030</v>
      </c>
      <c r="CF1" s="24" t="s">
        <v>1029</v>
      </c>
      <c r="CG1" s="25" t="s">
        <v>725</v>
      </c>
      <c r="CH1" s="12" t="s">
        <v>1735</v>
      </c>
      <c r="CI1" s="25"/>
      <c r="CJ1" s="25"/>
      <c r="CK1" s="25"/>
      <c r="CL1" s="25"/>
      <c r="CM1" s="25"/>
      <c r="CN1" s="25"/>
      <c r="CV1" s="26" t="s">
        <v>66</v>
      </c>
      <c r="CZ1" s="12" t="s">
        <v>67</v>
      </c>
      <c r="DA1" s="12" t="s">
        <v>68</v>
      </c>
      <c r="DB1" s="12" t="s">
        <v>69</v>
      </c>
      <c r="DC1" s="12" t="s">
        <v>70</v>
      </c>
      <c r="DD1" s="12" t="s">
        <v>71</v>
      </c>
      <c r="DE1" s="12" t="s">
        <v>1165</v>
      </c>
      <c r="DF1" s="12" t="s">
        <v>1166</v>
      </c>
    </row>
    <row r="2" spans="1:110" s="85" customFormat="1">
      <c r="A2" s="85" t="s">
        <v>72</v>
      </c>
      <c r="C2" s="85" t="s">
        <v>73</v>
      </c>
      <c r="D2" s="85">
        <v>1</v>
      </c>
      <c r="E2" s="85">
        <v>1</v>
      </c>
      <c r="G2" s="85" t="s">
        <v>607</v>
      </c>
      <c r="H2" s="85">
        <v>2</v>
      </c>
      <c r="I2" s="85" t="s">
        <v>74</v>
      </c>
      <c r="J2" s="85">
        <v>1</v>
      </c>
      <c r="K2" s="85">
        <v>0</v>
      </c>
      <c r="N2" s="85">
        <v>0</v>
      </c>
      <c r="O2" s="85">
        <v>0</v>
      </c>
      <c r="P2" s="85">
        <v>0</v>
      </c>
      <c r="Q2" s="85">
        <v>0</v>
      </c>
      <c r="R2" s="85">
        <v>0</v>
      </c>
      <c r="S2" s="85">
        <v>0</v>
      </c>
      <c r="U2" s="85">
        <v>2</v>
      </c>
      <c r="W2" s="85" t="s">
        <v>75</v>
      </c>
      <c r="Y2" s="85" t="s">
        <v>76</v>
      </c>
      <c r="CE2" s="90"/>
      <c r="CF2" s="90"/>
      <c r="CH2" s="85">
        <v>0</v>
      </c>
      <c r="CV2" s="91"/>
    </row>
    <row r="3" spans="1:110" s="85" customFormat="1">
      <c r="A3" s="85" t="s">
        <v>727</v>
      </c>
      <c r="C3" s="85" t="s">
        <v>73</v>
      </c>
      <c r="I3" s="85" t="s">
        <v>219</v>
      </c>
      <c r="J3" s="85">
        <v>2</v>
      </c>
      <c r="K3" s="85">
        <v>1</v>
      </c>
      <c r="L3" s="85">
        <v>-25</v>
      </c>
      <c r="CE3" s="90"/>
      <c r="CF3" s="90"/>
      <c r="CH3" s="85">
        <v>0</v>
      </c>
      <c r="CV3" s="91"/>
    </row>
    <row r="4" spans="1:110" s="85" customFormat="1">
      <c r="A4" s="85" t="s">
        <v>728</v>
      </c>
      <c r="C4" s="85" t="s">
        <v>73</v>
      </c>
      <c r="I4" s="85" t="s">
        <v>116</v>
      </c>
      <c r="J4" s="85">
        <v>1</v>
      </c>
      <c r="K4" s="85">
        <v>3</v>
      </c>
      <c r="L4" s="85">
        <v>-20</v>
      </c>
      <c r="CE4" s="90"/>
      <c r="CF4" s="90"/>
      <c r="CH4" s="85">
        <v>0</v>
      </c>
      <c r="CV4" s="91"/>
    </row>
    <row r="5" spans="1:110" s="85" customFormat="1">
      <c r="A5" s="85" t="s">
        <v>741</v>
      </c>
      <c r="C5" s="85" t="s">
        <v>73</v>
      </c>
      <c r="I5" s="85" t="s">
        <v>75</v>
      </c>
      <c r="J5" s="85">
        <v>1</v>
      </c>
      <c r="K5" s="85">
        <v>1</v>
      </c>
      <c r="L5" s="85">
        <v>-15</v>
      </c>
      <c r="CE5" s="90"/>
      <c r="CF5" s="90"/>
      <c r="CH5" s="85">
        <v>0</v>
      </c>
      <c r="CV5" s="91"/>
    </row>
    <row r="6" spans="1:110" s="85" customFormat="1">
      <c r="A6" s="85" t="s">
        <v>1495</v>
      </c>
      <c r="C6" s="85" t="s">
        <v>73</v>
      </c>
      <c r="I6" s="85" t="s">
        <v>74</v>
      </c>
      <c r="J6" s="85">
        <v>3</v>
      </c>
      <c r="K6" s="85">
        <v>1</v>
      </c>
      <c r="L6" s="85">
        <v>-15</v>
      </c>
      <c r="CE6" s="90"/>
      <c r="CF6" s="90"/>
      <c r="CH6" s="85">
        <v>0</v>
      </c>
      <c r="CV6" s="91"/>
    </row>
    <row r="7" spans="1:110" s="85" customFormat="1">
      <c r="A7" s="85" t="s">
        <v>1585</v>
      </c>
      <c r="C7" s="85" t="s">
        <v>73</v>
      </c>
      <c r="I7" s="85" t="s">
        <v>75</v>
      </c>
      <c r="J7" s="85">
        <v>3</v>
      </c>
      <c r="K7" s="85">
        <v>1</v>
      </c>
      <c r="CE7" s="90"/>
      <c r="CF7" s="90"/>
      <c r="CH7" s="85">
        <v>0</v>
      </c>
      <c r="CV7" s="91"/>
    </row>
    <row r="8" spans="1:110" s="85" customFormat="1">
      <c r="A8" s="85" t="s">
        <v>1008</v>
      </c>
      <c r="C8" s="85" t="s">
        <v>73</v>
      </c>
      <c r="I8" s="85" t="s">
        <v>219</v>
      </c>
      <c r="J8" s="85">
        <v>2</v>
      </c>
      <c r="K8" s="85">
        <v>1</v>
      </c>
      <c r="L8" s="85">
        <v>-35</v>
      </c>
      <c r="CE8" s="90"/>
      <c r="CF8" s="90"/>
      <c r="CH8" s="85">
        <v>0</v>
      </c>
      <c r="CV8" s="91"/>
    </row>
    <row r="9" spans="1:110" s="85" customFormat="1">
      <c r="A9" s="85" t="s">
        <v>1009</v>
      </c>
      <c r="C9" s="85" t="s">
        <v>73</v>
      </c>
      <c r="I9" s="85" t="s">
        <v>116</v>
      </c>
      <c r="J9" s="85">
        <v>1</v>
      </c>
      <c r="K9" s="85">
        <v>2</v>
      </c>
      <c r="L9" s="85">
        <v>-30</v>
      </c>
      <c r="CE9" s="90"/>
      <c r="CF9" s="90"/>
      <c r="CH9" s="85">
        <v>0</v>
      </c>
      <c r="CV9" s="91"/>
    </row>
    <row r="10" spans="1:110" s="85" customFormat="1">
      <c r="A10" s="85" t="s">
        <v>1010</v>
      </c>
      <c r="C10" s="85" t="s">
        <v>73</v>
      </c>
      <c r="I10" s="85" t="s">
        <v>219</v>
      </c>
      <c r="J10" s="85">
        <v>10</v>
      </c>
      <c r="K10" s="85">
        <v>10</v>
      </c>
      <c r="L10" s="85">
        <v>10000</v>
      </c>
      <c r="CE10" s="90"/>
      <c r="CF10" s="90"/>
      <c r="CH10" s="85">
        <v>0</v>
      </c>
      <c r="CV10" s="91"/>
    </row>
    <row r="11" spans="1:110" s="85" customFormat="1">
      <c r="A11" s="85" t="s">
        <v>1011</v>
      </c>
      <c r="C11" s="85" t="s">
        <v>73</v>
      </c>
      <c r="I11" s="85" t="s">
        <v>116</v>
      </c>
      <c r="J11" s="85">
        <v>1</v>
      </c>
      <c r="K11" s="85">
        <v>2</v>
      </c>
      <c r="L11" s="85">
        <v>-20</v>
      </c>
      <c r="CE11" s="90"/>
      <c r="CF11" s="90"/>
      <c r="CH11" s="85">
        <v>0</v>
      </c>
      <c r="CV11" s="91"/>
    </row>
    <row r="12" spans="1:110" s="85" customFormat="1">
      <c r="A12" s="85" t="s">
        <v>1012</v>
      </c>
      <c r="C12" s="85" t="s">
        <v>73</v>
      </c>
      <c r="I12" s="85" t="s">
        <v>219</v>
      </c>
      <c r="J12" s="85">
        <v>2</v>
      </c>
      <c r="K12" s="85">
        <v>2</v>
      </c>
      <c r="L12" s="85">
        <v>-30</v>
      </c>
      <c r="CE12" s="90"/>
      <c r="CF12" s="90"/>
      <c r="CH12" s="85">
        <v>0</v>
      </c>
      <c r="CV12" s="91"/>
    </row>
    <row r="13" spans="1:110" s="32" customFormat="1">
      <c r="A13" s="32" t="s">
        <v>77</v>
      </c>
      <c r="C13" s="32" t="s">
        <v>73</v>
      </c>
      <c r="D13" s="32">
        <v>1</v>
      </c>
      <c r="F13" s="32" t="s">
        <v>703</v>
      </c>
      <c r="G13" s="32" t="s">
        <v>607</v>
      </c>
      <c r="H13" s="153">
        <v>3</v>
      </c>
      <c r="I13" s="32" t="s">
        <v>78</v>
      </c>
      <c r="J13" s="32">
        <v>2</v>
      </c>
      <c r="K13" s="32">
        <v>1</v>
      </c>
      <c r="N13" s="32">
        <v>2</v>
      </c>
      <c r="O13" s="27">
        <v>0</v>
      </c>
      <c r="P13" s="32">
        <v>0</v>
      </c>
      <c r="Q13" s="32">
        <v>6</v>
      </c>
      <c r="R13" s="32">
        <v>6</v>
      </c>
      <c r="S13" s="31">
        <v>3</v>
      </c>
      <c r="T13" s="32">
        <v>100</v>
      </c>
      <c r="W13" s="32" t="s">
        <v>79</v>
      </c>
      <c r="Y13" s="32" t="s">
        <v>76</v>
      </c>
      <c r="CF13" s="35"/>
      <c r="CG13" s="32" t="s">
        <v>730</v>
      </c>
      <c r="CH13" s="32" t="s">
        <v>1736</v>
      </c>
      <c r="DC13" s="32">
        <v>0</v>
      </c>
      <c r="DD13" s="32">
        <v>0</v>
      </c>
    </row>
    <row r="14" spans="1:110">
      <c r="A14" s="31" t="s">
        <v>853</v>
      </c>
      <c r="B14" s="31" t="s">
        <v>77</v>
      </c>
      <c r="E14" s="31">
        <v>1</v>
      </c>
      <c r="F14" s="31" t="s">
        <v>841</v>
      </c>
      <c r="L14" s="31">
        <v>-25</v>
      </c>
      <c r="BR14" s="33"/>
      <c r="BS14" s="34"/>
      <c r="CA14" s="31" t="s">
        <v>79</v>
      </c>
      <c r="CV14" s="36" t="s">
        <v>436</v>
      </c>
      <c r="DA14" s="31">
        <v>1</v>
      </c>
      <c r="DB14" s="31">
        <v>1</v>
      </c>
      <c r="DC14" s="31">
        <v>1</v>
      </c>
    </row>
    <row r="15" spans="1:110">
      <c r="A15" s="31" t="s">
        <v>854</v>
      </c>
      <c r="B15" s="31" t="s">
        <v>77</v>
      </c>
      <c r="C15" s="37"/>
      <c r="E15" s="31">
        <v>1</v>
      </c>
      <c r="F15" s="31" t="s">
        <v>841</v>
      </c>
      <c r="L15" s="31">
        <v>-25</v>
      </c>
      <c r="BR15" s="33"/>
      <c r="BS15" s="34"/>
      <c r="CA15" s="31" t="s">
        <v>88</v>
      </c>
      <c r="CV15" s="36" t="s">
        <v>91</v>
      </c>
      <c r="CW15" s="33"/>
      <c r="CX15" s="33"/>
      <c r="CY15" s="33"/>
    </row>
    <row r="16" spans="1:110">
      <c r="A16" s="31" t="s">
        <v>855</v>
      </c>
      <c r="B16" s="31" t="s">
        <v>77</v>
      </c>
      <c r="C16" s="37"/>
      <c r="E16" s="31">
        <v>1</v>
      </c>
      <c r="F16" s="31" t="s">
        <v>841</v>
      </c>
      <c r="L16" s="31">
        <v>-25</v>
      </c>
      <c r="BR16" s="33"/>
      <c r="BS16" s="34"/>
      <c r="CA16" s="31" t="s">
        <v>88</v>
      </c>
      <c r="CV16" s="36" t="s">
        <v>709</v>
      </c>
      <c r="CW16" s="33"/>
      <c r="CX16" s="33"/>
      <c r="CY16" s="33"/>
    </row>
    <row r="17" spans="1:110">
      <c r="A17" s="31" t="s">
        <v>856</v>
      </c>
      <c r="B17" s="31" t="s">
        <v>77</v>
      </c>
      <c r="C17" s="37"/>
      <c r="E17" s="31">
        <v>1</v>
      </c>
      <c r="F17" s="31" t="s">
        <v>841</v>
      </c>
      <c r="K17" s="31">
        <v>2</v>
      </c>
      <c r="L17" s="31">
        <v>-25</v>
      </c>
      <c r="S17" s="31">
        <v>3.1</v>
      </c>
      <c r="BR17" s="33"/>
      <c r="BS17" s="34"/>
      <c r="CA17" s="31" t="s">
        <v>88</v>
      </c>
      <c r="CV17" s="36" t="s">
        <v>708</v>
      </c>
      <c r="CW17" s="33"/>
      <c r="CX17" s="33"/>
      <c r="CY17" s="33"/>
    </row>
    <row r="18" spans="1:110" s="38" customFormat="1">
      <c r="A18" s="38" t="s">
        <v>857</v>
      </c>
      <c r="B18" s="38" t="s">
        <v>77</v>
      </c>
      <c r="C18" s="39"/>
      <c r="E18" s="38">
        <v>1</v>
      </c>
      <c r="F18" s="38" t="s">
        <v>841</v>
      </c>
      <c r="K18" s="38">
        <v>2</v>
      </c>
      <c r="L18" s="31">
        <v>-25</v>
      </c>
      <c r="S18" s="38">
        <v>3.2</v>
      </c>
      <c r="BS18" s="40"/>
      <c r="CA18" s="38" t="s">
        <v>88</v>
      </c>
      <c r="CC18" s="41"/>
      <c r="CD18" s="41"/>
      <c r="CE18" s="41"/>
      <c r="CF18" s="41"/>
      <c r="CV18" s="42" t="s">
        <v>707</v>
      </c>
    </row>
    <row r="19" spans="1:110" s="81" customFormat="1">
      <c r="A19" s="81" t="s">
        <v>95</v>
      </c>
      <c r="B19" s="81" t="s">
        <v>77</v>
      </c>
      <c r="E19" s="81">
        <v>1</v>
      </c>
      <c r="F19" s="31" t="str">
        <f t="shared" ref="F19:F20" si="0">CONCATENATE("Dexterity ",MIN(MAX(ROUND(SQRT((IF(J19="",DaggerDamage,J19)+IF(J19="",DaggerDamage,J19)+IF(K19="",DaggerDamageRange,K19))*(E19/1.4))+1,0),5),15))</f>
        <v>Dexterity 5</v>
      </c>
      <c r="P19" s="81">
        <v>1</v>
      </c>
      <c r="Q19" s="81">
        <v>1</v>
      </c>
      <c r="S19" s="81">
        <v>0.1</v>
      </c>
      <c r="BR19" s="83"/>
      <c r="BS19" s="92"/>
      <c r="CC19" s="82"/>
      <c r="CD19" s="82"/>
      <c r="CE19" s="83"/>
      <c r="CF19" s="83"/>
      <c r="CV19" s="93" t="s">
        <v>554</v>
      </c>
      <c r="CW19" s="83"/>
      <c r="CX19" s="83"/>
      <c r="CY19" s="83"/>
      <c r="CZ19" s="81" t="s">
        <v>132</v>
      </c>
      <c r="DA19" s="81">
        <v>1</v>
      </c>
      <c r="DB19" s="81">
        <v>1</v>
      </c>
      <c r="DC19" s="81">
        <v>1</v>
      </c>
      <c r="DE19" s="81">
        <v>1</v>
      </c>
      <c r="DF19" s="81">
        <v>20</v>
      </c>
    </row>
    <row r="20" spans="1:110" s="81" customFormat="1">
      <c r="A20" s="81" t="s">
        <v>737</v>
      </c>
      <c r="B20" s="81" t="s">
        <v>77</v>
      </c>
      <c r="E20" s="81">
        <v>1</v>
      </c>
      <c r="F20" s="31" t="str">
        <f t="shared" si="0"/>
        <v>Dexterity 5</v>
      </c>
      <c r="J20" s="81">
        <v>1</v>
      </c>
      <c r="Q20" s="81">
        <v>2</v>
      </c>
      <c r="S20" s="81">
        <v>1</v>
      </c>
      <c r="BR20" s="83"/>
      <c r="BS20" s="92"/>
      <c r="CA20" s="81" t="s">
        <v>79</v>
      </c>
      <c r="CC20" s="82"/>
      <c r="CD20" s="82"/>
      <c r="CE20" s="82"/>
      <c r="CV20" s="93" t="s">
        <v>1304</v>
      </c>
      <c r="DD20" s="81">
        <v>1</v>
      </c>
    </row>
    <row r="21" spans="1:110" s="94" customFormat="1">
      <c r="A21" s="94" t="s">
        <v>97</v>
      </c>
      <c r="B21" s="94" t="s">
        <v>77</v>
      </c>
      <c r="E21" s="94">
        <v>15</v>
      </c>
      <c r="F21" s="31" t="str">
        <f t="shared" ref="F21:F23" si="1">CONCATENATE("Dexterity ",MIN(MAX(ROUND(SQRT((IF(J21="",DaggerDamage,J21)+IF(J21="",DaggerDamage,J21)+IF(K21="",DaggerDamageRange,K21))*(E21/1.4))+1,0),5),15))</f>
        <v>Dexterity 8</v>
      </c>
      <c r="L21" s="94">
        <v>-40</v>
      </c>
      <c r="O21" s="94">
        <v>3</v>
      </c>
      <c r="P21" s="94">
        <v>1</v>
      </c>
      <c r="Q21" s="94">
        <v>10</v>
      </c>
      <c r="S21" s="94">
        <v>7</v>
      </c>
      <c r="AE21" s="94">
        <v>1</v>
      </c>
      <c r="AF21" s="94">
        <v>1</v>
      </c>
      <c r="BJ21" s="94">
        <v>1</v>
      </c>
      <c r="BT21" s="94">
        <v>5</v>
      </c>
      <c r="CA21" s="94" t="s">
        <v>88</v>
      </c>
      <c r="CC21" s="94" t="s">
        <v>1430</v>
      </c>
      <c r="CF21" s="94" t="s">
        <v>1296</v>
      </c>
      <c r="CV21" s="94" t="s">
        <v>1696</v>
      </c>
      <c r="DD21" s="94">
        <v>1</v>
      </c>
    </row>
    <row r="22" spans="1:110" s="94" customFormat="1">
      <c r="A22" s="94" t="s">
        <v>1719</v>
      </c>
      <c r="B22" s="94" t="s">
        <v>77</v>
      </c>
      <c r="E22" s="94">
        <v>7</v>
      </c>
      <c r="F22" s="31" t="str">
        <f t="shared" si="1"/>
        <v>Dexterity 6</v>
      </c>
      <c r="L22" s="31">
        <v>-20</v>
      </c>
      <c r="O22" s="94">
        <v>3</v>
      </c>
      <c r="Q22" s="94">
        <v>10</v>
      </c>
      <c r="S22" s="94">
        <v>7</v>
      </c>
      <c r="CA22" s="94" t="s">
        <v>88</v>
      </c>
      <c r="CF22" s="94" t="s">
        <v>1739</v>
      </c>
      <c r="CV22" s="94" t="s">
        <v>1742</v>
      </c>
      <c r="DD22" s="94">
        <v>1</v>
      </c>
    </row>
    <row r="23" spans="1:110" s="94" customFormat="1">
      <c r="A23" s="94" t="s">
        <v>1731</v>
      </c>
      <c r="B23" s="94" t="s">
        <v>77</v>
      </c>
      <c r="E23" s="94">
        <v>3</v>
      </c>
      <c r="F23" s="94" t="str">
        <f t="shared" si="1"/>
        <v>Dexterity 5</v>
      </c>
      <c r="L23" s="31">
        <v>-15</v>
      </c>
      <c r="P23" s="94">
        <v>1</v>
      </c>
      <c r="CA23" s="94" t="s">
        <v>88</v>
      </c>
      <c r="CV23" s="94" t="s">
        <v>1733</v>
      </c>
      <c r="DD23" s="94">
        <v>1</v>
      </c>
    </row>
    <row r="24" spans="1:110" s="94" customFormat="1">
      <c r="A24" s="94" t="s">
        <v>1732</v>
      </c>
      <c r="B24" s="94" t="s">
        <v>77</v>
      </c>
      <c r="E24" s="94">
        <v>3</v>
      </c>
      <c r="F24" s="94" t="str">
        <f t="shared" ref="F24:F45" si="2">CONCATENATE("Dexterity ",MIN(MAX(ROUND(SQRT((IF(J24="",DaggerDamage,J24)+IF(J24="",DaggerDamage,J24)+IF(K24="",DaggerDamageRange,K24))*(E24/1.4))+1,0),5),15))</f>
        <v>Dexterity 5</v>
      </c>
      <c r="L24" s="31">
        <v>-15</v>
      </c>
      <c r="P24" s="94">
        <v>1</v>
      </c>
      <c r="CA24" s="94" t="s">
        <v>88</v>
      </c>
      <c r="CV24" s="94" t="s">
        <v>1734</v>
      </c>
      <c r="DD24" s="94">
        <v>1</v>
      </c>
    </row>
    <row r="25" spans="1:110">
      <c r="A25" s="31" t="s">
        <v>80</v>
      </c>
      <c r="B25" s="31" t="s">
        <v>77</v>
      </c>
      <c r="E25" s="31">
        <v>1</v>
      </c>
      <c r="F25" s="31" t="str">
        <f t="shared" si="2"/>
        <v>Dexterity 5</v>
      </c>
      <c r="J25" s="31">
        <v>1</v>
      </c>
      <c r="L25" s="31">
        <f t="shared" ref="L25:L26" si="3">IF(E25=2,-10,IF(E25=3,-10,IF(E25=4,-15,IF(OR(E25=5,E25=6),-20,IF(E25=7,-35,IF(E25=8,-40,IF(E25=9,-45,-50)))))))</f>
        <v>-50</v>
      </c>
      <c r="Q25" s="31">
        <v>1</v>
      </c>
      <c r="S25" s="31">
        <v>4</v>
      </c>
      <c r="CV25" s="36" t="s">
        <v>81</v>
      </c>
      <c r="CZ25" s="113"/>
    </row>
    <row r="26" spans="1:110" s="38" customFormat="1">
      <c r="A26" s="38" t="s">
        <v>85</v>
      </c>
      <c r="B26" s="38" t="s">
        <v>77</v>
      </c>
      <c r="C26" s="39"/>
      <c r="E26" s="33">
        <v>1</v>
      </c>
      <c r="F26" s="31" t="str">
        <f t="shared" si="2"/>
        <v>Dexterity 5</v>
      </c>
      <c r="J26" s="38">
        <v>1</v>
      </c>
      <c r="L26" s="31">
        <f t="shared" si="3"/>
        <v>-50</v>
      </c>
      <c r="Q26" s="38">
        <v>3</v>
      </c>
      <c r="S26" s="38">
        <v>4.0999999999999996</v>
      </c>
      <c r="BS26" s="40"/>
      <c r="CA26" s="38" t="s">
        <v>79</v>
      </c>
      <c r="CC26" s="41"/>
      <c r="CD26" s="41"/>
      <c r="CE26" s="41"/>
      <c r="CF26" s="41"/>
      <c r="CV26" s="42" t="s">
        <v>86</v>
      </c>
      <c r="CZ26" s="114" t="s">
        <v>1150</v>
      </c>
      <c r="DA26" s="38">
        <v>1</v>
      </c>
      <c r="DB26" s="38">
        <v>1</v>
      </c>
      <c r="DC26" s="38">
        <v>2</v>
      </c>
    </row>
    <row r="27" spans="1:110" s="118" customFormat="1">
      <c r="A27" s="123" t="s">
        <v>1375</v>
      </c>
      <c r="B27" s="118" t="s">
        <v>77</v>
      </c>
      <c r="C27" s="119"/>
      <c r="E27" s="118">
        <v>2</v>
      </c>
      <c r="F27" s="31" t="str">
        <f t="shared" si="2"/>
        <v>Dexterity 5</v>
      </c>
      <c r="J27" s="118">
        <v>1</v>
      </c>
      <c r="L27" s="31">
        <f t="shared" ref="L27" si="4">IF(E27=2,-10,IF(E27=3,-10,IF(E27=4,-15,IF(OR(E27=5,E27=6),-20,IF(E27=7,-35,IF(E27=8,-40,IF(E27=9,-45,-50)))))))</f>
        <v>-10</v>
      </c>
      <c r="Q27" s="118">
        <v>3</v>
      </c>
      <c r="S27" s="118">
        <v>4.0999999999999996</v>
      </c>
      <c r="BS27" s="120"/>
      <c r="CA27" s="118" t="s">
        <v>79</v>
      </c>
      <c r="CC27" s="121"/>
      <c r="CD27" s="121"/>
      <c r="CE27" s="121"/>
      <c r="CF27" s="35"/>
      <c r="CV27" s="122" t="s">
        <v>86</v>
      </c>
      <c r="CZ27" s="123" t="s">
        <v>1150</v>
      </c>
      <c r="DA27" s="118">
        <v>1</v>
      </c>
      <c r="DB27" s="118">
        <v>1</v>
      </c>
      <c r="DC27" s="118">
        <v>2</v>
      </c>
    </row>
    <row r="28" spans="1:110" s="33" customFormat="1">
      <c r="A28" s="116" t="s">
        <v>1376</v>
      </c>
      <c r="B28" s="33" t="s">
        <v>77</v>
      </c>
      <c r="C28" s="115"/>
      <c r="E28" s="33">
        <v>3</v>
      </c>
      <c r="F28" s="31" t="str">
        <f t="shared" si="2"/>
        <v>Dexterity 5</v>
      </c>
      <c r="J28" s="33">
        <v>1</v>
      </c>
      <c r="L28" s="31">
        <f t="shared" ref="L28" si="5">IF(E28=2,-10,IF(E28=3,-10,IF(E28=4,-15,IF(OR(E28=5,E28=6),-20,IF(E28=7,-35,IF(E28=8,-40,IF(E28=9,-45,-50)))))))</f>
        <v>-10</v>
      </c>
      <c r="Q28" s="33">
        <v>3</v>
      </c>
      <c r="S28" s="33">
        <v>4.0999999999999996</v>
      </c>
      <c r="BS28" s="34"/>
      <c r="CA28" s="33" t="s">
        <v>79</v>
      </c>
      <c r="CC28" s="124"/>
      <c r="CD28" s="124"/>
      <c r="CE28" s="124"/>
      <c r="CF28" s="35"/>
      <c r="CV28" s="36" t="s">
        <v>86</v>
      </c>
      <c r="CZ28" s="116" t="s">
        <v>1150</v>
      </c>
      <c r="DA28" s="33">
        <v>1</v>
      </c>
      <c r="DB28" s="33">
        <v>1</v>
      </c>
      <c r="DC28" s="33">
        <v>2</v>
      </c>
    </row>
    <row r="29" spans="1:110" s="33" customFormat="1">
      <c r="A29" s="116" t="s">
        <v>1377</v>
      </c>
      <c r="B29" s="33" t="s">
        <v>77</v>
      </c>
      <c r="C29" s="115"/>
      <c r="E29" s="33">
        <v>4</v>
      </c>
      <c r="F29" s="31" t="str">
        <f t="shared" si="2"/>
        <v>Dexterity 5</v>
      </c>
      <c r="J29" s="33">
        <v>1</v>
      </c>
      <c r="L29" s="31">
        <f t="shared" ref="L29" si="6">IF(E29=2,-10,IF(E29=3,-10,IF(E29=4,-15,IF(OR(E29=5,E29=6),-20,IF(E29=7,-35,IF(E29=8,-40,IF(E29=9,-45,-50)))))))</f>
        <v>-15</v>
      </c>
      <c r="Q29" s="33">
        <v>3</v>
      </c>
      <c r="S29" s="33">
        <v>4.0999999999999996</v>
      </c>
      <c r="BS29" s="34"/>
      <c r="CA29" s="33" t="s">
        <v>79</v>
      </c>
      <c r="CC29" s="124"/>
      <c r="CD29" s="124"/>
      <c r="CE29" s="124"/>
      <c r="CF29" s="35"/>
      <c r="CV29" s="36" t="s">
        <v>86</v>
      </c>
      <c r="CZ29" s="116" t="s">
        <v>1150</v>
      </c>
      <c r="DA29" s="33">
        <v>1</v>
      </c>
      <c r="DB29" s="33">
        <v>1</v>
      </c>
      <c r="DC29" s="33">
        <v>2</v>
      </c>
    </row>
    <row r="30" spans="1:110" s="33" customFormat="1">
      <c r="A30" s="116" t="s">
        <v>1378</v>
      </c>
      <c r="B30" s="33" t="s">
        <v>77</v>
      </c>
      <c r="C30" s="115"/>
      <c r="E30" s="33">
        <v>5</v>
      </c>
      <c r="F30" s="31" t="str">
        <f t="shared" si="2"/>
        <v>Dexterity 5</v>
      </c>
      <c r="J30" s="33">
        <v>1</v>
      </c>
      <c r="L30" s="31">
        <f t="shared" ref="L30" si="7">IF(E30=2,-10,IF(E30=3,-10,IF(E30=4,-15,IF(OR(E30=5,E30=6),-20,IF(E30=7,-35,IF(E30=8,-40,IF(E30=9,-45,-50)))))))</f>
        <v>-20</v>
      </c>
      <c r="Q30" s="33">
        <v>3</v>
      </c>
      <c r="S30" s="33">
        <v>4.0999999999999996</v>
      </c>
      <c r="BS30" s="34"/>
      <c r="CA30" s="33" t="s">
        <v>79</v>
      </c>
      <c r="CC30" s="124"/>
      <c r="CD30" s="124"/>
      <c r="CE30" s="124"/>
      <c r="CF30" s="3"/>
      <c r="CV30" s="36" t="s">
        <v>86</v>
      </c>
      <c r="CZ30" s="116" t="s">
        <v>1150</v>
      </c>
      <c r="DA30" s="33">
        <v>1</v>
      </c>
      <c r="DB30" s="33">
        <v>1</v>
      </c>
      <c r="DC30" s="33">
        <v>2</v>
      </c>
    </row>
    <row r="31" spans="1:110" s="33" customFormat="1">
      <c r="A31" s="116" t="s">
        <v>1379</v>
      </c>
      <c r="B31" s="33" t="s">
        <v>77</v>
      </c>
      <c r="C31" s="115"/>
      <c r="E31" s="33">
        <v>6</v>
      </c>
      <c r="F31" s="31" t="str">
        <f t="shared" si="2"/>
        <v>Dexterity 5</v>
      </c>
      <c r="J31" s="33">
        <v>1</v>
      </c>
      <c r="L31" s="31">
        <f t="shared" ref="L31" si="8">IF(E31=2,-10,IF(E31=3,-10,IF(E31=4,-15,IF(OR(E31=5,E31=6),-20,IF(E31=7,-35,IF(E31=8,-40,IF(E31=9,-45,-50)))))))</f>
        <v>-20</v>
      </c>
      <c r="Q31" s="33">
        <v>3</v>
      </c>
      <c r="S31" s="33">
        <v>4.0999999999999996</v>
      </c>
      <c r="BS31" s="34"/>
      <c r="CA31" s="33" t="s">
        <v>79</v>
      </c>
      <c r="CC31" s="124"/>
      <c r="CD31" s="124"/>
      <c r="CE31" s="124"/>
      <c r="CF31" s="35"/>
      <c r="CV31" s="36" t="s">
        <v>86</v>
      </c>
      <c r="CZ31" s="116" t="s">
        <v>1150</v>
      </c>
      <c r="DA31" s="33">
        <v>1</v>
      </c>
      <c r="DB31" s="33">
        <v>1</v>
      </c>
      <c r="DC31" s="33">
        <v>2</v>
      </c>
    </row>
    <row r="32" spans="1:110" s="33" customFormat="1">
      <c r="A32" s="116" t="s">
        <v>1380</v>
      </c>
      <c r="B32" s="33" t="s">
        <v>77</v>
      </c>
      <c r="C32" s="115"/>
      <c r="E32" s="33">
        <v>7</v>
      </c>
      <c r="F32" s="31" t="str">
        <f t="shared" si="2"/>
        <v>Dexterity 5</v>
      </c>
      <c r="J32" s="33">
        <v>1</v>
      </c>
      <c r="L32" s="31">
        <f t="shared" ref="L32" si="9">IF(E32=2,-10,IF(E32=3,-10,IF(E32=4,-15,IF(OR(E32=5,E32=6),-20,IF(E32=7,-35,IF(E32=8,-40,IF(E32=9,-45,-50)))))))</f>
        <v>-35</v>
      </c>
      <c r="Q32" s="33">
        <v>3</v>
      </c>
      <c r="S32" s="33">
        <v>4.0999999999999996</v>
      </c>
      <c r="BS32" s="34"/>
      <c r="CA32" s="33" t="s">
        <v>79</v>
      </c>
      <c r="CC32" s="124"/>
      <c r="CD32" s="124"/>
      <c r="CE32" s="124"/>
      <c r="CF32" s="35"/>
      <c r="CV32" s="36" t="s">
        <v>86</v>
      </c>
      <c r="CZ32" s="116" t="s">
        <v>1150</v>
      </c>
      <c r="DA32" s="33">
        <v>1</v>
      </c>
      <c r="DB32" s="33">
        <v>1</v>
      </c>
      <c r="DC32" s="33">
        <v>2</v>
      </c>
    </row>
    <row r="33" spans="1:110" s="33" customFormat="1">
      <c r="A33" s="116" t="s">
        <v>1381</v>
      </c>
      <c r="B33" s="33" t="s">
        <v>77</v>
      </c>
      <c r="C33" s="115"/>
      <c r="E33" s="33">
        <v>8</v>
      </c>
      <c r="F33" s="31" t="str">
        <f t="shared" si="2"/>
        <v>Dexterity 5</v>
      </c>
      <c r="J33" s="33">
        <v>1</v>
      </c>
      <c r="L33" s="31">
        <f t="shared" ref="L33" si="10">IF(E33=2,-10,IF(E33=3,-10,IF(E33=4,-15,IF(OR(E33=5,E33=6),-20,IF(E33=7,-35,IF(E33=8,-40,IF(E33=9,-45,-50)))))))</f>
        <v>-40</v>
      </c>
      <c r="Q33" s="33">
        <v>3</v>
      </c>
      <c r="S33" s="33">
        <v>4.0999999999999996</v>
      </c>
      <c r="BS33" s="34"/>
      <c r="CA33" s="33" t="s">
        <v>79</v>
      </c>
      <c r="CC33" s="124"/>
      <c r="CD33" s="124"/>
      <c r="CE33" s="124"/>
      <c r="CF33" s="35"/>
      <c r="CV33" s="36" t="s">
        <v>86</v>
      </c>
      <c r="CZ33" s="116" t="s">
        <v>1150</v>
      </c>
      <c r="DA33" s="33">
        <v>1</v>
      </c>
      <c r="DB33" s="33">
        <v>1</v>
      </c>
      <c r="DC33" s="33">
        <v>2</v>
      </c>
    </row>
    <row r="34" spans="1:110" s="33" customFormat="1">
      <c r="A34" s="116" t="s">
        <v>1382</v>
      </c>
      <c r="B34" s="33" t="s">
        <v>77</v>
      </c>
      <c r="C34" s="115"/>
      <c r="E34" s="33">
        <v>9</v>
      </c>
      <c r="F34" s="31" t="str">
        <f t="shared" si="2"/>
        <v>Dexterity 5</v>
      </c>
      <c r="J34" s="33">
        <v>1</v>
      </c>
      <c r="L34" s="31">
        <f t="shared" ref="L34" si="11">IF(E34=2,-10,IF(E34=3,-10,IF(E34=4,-15,IF(OR(E34=5,E34=6),-20,IF(E34=7,-35,IF(E34=8,-40,IF(E34=9,-45,-50)))))))</f>
        <v>-45</v>
      </c>
      <c r="Q34" s="33">
        <v>3</v>
      </c>
      <c r="S34" s="33">
        <v>4.0999999999999996</v>
      </c>
      <c r="BS34" s="34"/>
      <c r="CA34" s="33" t="s">
        <v>79</v>
      </c>
      <c r="CC34" s="124"/>
      <c r="CD34" s="124"/>
      <c r="CE34" s="124"/>
      <c r="CF34" s="35"/>
      <c r="CV34" s="36" t="s">
        <v>86</v>
      </c>
      <c r="CZ34" s="116" t="s">
        <v>1150</v>
      </c>
      <c r="DA34" s="33">
        <v>1</v>
      </c>
      <c r="DB34" s="33">
        <v>1</v>
      </c>
      <c r="DC34" s="33">
        <v>2</v>
      </c>
    </row>
    <row r="35" spans="1:110" s="33" customFormat="1">
      <c r="A35" s="116" t="s">
        <v>1383</v>
      </c>
      <c r="B35" s="33" t="s">
        <v>77</v>
      </c>
      <c r="C35" s="115"/>
      <c r="E35" s="33">
        <v>10</v>
      </c>
      <c r="F35" s="31" t="str">
        <f t="shared" si="2"/>
        <v>Dexterity 6</v>
      </c>
      <c r="J35" s="33">
        <v>1</v>
      </c>
      <c r="L35" s="31">
        <f t="shared" ref="L35" si="12">IF(E35=2,-10,IF(E35=3,-10,IF(E35=4,-15,IF(OR(E35=5,E35=6),-20,IF(E35=7,-35,IF(E35=8,-40,IF(E35=9,-45,-50)))))))</f>
        <v>-50</v>
      </c>
      <c r="Q35" s="33">
        <v>3</v>
      </c>
      <c r="S35" s="33">
        <v>4.0999999999999996</v>
      </c>
      <c r="BS35" s="34"/>
      <c r="CA35" s="33" t="s">
        <v>79</v>
      </c>
      <c r="CC35" s="124"/>
      <c r="CD35" s="124"/>
      <c r="CE35" s="124"/>
      <c r="CF35" s="35"/>
      <c r="CV35" s="36" t="s">
        <v>86</v>
      </c>
      <c r="CZ35" s="116" t="s">
        <v>1150</v>
      </c>
      <c r="DA35" s="33">
        <v>1</v>
      </c>
      <c r="DB35" s="33">
        <v>1</v>
      </c>
      <c r="DC35" s="33">
        <v>2</v>
      </c>
    </row>
    <row r="36" spans="1:110" s="33" customFormat="1">
      <c r="A36" s="116" t="s">
        <v>1384</v>
      </c>
      <c r="B36" s="33" t="s">
        <v>77</v>
      </c>
      <c r="C36" s="115"/>
      <c r="E36" s="33">
        <v>11</v>
      </c>
      <c r="F36" s="31" t="str">
        <f t="shared" si="2"/>
        <v>Dexterity 6</v>
      </c>
      <c r="J36" s="33">
        <v>1</v>
      </c>
      <c r="L36" s="31">
        <f t="shared" ref="L36" si="13">IF(E36=2,-10,IF(E36=3,-10,IF(E36=4,-15,IF(OR(E36=5,E36=6),-20,IF(E36=7,-35,IF(E36=8,-40,IF(E36=9,-45,-50)))))))</f>
        <v>-50</v>
      </c>
      <c r="Q36" s="33">
        <v>3</v>
      </c>
      <c r="S36" s="33">
        <v>4.0999999999999996</v>
      </c>
      <c r="BS36" s="34"/>
      <c r="CA36" s="33" t="s">
        <v>79</v>
      </c>
      <c r="CC36" s="124"/>
      <c r="CD36" s="124"/>
      <c r="CE36" s="124"/>
      <c r="CF36" s="35"/>
      <c r="CV36" s="36" t="s">
        <v>86</v>
      </c>
      <c r="CZ36" s="116" t="s">
        <v>1150</v>
      </c>
      <c r="DA36" s="33">
        <v>1</v>
      </c>
      <c r="DB36" s="33">
        <v>1</v>
      </c>
      <c r="DC36" s="33">
        <v>2</v>
      </c>
    </row>
    <row r="37" spans="1:110" s="33" customFormat="1">
      <c r="A37" s="116" t="s">
        <v>1385</v>
      </c>
      <c r="B37" s="33" t="s">
        <v>77</v>
      </c>
      <c r="C37" s="115"/>
      <c r="E37" s="33">
        <v>12</v>
      </c>
      <c r="F37" s="31" t="str">
        <f t="shared" si="2"/>
        <v>Dexterity 6</v>
      </c>
      <c r="J37" s="33">
        <v>1</v>
      </c>
      <c r="L37" s="31">
        <f t="shared" ref="L37:L38" si="14">IF(E37=2,-10,IF(E37=3,-10,IF(E37=4,-15,IF(OR(E37=5,E37=6),-20,IF(E37=7,-35,IF(E37=8,-40,IF(E37=9,-45,-50)))))))</f>
        <v>-50</v>
      </c>
      <c r="Q37" s="33">
        <v>3</v>
      </c>
      <c r="S37" s="33">
        <v>4.0999999999999996</v>
      </c>
      <c r="BS37" s="34"/>
      <c r="CA37" s="33" t="s">
        <v>79</v>
      </c>
      <c r="CC37" s="124"/>
      <c r="CD37" s="124"/>
      <c r="CE37" s="124"/>
      <c r="CF37" s="35"/>
      <c r="CV37" s="36" t="s">
        <v>86</v>
      </c>
      <c r="CZ37" s="116" t="s">
        <v>1150</v>
      </c>
      <c r="DA37" s="33">
        <v>1</v>
      </c>
      <c r="DB37" s="33">
        <v>1</v>
      </c>
      <c r="DC37" s="33">
        <v>2</v>
      </c>
    </row>
    <row r="38" spans="1:110" s="33" customFormat="1">
      <c r="A38" s="116" t="s">
        <v>1386</v>
      </c>
      <c r="B38" s="33" t="s">
        <v>77</v>
      </c>
      <c r="C38" s="115"/>
      <c r="E38" s="33">
        <v>13</v>
      </c>
      <c r="F38" s="31" t="str">
        <f t="shared" si="2"/>
        <v>Dexterity 6</v>
      </c>
      <c r="J38" s="33">
        <v>1</v>
      </c>
      <c r="L38" s="31">
        <f t="shared" si="14"/>
        <v>-50</v>
      </c>
      <c r="Q38" s="33">
        <v>3</v>
      </c>
      <c r="S38" s="33">
        <v>4.0999999999999996</v>
      </c>
      <c r="BS38" s="34"/>
      <c r="CA38" s="33" t="s">
        <v>79</v>
      </c>
      <c r="CC38" s="124"/>
      <c r="CD38" s="124"/>
      <c r="CE38" s="124"/>
      <c r="CF38" s="35"/>
      <c r="CV38" s="36" t="s">
        <v>86</v>
      </c>
      <c r="CZ38" s="116" t="s">
        <v>1150</v>
      </c>
      <c r="DA38" s="33">
        <v>1</v>
      </c>
      <c r="DB38" s="33">
        <v>1</v>
      </c>
      <c r="DC38" s="33">
        <v>2</v>
      </c>
    </row>
    <row r="39" spans="1:110" s="33" customFormat="1">
      <c r="A39" s="116" t="s">
        <v>1387</v>
      </c>
      <c r="B39" s="33" t="s">
        <v>77</v>
      </c>
      <c r="C39" s="115"/>
      <c r="E39" s="33">
        <v>14</v>
      </c>
      <c r="F39" s="31" t="str">
        <f t="shared" si="2"/>
        <v>Dexterity 6</v>
      </c>
      <c r="J39" s="33">
        <v>1</v>
      </c>
      <c r="L39" s="31">
        <f t="shared" ref="L39" si="15">IF(E39=2,-10,IF(E39=3,-10,IF(E39=4,-15,IF(OR(E39=5,E39=6),-20,IF(E39=7,-35,IF(E39=8,-40,IF(E39=9,-45,-50)))))))</f>
        <v>-50</v>
      </c>
      <c r="Q39" s="33">
        <v>3</v>
      </c>
      <c r="S39" s="33">
        <v>4.0999999999999996</v>
      </c>
      <c r="BS39" s="34"/>
      <c r="CA39" s="33" t="s">
        <v>79</v>
      </c>
      <c r="CC39" s="124"/>
      <c r="CD39" s="124"/>
      <c r="CE39" s="124"/>
      <c r="CF39" s="35"/>
      <c r="CV39" s="36" t="s">
        <v>86</v>
      </c>
      <c r="CZ39" s="116" t="s">
        <v>1150</v>
      </c>
      <c r="DA39" s="33">
        <v>1</v>
      </c>
      <c r="DB39" s="33">
        <v>1</v>
      </c>
      <c r="DC39" s="33">
        <v>2</v>
      </c>
    </row>
    <row r="40" spans="1:110" s="33" customFormat="1">
      <c r="A40" s="116" t="s">
        <v>1388</v>
      </c>
      <c r="B40" s="33" t="s">
        <v>77</v>
      </c>
      <c r="C40" s="115"/>
      <c r="E40" s="33">
        <v>15</v>
      </c>
      <c r="F40" s="31" t="str">
        <f t="shared" si="2"/>
        <v>Dexterity 7</v>
      </c>
      <c r="J40" s="33">
        <v>1</v>
      </c>
      <c r="L40" s="31">
        <f t="shared" ref="L40" si="16">IF(E40=2,-10,IF(E40=3,-10,IF(E40=4,-15,IF(OR(E40=5,E40=6),-20,IF(E40=7,-35,IF(E40=8,-40,IF(E40=9,-45,-50)))))))</f>
        <v>-50</v>
      </c>
      <c r="Q40" s="33">
        <v>3</v>
      </c>
      <c r="S40" s="33">
        <v>4.0999999999999996</v>
      </c>
      <c r="BS40" s="34"/>
      <c r="CA40" s="33" t="s">
        <v>79</v>
      </c>
      <c r="CC40" s="124"/>
      <c r="CD40" s="124"/>
      <c r="CE40" s="124"/>
      <c r="CF40" s="35"/>
      <c r="CV40" s="36" t="s">
        <v>86</v>
      </c>
      <c r="CZ40" s="116" t="s">
        <v>1150</v>
      </c>
      <c r="DA40" s="33">
        <v>1</v>
      </c>
      <c r="DB40" s="33">
        <v>1</v>
      </c>
      <c r="DC40" s="33">
        <v>2</v>
      </c>
    </row>
    <row r="41" spans="1:110" s="33" customFormat="1">
      <c r="A41" s="116" t="s">
        <v>1389</v>
      </c>
      <c r="B41" s="33" t="s">
        <v>77</v>
      </c>
      <c r="C41" s="115"/>
      <c r="E41" s="33">
        <v>16</v>
      </c>
      <c r="F41" s="31" t="str">
        <f t="shared" si="2"/>
        <v>Dexterity 7</v>
      </c>
      <c r="J41" s="33">
        <v>1</v>
      </c>
      <c r="L41" s="31">
        <f t="shared" ref="L41" si="17">IF(E41=2,-10,IF(E41=3,-10,IF(E41=4,-15,IF(OR(E41=5,E41=6),-20,IF(E41=7,-35,IF(E41=8,-40,IF(E41=9,-45,-50)))))))</f>
        <v>-50</v>
      </c>
      <c r="Q41" s="33">
        <v>3</v>
      </c>
      <c r="S41" s="33">
        <v>4.0999999999999996</v>
      </c>
      <c r="BS41" s="34"/>
      <c r="CA41" s="33" t="s">
        <v>79</v>
      </c>
      <c r="CC41" s="124"/>
      <c r="CD41" s="124"/>
      <c r="CE41" s="124"/>
      <c r="CF41" s="35"/>
      <c r="CV41" s="36" t="s">
        <v>86</v>
      </c>
      <c r="CZ41" s="116" t="s">
        <v>1150</v>
      </c>
      <c r="DA41" s="33">
        <v>1</v>
      </c>
      <c r="DB41" s="33">
        <v>1</v>
      </c>
      <c r="DC41" s="33">
        <v>2</v>
      </c>
    </row>
    <row r="42" spans="1:110" s="33" customFormat="1">
      <c r="A42" s="116" t="s">
        <v>1390</v>
      </c>
      <c r="B42" s="33" t="s">
        <v>77</v>
      </c>
      <c r="C42" s="115"/>
      <c r="E42" s="33">
        <v>17</v>
      </c>
      <c r="F42" s="31" t="str">
        <f t="shared" si="2"/>
        <v>Dexterity 7</v>
      </c>
      <c r="J42" s="33">
        <v>1</v>
      </c>
      <c r="L42" s="31">
        <f t="shared" ref="L42" si="18">IF(E42=2,-10,IF(E42=3,-10,IF(E42=4,-15,IF(OR(E42=5,E42=6),-20,IF(E42=7,-35,IF(E42=8,-40,IF(E42=9,-45,-50)))))))</f>
        <v>-50</v>
      </c>
      <c r="Q42" s="33">
        <v>3</v>
      </c>
      <c r="S42" s="33">
        <v>4.0999999999999996</v>
      </c>
      <c r="BS42" s="34"/>
      <c r="CA42" s="33" t="s">
        <v>79</v>
      </c>
      <c r="CC42" s="124"/>
      <c r="CD42" s="124"/>
      <c r="CE42" s="124"/>
      <c r="CF42" s="35"/>
      <c r="CV42" s="36" t="s">
        <v>86</v>
      </c>
      <c r="CZ42" s="116" t="s">
        <v>1150</v>
      </c>
      <c r="DA42" s="33">
        <v>1</v>
      </c>
      <c r="DB42" s="33">
        <v>1</v>
      </c>
      <c r="DC42" s="33">
        <v>2</v>
      </c>
    </row>
    <row r="43" spans="1:110" s="33" customFormat="1">
      <c r="A43" s="116" t="s">
        <v>1391</v>
      </c>
      <c r="B43" s="33" t="s">
        <v>77</v>
      </c>
      <c r="C43" s="115"/>
      <c r="E43" s="33">
        <v>18</v>
      </c>
      <c r="F43" s="31" t="str">
        <f t="shared" si="2"/>
        <v>Dexterity 7</v>
      </c>
      <c r="J43" s="33">
        <v>1</v>
      </c>
      <c r="L43" s="31">
        <f t="shared" ref="L43" si="19">IF(E43=2,-10,IF(E43=3,-10,IF(E43=4,-15,IF(OR(E43=5,E43=6),-20,IF(E43=7,-35,IF(E43=8,-40,IF(E43=9,-45,-50)))))))</f>
        <v>-50</v>
      </c>
      <c r="Q43" s="33">
        <v>3</v>
      </c>
      <c r="S43" s="33">
        <v>4.0999999999999996</v>
      </c>
      <c r="BS43" s="34"/>
      <c r="CA43" s="33" t="s">
        <v>79</v>
      </c>
      <c r="CC43" s="124"/>
      <c r="CD43" s="124"/>
      <c r="CE43" s="124"/>
      <c r="CF43" s="35"/>
      <c r="CV43" s="36" t="s">
        <v>86</v>
      </c>
      <c r="CZ43" s="116" t="s">
        <v>1150</v>
      </c>
      <c r="DA43" s="33">
        <v>1</v>
      </c>
      <c r="DB43" s="33">
        <v>1</v>
      </c>
      <c r="DC43" s="33">
        <v>2</v>
      </c>
    </row>
    <row r="44" spans="1:110" s="33" customFormat="1">
      <c r="A44" s="116" t="s">
        <v>1392</v>
      </c>
      <c r="B44" s="33" t="s">
        <v>77</v>
      </c>
      <c r="C44" s="115"/>
      <c r="E44" s="33">
        <v>19</v>
      </c>
      <c r="F44" s="31" t="str">
        <f t="shared" si="2"/>
        <v>Dexterity 7</v>
      </c>
      <c r="J44" s="33">
        <v>1</v>
      </c>
      <c r="L44" s="31">
        <f t="shared" ref="L44" si="20">IF(E44=2,-10,IF(E44=3,-10,IF(E44=4,-15,IF(OR(E44=5,E44=6),-20,IF(E44=7,-35,IF(E44=8,-40,IF(E44=9,-45,-50)))))))</f>
        <v>-50</v>
      </c>
      <c r="Q44" s="33">
        <v>3</v>
      </c>
      <c r="S44" s="33">
        <v>4.0999999999999996</v>
      </c>
      <c r="BS44" s="34"/>
      <c r="CA44" s="33" t="s">
        <v>79</v>
      </c>
      <c r="CC44" s="124"/>
      <c r="CD44" s="124"/>
      <c r="CE44" s="124"/>
      <c r="CF44" s="35"/>
      <c r="CV44" s="36" t="s">
        <v>86</v>
      </c>
      <c r="CZ44" s="116" t="s">
        <v>1150</v>
      </c>
      <c r="DA44" s="33">
        <v>1</v>
      </c>
      <c r="DB44" s="33">
        <v>1</v>
      </c>
      <c r="DC44" s="33">
        <v>2</v>
      </c>
    </row>
    <row r="45" spans="1:110" s="38" customFormat="1">
      <c r="A45" s="114" t="s">
        <v>1393</v>
      </c>
      <c r="B45" s="38" t="s">
        <v>77</v>
      </c>
      <c r="C45" s="39"/>
      <c r="E45" s="38">
        <v>20</v>
      </c>
      <c r="F45" s="31" t="str">
        <f t="shared" si="2"/>
        <v>Dexterity 8</v>
      </c>
      <c r="J45" s="38">
        <v>1</v>
      </c>
      <c r="L45" s="31">
        <f t="shared" ref="L45" si="21">IF(E45=2,-10,IF(E45=3,-10,IF(E45=4,-15,IF(OR(E45=5,E45=6),-20,IF(E45=7,-35,IF(E45=8,-40,IF(E45=9,-45,-50)))))))</f>
        <v>-50</v>
      </c>
      <c r="Q45" s="38">
        <v>3</v>
      </c>
      <c r="S45" s="33">
        <v>4.0999999999999996</v>
      </c>
      <c r="BS45" s="40"/>
      <c r="CA45" s="38" t="s">
        <v>79</v>
      </c>
      <c r="CC45" s="117"/>
      <c r="CD45" s="117"/>
      <c r="CE45" s="117"/>
      <c r="CF45" s="41"/>
      <c r="CV45" s="42" t="s">
        <v>86</v>
      </c>
      <c r="CZ45" s="114" t="s">
        <v>1150</v>
      </c>
      <c r="DA45" s="38">
        <v>1</v>
      </c>
      <c r="DB45" s="38">
        <v>1</v>
      </c>
      <c r="DC45" s="38">
        <v>2</v>
      </c>
    </row>
    <row r="46" spans="1:110">
      <c r="A46" s="31" t="s">
        <v>329</v>
      </c>
      <c r="B46" s="31" t="s">
        <v>77</v>
      </c>
      <c r="E46" s="31">
        <v>1</v>
      </c>
      <c r="F46" s="31" t="str">
        <f t="shared" ref="F46:F69" si="22">CONCATENATE("Dexterity ",MIN(MAX(ROUND(SQRT((IF(J46="",DaggerDamage,J46)+IF(J46="",DaggerDamage,J46)+IF(K46="",DaggerDamageRange,K46))*(E46/1.4))+1,0),5),15))</f>
        <v>Dexterity 5</v>
      </c>
      <c r="J46" s="31">
        <v>1</v>
      </c>
      <c r="L46" s="118"/>
      <c r="S46" s="31">
        <v>1</v>
      </c>
      <c r="CV46" s="31" t="s">
        <v>330</v>
      </c>
      <c r="CZ46" s="31" t="s">
        <v>520</v>
      </c>
      <c r="DA46" s="31">
        <v>1</v>
      </c>
      <c r="DB46" s="31">
        <v>1</v>
      </c>
      <c r="DC46" s="31">
        <v>1</v>
      </c>
      <c r="DE46" s="31">
        <v>1</v>
      </c>
      <c r="DF46" s="31">
        <v>20</v>
      </c>
    </row>
    <row r="47" spans="1:110">
      <c r="A47" s="31" t="s">
        <v>82</v>
      </c>
      <c r="B47" s="31" t="s">
        <v>77</v>
      </c>
      <c r="E47" s="31">
        <v>1</v>
      </c>
      <c r="F47" s="31" t="str">
        <f t="shared" si="22"/>
        <v>Dexterity 5</v>
      </c>
      <c r="J47" s="31">
        <v>1</v>
      </c>
      <c r="Q47" s="31">
        <v>2</v>
      </c>
      <c r="S47" s="31">
        <v>0.2</v>
      </c>
      <c r="BR47" s="33"/>
      <c r="BS47" s="34"/>
      <c r="CA47" s="31" t="s">
        <v>79</v>
      </c>
      <c r="CV47" s="36" t="s">
        <v>83</v>
      </c>
      <c r="CZ47" s="31" t="s">
        <v>520</v>
      </c>
      <c r="DA47" s="31">
        <v>1</v>
      </c>
      <c r="DB47" s="31">
        <v>1</v>
      </c>
      <c r="DC47" s="31">
        <v>1</v>
      </c>
      <c r="DE47" s="31">
        <v>1</v>
      </c>
      <c r="DF47" s="31">
        <v>20</v>
      </c>
    </row>
    <row r="48" spans="1:110">
      <c r="A48" s="31" t="s">
        <v>84</v>
      </c>
      <c r="B48" s="31" t="s">
        <v>77</v>
      </c>
      <c r="E48" s="31">
        <v>1</v>
      </c>
      <c r="F48" s="31" t="str">
        <f t="shared" si="22"/>
        <v>Dexterity 5</v>
      </c>
      <c r="J48" s="31">
        <v>1</v>
      </c>
      <c r="Q48" s="31">
        <v>2</v>
      </c>
      <c r="S48" s="31">
        <v>0.3</v>
      </c>
      <c r="BR48" s="33"/>
      <c r="BS48" s="34"/>
      <c r="CA48" s="31" t="s">
        <v>79</v>
      </c>
      <c r="CV48" s="36" t="s">
        <v>83</v>
      </c>
      <c r="CZ48" s="31" t="s">
        <v>520</v>
      </c>
      <c r="DA48" s="31">
        <v>1</v>
      </c>
      <c r="DB48" s="31">
        <v>1</v>
      </c>
      <c r="DC48" s="31">
        <v>1</v>
      </c>
      <c r="DE48" s="31">
        <v>1</v>
      </c>
      <c r="DF48" s="31">
        <v>20</v>
      </c>
    </row>
    <row r="49" spans="1:110">
      <c r="A49" s="31" t="s">
        <v>87</v>
      </c>
      <c r="B49" s="31" t="s">
        <v>77</v>
      </c>
      <c r="E49" s="31">
        <v>1</v>
      </c>
      <c r="F49" s="31" t="str">
        <f t="shared" si="22"/>
        <v>Dexterity 5</v>
      </c>
      <c r="L49" s="31">
        <f t="shared" ref="L49:L59" si="23">-E49*4</f>
        <v>-4</v>
      </c>
      <c r="S49" s="31">
        <v>0.4</v>
      </c>
      <c r="BR49" s="33"/>
      <c r="BS49" s="34"/>
      <c r="CA49" s="31" t="s">
        <v>79</v>
      </c>
      <c r="CC49" s="43"/>
      <c r="CD49" s="43"/>
      <c r="CE49" s="43"/>
      <c r="CF49" s="43"/>
      <c r="CV49" s="36" t="s">
        <v>1083</v>
      </c>
      <c r="CZ49" s="31" t="s">
        <v>520</v>
      </c>
      <c r="DA49" s="31">
        <v>1</v>
      </c>
      <c r="DB49" s="31">
        <v>1</v>
      </c>
      <c r="DC49" s="31">
        <v>1</v>
      </c>
      <c r="DE49" s="31">
        <v>1</v>
      </c>
      <c r="DF49" s="31">
        <v>20</v>
      </c>
    </row>
    <row r="50" spans="1:110">
      <c r="A50" s="31" t="s">
        <v>706</v>
      </c>
      <c r="B50" s="31" t="s">
        <v>77</v>
      </c>
      <c r="C50" s="37"/>
      <c r="E50" s="31">
        <v>1</v>
      </c>
      <c r="F50" s="31" t="str">
        <f t="shared" si="22"/>
        <v>Dexterity 5</v>
      </c>
      <c r="L50" s="31">
        <f t="shared" si="23"/>
        <v>-4</v>
      </c>
      <c r="BR50" s="33"/>
      <c r="BS50" s="34"/>
      <c r="CA50" s="31" t="s">
        <v>79</v>
      </c>
      <c r="CV50" s="36" t="s">
        <v>1083</v>
      </c>
      <c r="CW50" s="33"/>
      <c r="CX50" s="33"/>
      <c r="CY50" s="33"/>
      <c r="CZ50" s="113" t="s">
        <v>88</v>
      </c>
      <c r="DA50" s="31">
        <v>1</v>
      </c>
      <c r="DB50" s="31">
        <v>1</v>
      </c>
      <c r="DC50" s="31">
        <v>1</v>
      </c>
    </row>
    <row r="51" spans="1:110">
      <c r="A51" s="31" t="s">
        <v>89</v>
      </c>
      <c r="B51" s="31" t="s">
        <v>77</v>
      </c>
      <c r="C51" s="37"/>
      <c r="E51" s="31">
        <v>2</v>
      </c>
      <c r="F51" s="31" t="str">
        <f t="shared" si="22"/>
        <v>Dexterity 5</v>
      </c>
      <c r="L51" s="31">
        <f t="shared" si="23"/>
        <v>-8</v>
      </c>
      <c r="BR51" s="33"/>
      <c r="BS51" s="34"/>
      <c r="CA51" s="31" t="s">
        <v>79</v>
      </c>
      <c r="CV51" s="36" t="s">
        <v>1083</v>
      </c>
      <c r="CW51" s="33"/>
      <c r="CX51" s="33"/>
      <c r="CY51" s="33"/>
      <c r="CZ51" s="31" t="s">
        <v>88</v>
      </c>
      <c r="DA51" s="31">
        <v>1</v>
      </c>
      <c r="DB51" s="31">
        <v>1</v>
      </c>
      <c r="DC51" s="31">
        <v>1</v>
      </c>
    </row>
    <row r="52" spans="1:110">
      <c r="A52" s="31" t="s">
        <v>90</v>
      </c>
      <c r="B52" s="31" t="s">
        <v>77</v>
      </c>
      <c r="C52" s="37"/>
      <c r="E52" s="31">
        <v>3</v>
      </c>
      <c r="F52" s="31" t="str">
        <f t="shared" si="22"/>
        <v>Dexterity 5</v>
      </c>
      <c r="L52" s="31">
        <f t="shared" si="23"/>
        <v>-12</v>
      </c>
      <c r="BR52" s="33"/>
      <c r="BS52" s="34"/>
      <c r="CA52" s="31" t="s">
        <v>88</v>
      </c>
      <c r="CV52" s="36" t="s">
        <v>436</v>
      </c>
      <c r="CW52" s="33"/>
      <c r="CX52" s="33"/>
      <c r="CY52" s="33"/>
      <c r="CZ52" s="31" t="s">
        <v>88</v>
      </c>
      <c r="DA52" s="31">
        <v>1</v>
      </c>
      <c r="DB52" s="31">
        <v>1</v>
      </c>
      <c r="DC52" s="31">
        <v>1</v>
      </c>
    </row>
    <row r="53" spans="1:110">
      <c r="A53" s="113" t="s">
        <v>491</v>
      </c>
      <c r="B53" s="31" t="s">
        <v>77</v>
      </c>
      <c r="C53" s="37"/>
      <c r="E53" s="31">
        <v>4</v>
      </c>
      <c r="F53" s="31" t="str">
        <f>CONCATENATE("Dexterity ",MIN(MAX(ROUND(SQRT((IF(J53="",DaggerDamage,J53)+IF(J53="",DaggerDamage,J53)+IF(K53="",DaggerDamageRange,K53))*(E53/1.4))+1,0),5),15))</f>
        <v>Dexterity 5</v>
      </c>
      <c r="L53" s="31">
        <f t="shared" si="23"/>
        <v>-16</v>
      </c>
      <c r="BR53" s="33"/>
      <c r="BS53" s="34"/>
      <c r="CA53" s="31" t="s">
        <v>88</v>
      </c>
      <c r="CV53" s="36" t="s">
        <v>1810</v>
      </c>
      <c r="CW53" s="33"/>
      <c r="CX53" s="33"/>
      <c r="CY53" s="33"/>
      <c r="CZ53" s="31" t="s">
        <v>88</v>
      </c>
      <c r="DA53" s="31">
        <v>1</v>
      </c>
      <c r="DB53" s="31">
        <v>1</v>
      </c>
      <c r="DC53" s="31">
        <v>1</v>
      </c>
    </row>
    <row r="54" spans="1:110">
      <c r="A54" s="31" t="s">
        <v>92</v>
      </c>
      <c r="B54" s="31" t="s">
        <v>77</v>
      </c>
      <c r="C54" s="37"/>
      <c r="E54" s="31">
        <v>5</v>
      </c>
      <c r="F54" s="31" t="str">
        <f t="shared" si="22"/>
        <v>Dexterity 5</v>
      </c>
      <c r="L54" s="31">
        <f t="shared" si="23"/>
        <v>-20</v>
      </c>
      <c r="BR54" s="33"/>
      <c r="BS54" s="34"/>
      <c r="CA54" s="31" t="s">
        <v>88</v>
      </c>
      <c r="CV54" s="36" t="s">
        <v>1811</v>
      </c>
      <c r="CW54" s="33"/>
      <c r="CX54" s="33"/>
      <c r="CY54" s="33"/>
      <c r="CZ54" s="31" t="s">
        <v>88</v>
      </c>
      <c r="DA54" s="31">
        <v>1</v>
      </c>
      <c r="DB54" s="31">
        <v>1</v>
      </c>
      <c r="DC54" s="31">
        <v>1</v>
      </c>
    </row>
    <row r="55" spans="1:110">
      <c r="A55" s="31" t="s">
        <v>533</v>
      </c>
      <c r="B55" s="31" t="s">
        <v>77</v>
      </c>
      <c r="C55" s="37"/>
      <c r="E55" s="31">
        <v>6</v>
      </c>
      <c r="F55" s="31" t="str">
        <f t="shared" si="22"/>
        <v>Dexterity 6</v>
      </c>
      <c r="L55" s="31">
        <f t="shared" si="23"/>
        <v>-24</v>
      </c>
      <c r="BR55" s="33"/>
      <c r="BS55" s="34"/>
      <c r="CA55" s="31" t="s">
        <v>88</v>
      </c>
      <c r="CV55" s="36" t="s">
        <v>1811</v>
      </c>
      <c r="CW55" s="33"/>
      <c r="CX55" s="33"/>
      <c r="CY55" s="33"/>
      <c r="CZ55" s="31" t="s">
        <v>88</v>
      </c>
      <c r="DA55" s="31">
        <v>1</v>
      </c>
      <c r="DB55" s="31">
        <v>1</v>
      </c>
      <c r="DC55" s="31">
        <v>1</v>
      </c>
    </row>
    <row r="56" spans="1:110">
      <c r="A56" s="31" t="s">
        <v>93</v>
      </c>
      <c r="B56" s="31" t="s">
        <v>77</v>
      </c>
      <c r="C56" s="37"/>
      <c r="E56" s="31">
        <v>7</v>
      </c>
      <c r="F56" s="31" t="str">
        <f t="shared" si="22"/>
        <v>Dexterity 6</v>
      </c>
      <c r="L56" s="31">
        <f t="shared" si="23"/>
        <v>-28</v>
      </c>
      <c r="BR56" s="33"/>
      <c r="BS56" s="34"/>
      <c r="CA56" s="31" t="s">
        <v>88</v>
      </c>
      <c r="CV56" s="36" t="s">
        <v>708</v>
      </c>
      <c r="CW56" s="33"/>
      <c r="CX56" s="33"/>
      <c r="CY56" s="33"/>
      <c r="CZ56" s="31" t="s">
        <v>88</v>
      </c>
      <c r="DA56" s="31">
        <v>1</v>
      </c>
      <c r="DB56" s="31">
        <v>1</v>
      </c>
      <c r="DC56" s="31">
        <v>1</v>
      </c>
    </row>
    <row r="57" spans="1:110">
      <c r="A57" s="31" t="s">
        <v>489</v>
      </c>
      <c r="B57" s="31" t="s">
        <v>77</v>
      </c>
      <c r="C57" s="37"/>
      <c r="E57" s="31">
        <v>8</v>
      </c>
      <c r="F57" s="31" t="str">
        <f t="shared" si="22"/>
        <v>Dexterity 6</v>
      </c>
      <c r="L57" s="31">
        <f t="shared" si="23"/>
        <v>-32</v>
      </c>
      <c r="BR57" s="33"/>
      <c r="BS57" s="34"/>
      <c r="CA57" s="31" t="s">
        <v>88</v>
      </c>
      <c r="CV57" s="36" t="s">
        <v>1812</v>
      </c>
      <c r="CW57" s="33"/>
      <c r="CX57" s="33"/>
      <c r="CY57" s="33"/>
      <c r="CZ57" s="31" t="s">
        <v>88</v>
      </c>
      <c r="DA57" s="31">
        <v>1</v>
      </c>
      <c r="DB57" s="31">
        <v>1</v>
      </c>
      <c r="DC57" s="31">
        <v>1</v>
      </c>
    </row>
    <row r="58" spans="1:110">
      <c r="A58" s="31" t="s">
        <v>534</v>
      </c>
      <c r="B58" s="31" t="s">
        <v>77</v>
      </c>
      <c r="C58" s="37"/>
      <c r="E58" s="31">
        <v>9</v>
      </c>
      <c r="F58" s="31" t="str">
        <f t="shared" si="22"/>
        <v>Dexterity 7</v>
      </c>
      <c r="L58" s="31">
        <f t="shared" si="23"/>
        <v>-36</v>
      </c>
      <c r="BR58" s="33"/>
      <c r="BS58" s="34"/>
      <c r="CA58" s="31" t="s">
        <v>88</v>
      </c>
      <c r="CV58" s="36" t="s">
        <v>1813</v>
      </c>
      <c r="CW58" s="33"/>
      <c r="CX58" s="33"/>
      <c r="CY58" s="33"/>
      <c r="CZ58" s="31" t="s">
        <v>88</v>
      </c>
      <c r="DA58" s="31">
        <v>1</v>
      </c>
      <c r="DB58" s="31">
        <v>1</v>
      </c>
      <c r="DC58" s="31">
        <v>1</v>
      </c>
    </row>
    <row r="59" spans="1:110">
      <c r="A59" s="31" t="s">
        <v>535</v>
      </c>
      <c r="B59" s="31" t="s">
        <v>77</v>
      </c>
      <c r="C59" s="37"/>
      <c r="E59" s="31">
        <v>10</v>
      </c>
      <c r="F59" s="31" t="str">
        <f t="shared" si="22"/>
        <v>Dexterity 7</v>
      </c>
      <c r="L59" s="31">
        <f t="shared" si="23"/>
        <v>-40</v>
      </c>
      <c r="P59" s="31">
        <v>1</v>
      </c>
      <c r="BR59" s="33"/>
      <c r="BS59" s="34"/>
      <c r="CA59" s="31" t="s">
        <v>88</v>
      </c>
      <c r="CV59" s="36" t="s">
        <v>709</v>
      </c>
      <c r="CW59" s="33"/>
      <c r="CX59" s="33"/>
      <c r="CY59" s="33"/>
      <c r="CZ59" s="31" t="s">
        <v>88</v>
      </c>
      <c r="DA59" s="31">
        <v>1</v>
      </c>
      <c r="DB59" s="31">
        <v>1</v>
      </c>
      <c r="DC59" s="31">
        <v>1</v>
      </c>
    </row>
    <row r="60" spans="1:110">
      <c r="A60" s="113" t="s">
        <v>490</v>
      </c>
      <c r="B60" s="31" t="s">
        <v>77</v>
      </c>
      <c r="C60" s="37"/>
      <c r="E60" s="31">
        <v>11</v>
      </c>
      <c r="F60" s="31" t="str">
        <f t="shared" si="22"/>
        <v>Dexterity 7</v>
      </c>
      <c r="L60" s="31">
        <f>-E60*4</f>
        <v>-44</v>
      </c>
      <c r="P60" s="31">
        <v>1</v>
      </c>
      <c r="BR60" s="33"/>
      <c r="BS60" s="34"/>
      <c r="CA60" s="31" t="s">
        <v>88</v>
      </c>
      <c r="CV60" s="36" t="s">
        <v>1814</v>
      </c>
      <c r="CW60" s="33"/>
      <c r="CX60" s="33"/>
      <c r="CY60" s="33"/>
      <c r="CZ60" s="31" t="s">
        <v>88</v>
      </c>
      <c r="DA60" s="31">
        <v>1</v>
      </c>
      <c r="DB60" s="31">
        <v>1</v>
      </c>
      <c r="DC60" s="31">
        <v>1</v>
      </c>
    </row>
    <row r="61" spans="1:110">
      <c r="A61" s="31" t="s">
        <v>536</v>
      </c>
      <c r="B61" s="31" t="s">
        <v>77</v>
      </c>
      <c r="C61" s="37"/>
      <c r="E61" s="31">
        <v>12</v>
      </c>
      <c r="F61" s="31" t="str">
        <f t="shared" si="22"/>
        <v>Dexterity 8</v>
      </c>
      <c r="L61" s="31">
        <f t="shared" ref="L61:L76" si="24">-(E61-10)*1.5-40</f>
        <v>-43</v>
      </c>
      <c r="P61" s="31">
        <v>1</v>
      </c>
      <c r="BR61" s="33"/>
      <c r="BS61" s="34"/>
      <c r="CA61" s="31" t="s">
        <v>88</v>
      </c>
      <c r="CV61" s="36" t="s">
        <v>1815</v>
      </c>
      <c r="CW61" s="33"/>
      <c r="CX61" s="33"/>
      <c r="CY61" s="33"/>
      <c r="CZ61" s="31" t="s">
        <v>88</v>
      </c>
      <c r="DA61" s="31">
        <v>1</v>
      </c>
      <c r="DB61" s="31">
        <v>1</v>
      </c>
      <c r="DC61" s="31">
        <v>1</v>
      </c>
    </row>
    <row r="62" spans="1:110">
      <c r="A62" s="31" t="s">
        <v>699</v>
      </c>
      <c r="B62" s="31" t="s">
        <v>77</v>
      </c>
      <c r="C62" s="37"/>
      <c r="E62" s="31">
        <v>13</v>
      </c>
      <c r="F62" s="31" t="str">
        <f t="shared" si="22"/>
        <v>Dexterity 8</v>
      </c>
      <c r="L62" s="31">
        <f t="shared" si="24"/>
        <v>-44.5</v>
      </c>
      <c r="P62" s="31">
        <v>1</v>
      </c>
      <c r="BR62" s="33"/>
      <c r="BS62" s="34"/>
      <c r="CA62" s="31" t="s">
        <v>88</v>
      </c>
      <c r="CV62" s="36" t="s">
        <v>707</v>
      </c>
      <c r="CW62" s="33"/>
      <c r="CX62" s="33"/>
      <c r="CY62" s="33"/>
      <c r="CZ62" s="31" t="s">
        <v>88</v>
      </c>
      <c r="DA62" s="31">
        <v>1</v>
      </c>
      <c r="DB62" s="31">
        <v>1</v>
      </c>
      <c r="DC62" s="31">
        <v>1</v>
      </c>
    </row>
    <row r="63" spans="1:110">
      <c r="A63" s="31" t="s">
        <v>492</v>
      </c>
      <c r="B63" s="31" t="s">
        <v>77</v>
      </c>
      <c r="C63" s="37"/>
      <c r="E63" s="31">
        <v>14</v>
      </c>
      <c r="F63" s="31" t="str">
        <f t="shared" si="22"/>
        <v>Dexterity 8</v>
      </c>
      <c r="L63" s="31">
        <f t="shared" si="24"/>
        <v>-46</v>
      </c>
      <c r="P63" s="31">
        <v>1</v>
      </c>
      <c r="BR63" s="33"/>
      <c r="BS63" s="34"/>
      <c r="CA63" s="31" t="s">
        <v>88</v>
      </c>
      <c r="CV63" s="36" t="s">
        <v>1816</v>
      </c>
      <c r="CW63" s="33"/>
      <c r="CX63" s="33"/>
      <c r="CY63" s="33"/>
      <c r="CZ63" s="31" t="s">
        <v>88</v>
      </c>
      <c r="DA63" s="31">
        <v>1</v>
      </c>
      <c r="DB63" s="31">
        <v>1</v>
      </c>
      <c r="DC63" s="31">
        <v>1</v>
      </c>
    </row>
    <row r="64" spans="1:110">
      <c r="A64" s="31" t="s">
        <v>537</v>
      </c>
      <c r="B64" s="31" t="s">
        <v>77</v>
      </c>
      <c r="C64" s="37"/>
      <c r="E64" s="31">
        <v>15</v>
      </c>
      <c r="F64" s="31" t="str">
        <f t="shared" si="22"/>
        <v>Dexterity 8</v>
      </c>
      <c r="L64" s="31">
        <f t="shared" si="24"/>
        <v>-47.5</v>
      </c>
      <c r="P64" s="31">
        <v>1</v>
      </c>
      <c r="BR64" s="33"/>
      <c r="BS64" s="34"/>
      <c r="CA64" s="31" t="s">
        <v>88</v>
      </c>
      <c r="CV64" s="36" t="s">
        <v>1817</v>
      </c>
      <c r="CW64" s="33"/>
      <c r="CX64" s="33"/>
      <c r="CY64" s="33"/>
      <c r="CZ64" s="31" t="s">
        <v>88</v>
      </c>
      <c r="DA64" s="31">
        <v>1</v>
      </c>
      <c r="DB64" s="31">
        <v>1</v>
      </c>
      <c r="DC64" s="31">
        <v>1</v>
      </c>
    </row>
    <row r="65" spans="1:108">
      <c r="A65" s="31" t="s">
        <v>94</v>
      </c>
      <c r="B65" s="31" t="s">
        <v>77</v>
      </c>
      <c r="C65" s="37"/>
      <c r="E65" s="31">
        <v>16</v>
      </c>
      <c r="F65" s="31" t="str">
        <f t="shared" si="22"/>
        <v>Dexterity 9</v>
      </c>
      <c r="L65" s="31">
        <f t="shared" si="24"/>
        <v>-49</v>
      </c>
      <c r="P65" s="31">
        <v>1</v>
      </c>
      <c r="BR65" s="33"/>
      <c r="BS65" s="34"/>
      <c r="CA65" s="31" t="s">
        <v>88</v>
      </c>
      <c r="CV65" s="36" t="s">
        <v>710</v>
      </c>
      <c r="CW65" s="33"/>
      <c r="CX65" s="33"/>
      <c r="CY65" s="33"/>
      <c r="CZ65" s="31" t="s">
        <v>88</v>
      </c>
      <c r="DA65" s="31">
        <v>1</v>
      </c>
      <c r="DB65" s="31">
        <v>1</v>
      </c>
      <c r="DC65" s="31">
        <v>1</v>
      </c>
    </row>
    <row r="66" spans="1:108">
      <c r="A66" s="31" t="s">
        <v>493</v>
      </c>
      <c r="B66" s="31" t="s">
        <v>77</v>
      </c>
      <c r="C66" s="37"/>
      <c r="E66" s="31">
        <v>17</v>
      </c>
      <c r="F66" s="31" t="str">
        <f t="shared" si="22"/>
        <v>Dexterity 9</v>
      </c>
      <c r="L66" s="31">
        <v>-50</v>
      </c>
      <c r="P66" s="31">
        <v>1</v>
      </c>
      <c r="BR66" s="33"/>
      <c r="BS66" s="34"/>
      <c r="CA66" s="31" t="s">
        <v>88</v>
      </c>
      <c r="CV66" s="36" t="s">
        <v>1818</v>
      </c>
      <c r="CW66" s="33"/>
      <c r="CX66" s="33"/>
      <c r="CY66" s="33"/>
      <c r="CZ66" s="31" t="s">
        <v>88</v>
      </c>
      <c r="DA66" s="31">
        <v>1</v>
      </c>
      <c r="DB66" s="31">
        <v>1</v>
      </c>
      <c r="DC66" s="31">
        <v>1</v>
      </c>
    </row>
    <row r="67" spans="1:108">
      <c r="A67" s="31" t="s">
        <v>538</v>
      </c>
      <c r="B67" s="31" t="s">
        <v>77</v>
      </c>
      <c r="C67" s="37"/>
      <c r="E67" s="31">
        <v>18</v>
      </c>
      <c r="F67" s="31" t="str">
        <f t="shared" si="22"/>
        <v>Dexterity 9</v>
      </c>
      <c r="L67" s="31">
        <v>-50</v>
      </c>
      <c r="P67" s="31">
        <v>1</v>
      </c>
      <c r="BR67" s="33"/>
      <c r="BS67" s="34"/>
      <c r="CA67" s="31" t="s">
        <v>88</v>
      </c>
      <c r="CV67" s="36" t="s">
        <v>1819</v>
      </c>
      <c r="CW67" s="33"/>
      <c r="CX67" s="33"/>
      <c r="CY67" s="33"/>
      <c r="CZ67" s="31" t="s">
        <v>88</v>
      </c>
      <c r="DA67" s="31">
        <v>1</v>
      </c>
      <c r="DB67" s="31">
        <v>1</v>
      </c>
      <c r="DC67" s="31">
        <v>1</v>
      </c>
    </row>
    <row r="68" spans="1:108">
      <c r="A68" s="31" t="s">
        <v>96</v>
      </c>
      <c r="B68" s="31" t="s">
        <v>77</v>
      </c>
      <c r="C68" s="37"/>
      <c r="E68" s="31">
        <v>19</v>
      </c>
      <c r="F68" s="31" t="str">
        <f t="shared" si="22"/>
        <v>Dexterity 9</v>
      </c>
      <c r="L68" s="31">
        <v>-50</v>
      </c>
      <c r="P68" s="31">
        <v>1</v>
      </c>
      <c r="BR68" s="33"/>
      <c r="BS68" s="34"/>
      <c r="CA68" s="31" t="s">
        <v>88</v>
      </c>
      <c r="CV68" s="36" t="s">
        <v>1814</v>
      </c>
      <c r="CW68" s="33"/>
      <c r="CX68" s="33"/>
      <c r="CY68" s="33"/>
      <c r="CZ68" s="31" t="s">
        <v>88</v>
      </c>
      <c r="DA68" s="31">
        <v>1</v>
      </c>
      <c r="DB68" s="31">
        <v>1</v>
      </c>
      <c r="DC68" s="31">
        <v>1</v>
      </c>
    </row>
    <row r="69" spans="1:108">
      <c r="A69" s="31" t="s">
        <v>1084</v>
      </c>
      <c r="B69" s="31" t="s">
        <v>77</v>
      </c>
      <c r="C69" s="37"/>
      <c r="E69" s="31">
        <v>20</v>
      </c>
      <c r="F69" s="31" t="str">
        <f t="shared" si="22"/>
        <v>Dexterity 9</v>
      </c>
      <c r="L69" s="31">
        <v>-50</v>
      </c>
      <c r="P69" s="31">
        <v>1</v>
      </c>
      <c r="BR69" s="33"/>
      <c r="BS69" s="34"/>
      <c r="CA69" s="31" t="s">
        <v>88</v>
      </c>
      <c r="CV69" s="36" t="s">
        <v>1815</v>
      </c>
      <c r="CW69" s="33"/>
      <c r="CX69" s="33"/>
      <c r="CY69" s="33"/>
      <c r="CZ69" s="31" t="s">
        <v>88</v>
      </c>
      <c r="DA69" s="31">
        <v>1</v>
      </c>
      <c r="DB69" s="31">
        <v>1</v>
      </c>
      <c r="DC69" s="31">
        <v>1</v>
      </c>
    </row>
    <row r="70" spans="1:108">
      <c r="A70" s="113" t="s">
        <v>1297</v>
      </c>
      <c r="B70" s="31" t="s">
        <v>77</v>
      </c>
      <c r="C70" s="37"/>
      <c r="E70" s="31">
        <v>14</v>
      </c>
      <c r="F70" s="31" t="str">
        <f t="shared" ref="F70:F76" si="25">CONCATENATE("Dexterity ",MIN(MAX(ROUND(SQRT((IF(J70="",DaggerDamage,J70)+IF(J70="",DaggerDamage,J70)+IF(K70="",DaggerDamageRange,K70))*(E70/1.4))+1,0),5),15),";Blackrock 1")</f>
        <v>Dexterity 8;Blackrock 1</v>
      </c>
      <c r="L70" s="31">
        <f t="shared" si="24"/>
        <v>-46</v>
      </c>
      <c r="Q70" s="31">
        <v>7</v>
      </c>
      <c r="S70" s="31">
        <v>3.1</v>
      </c>
      <c r="T70" s="31">
        <v>75</v>
      </c>
      <c r="BR70" s="33"/>
      <c r="BS70" s="34"/>
      <c r="CF70" s="35" t="s">
        <v>1296</v>
      </c>
      <c r="CV70" s="36" t="s">
        <v>1304</v>
      </c>
      <c r="CW70" s="33"/>
      <c r="CX70" s="33"/>
      <c r="CY70" s="33"/>
      <c r="CZ70" s="113" t="s">
        <v>1419</v>
      </c>
      <c r="DA70" s="31">
        <v>1</v>
      </c>
      <c r="DB70" s="31">
        <v>1</v>
      </c>
      <c r="DC70" s="31">
        <v>1</v>
      </c>
    </row>
    <row r="71" spans="1:108">
      <c r="A71" s="113" t="s">
        <v>1298</v>
      </c>
      <c r="B71" s="31" t="s">
        <v>77</v>
      </c>
      <c r="C71" s="37"/>
      <c r="E71" s="31">
        <v>15</v>
      </c>
      <c r="F71" s="31" t="str">
        <f t="shared" si="25"/>
        <v>Dexterity 8;Blackrock 1</v>
      </c>
      <c r="L71" s="31">
        <f t="shared" si="24"/>
        <v>-47.5</v>
      </c>
      <c r="Q71" s="31">
        <v>7</v>
      </c>
      <c r="S71" s="31">
        <v>3.1</v>
      </c>
      <c r="T71" s="31">
        <v>75</v>
      </c>
      <c r="BR71" s="33"/>
      <c r="BS71" s="34"/>
      <c r="CF71" s="35" t="s">
        <v>1296</v>
      </c>
      <c r="CV71" s="36" t="s">
        <v>1304</v>
      </c>
      <c r="CW71" s="33"/>
      <c r="CX71" s="33"/>
      <c r="CY71" s="33"/>
      <c r="CZ71" s="113" t="s">
        <v>1419</v>
      </c>
      <c r="DA71" s="31">
        <v>1</v>
      </c>
      <c r="DB71" s="31">
        <v>1</v>
      </c>
      <c r="DC71" s="31">
        <v>1</v>
      </c>
    </row>
    <row r="72" spans="1:108">
      <c r="A72" s="113" t="s">
        <v>1299</v>
      </c>
      <c r="B72" s="31" t="s">
        <v>77</v>
      </c>
      <c r="C72" s="37"/>
      <c r="E72" s="31">
        <v>16</v>
      </c>
      <c r="F72" s="31" t="str">
        <f t="shared" si="25"/>
        <v>Dexterity 9;Blackrock 1</v>
      </c>
      <c r="L72" s="31">
        <f t="shared" si="24"/>
        <v>-49</v>
      </c>
      <c r="Q72" s="31">
        <v>7</v>
      </c>
      <c r="S72" s="31">
        <v>3.1</v>
      </c>
      <c r="T72" s="31">
        <v>75</v>
      </c>
      <c r="BR72" s="33"/>
      <c r="BS72" s="34"/>
      <c r="CF72" s="35" t="s">
        <v>1296</v>
      </c>
      <c r="CV72" s="36" t="s">
        <v>1304</v>
      </c>
      <c r="CW72" s="33"/>
      <c r="CX72" s="33"/>
      <c r="CY72" s="33"/>
      <c r="CZ72" s="113" t="s">
        <v>1419</v>
      </c>
      <c r="DA72" s="31">
        <v>1</v>
      </c>
      <c r="DB72" s="31">
        <v>1</v>
      </c>
      <c r="DC72" s="31">
        <v>1</v>
      </c>
    </row>
    <row r="73" spans="1:108">
      <c r="A73" s="113" t="s">
        <v>1300</v>
      </c>
      <c r="B73" s="31" t="s">
        <v>77</v>
      </c>
      <c r="C73" s="37"/>
      <c r="E73" s="31">
        <v>17</v>
      </c>
      <c r="F73" s="31" t="str">
        <f t="shared" si="25"/>
        <v>Dexterity 9;Blackrock 1</v>
      </c>
      <c r="L73" s="31">
        <f t="shared" si="24"/>
        <v>-50.5</v>
      </c>
      <c r="Q73" s="31">
        <v>7</v>
      </c>
      <c r="S73" s="31">
        <v>3.1</v>
      </c>
      <c r="T73" s="31">
        <v>75</v>
      </c>
      <c r="BR73" s="33"/>
      <c r="BS73" s="34"/>
      <c r="CF73" s="35" t="s">
        <v>1296</v>
      </c>
      <c r="CV73" s="36" t="s">
        <v>1304</v>
      </c>
      <c r="CW73" s="33"/>
      <c r="CX73" s="33"/>
      <c r="CY73" s="33"/>
      <c r="CZ73" s="113" t="s">
        <v>1419</v>
      </c>
      <c r="DA73" s="31">
        <v>1</v>
      </c>
      <c r="DB73" s="31">
        <v>1</v>
      </c>
      <c r="DC73" s="31">
        <v>1</v>
      </c>
    </row>
    <row r="74" spans="1:108">
      <c r="A74" s="113" t="s">
        <v>1301</v>
      </c>
      <c r="B74" s="31" t="s">
        <v>77</v>
      </c>
      <c r="C74" s="37"/>
      <c r="E74" s="31">
        <v>18</v>
      </c>
      <c r="F74" s="31" t="str">
        <f t="shared" si="25"/>
        <v>Dexterity 9;Blackrock 1</v>
      </c>
      <c r="L74" s="31">
        <f t="shared" si="24"/>
        <v>-52</v>
      </c>
      <c r="Q74" s="31">
        <v>7</v>
      </c>
      <c r="S74" s="31">
        <v>3.1</v>
      </c>
      <c r="T74" s="31">
        <v>75</v>
      </c>
      <c r="BR74" s="33"/>
      <c r="BS74" s="34"/>
      <c r="CF74" s="35" t="s">
        <v>1296</v>
      </c>
      <c r="CV74" s="36" t="s">
        <v>1304</v>
      </c>
      <c r="CW74" s="33"/>
      <c r="CX74" s="33"/>
      <c r="CY74" s="33"/>
      <c r="CZ74" s="113" t="s">
        <v>1419</v>
      </c>
      <c r="DA74" s="31">
        <v>1</v>
      </c>
      <c r="DB74" s="31">
        <v>1</v>
      </c>
      <c r="DC74" s="31">
        <v>1</v>
      </c>
    </row>
    <row r="75" spans="1:108">
      <c r="A75" s="113" t="s">
        <v>1302</v>
      </c>
      <c r="B75" s="31" t="s">
        <v>77</v>
      </c>
      <c r="C75" s="37"/>
      <c r="E75" s="31">
        <v>19</v>
      </c>
      <c r="F75" s="31" t="str">
        <f t="shared" si="25"/>
        <v>Dexterity 9;Blackrock 1</v>
      </c>
      <c r="L75" s="31">
        <f t="shared" si="24"/>
        <v>-53.5</v>
      </c>
      <c r="Q75" s="31">
        <v>7</v>
      </c>
      <c r="S75" s="31">
        <v>3.1</v>
      </c>
      <c r="T75" s="31">
        <v>75</v>
      </c>
      <c r="BR75" s="33"/>
      <c r="BS75" s="34"/>
      <c r="CF75" s="35" t="s">
        <v>1296</v>
      </c>
      <c r="CV75" s="36" t="s">
        <v>1304</v>
      </c>
      <c r="CW75" s="33"/>
      <c r="CX75" s="33"/>
      <c r="CY75" s="33"/>
      <c r="CZ75" s="113" t="s">
        <v>1419</v>
      </c>
      <c r="DA75" s="31">
        <v>1</v>
      </c>
      <c r="DB75" s="31">
        <v>1</v>
      </c>
      <c r="DC75" s="31">
        <v>1</v>
      </c>
    </row>
    <row r="76" spans="1:108">
      <c r="A76" s="113" t="s">
        <v>1303</v>
      </c>
      <c r="B76" s="31" t="s">
        <v>77</v>
      </c>
      <c r="C76" s="37"/>
      <c r="E76" s="31">
        <v>20</v>
      </c>
      <c r="F76" s="31" t="str">
        <f t="shared" si="25"/>
        <v>Dexterity 9;Blackrock 1</v>
      </c>
      <c r="L76" s="31">
        <f t="shared" si="24"/>
        <v>-55</v>
      </c>
      <c r="Q76" s="31">
        <v>7</v>
      </c>
      <c r="S76" s="31">
        <v>3.1</v>
      </c>
      <c r="T76" s="31">
        <v>75</v>
      </c>
      <c r="BR76" s="33"/>
      <c r="BS76" s="34"/>
      <c r="CF76" s="35" t="s">
        <v>1296</v>
      </c>
      <c r="CV76" s="36" t="s">
        <v>1304</v>
      </c>
      <c r="CW76" s="33"/>
      <c r="CX76" s="33"/>
      <c r="CY76" s="33"/>
      <c r="CZ76" s="113" t="s">
        <v>1419</v>
      </c>
      <c r="DA76" s="31">
        <v>1</v>
      </c>
      <c r="DB76" s="31">
        <v>1</v>
      </c>
      <c r="DC76" s="31">
        <v>1</v>
      </c>
    </row>
    <row r="77" spans="1:108" s="27" customFormat="1">
      <c r="A77" s="27" t="s">
        <v>98</v>
      </c>
      <c r="C77" s="27" t="s">
        <v>73</v>
      </c>
      <c r="D77" s="27">
        <v>1</v>
      </c>
      <c r="F77" s="27" t="s">
        <v>704</v>
      </c>
      <c r="G77" s="27" t="s">
        <v>607</v>
      </c>
      <c r="H77" s="27">
        <v>3</v>
      </c>
      <c r="I77" s="27" t="s">
        <v>99</v>
      </c>
      <c r="J77" s="27">
        <v>3</v>
      </c>
      <c r="K77" s="27">
        <v>1</v>
      </c>
      <c r="L77" s="27">
        <v>-10</v>
      </c>
      <c r="N77" s="27">
        <v>2</v>
      </c>
      <c r="O77" s="27">
        <v>0</v>
      </c>
      <c r="P77" s="27">
        <v>1</v>
      </c>
      <c r="Q77" s="27">
        <v>5</v>
      </c>
      <c r="R77" s="27">
        <v>6</v>
      </c>
      <c r="S77" s="27">
        <v>3.6</v>
      </c>
      <c r="T77" s="27">
        <v>2000</v>
      </c>
      <c r="U77" s="27">
        <v>0</v>
      </c>
      <c r="W77" s="27" t="s">
        <v>100</v>
      </c>
      <c r="Y77" s="27" t="s">
        <v>76</v>
      </c>
      <c r="CG77" s="27" t="s">
        <v>730</v>
      </c>
      <c r="CH77" s="27">
        <v>0</v>
      </c>
      <c r="DC77" s="27">
        <v>0</v>
      </c>
      <c r="DD77" s="27">
        <v>0</v>
      </c>
    </row>
    <row r="78" spans="1:108">
      <c r="A78" s="31" t="s">
        <v>858</v>
      </c>
      <c r="B78" s="31" t="s">
        <v>98</v>
      </c>
      <c r="E78" s="31">
        <v>1</v>
      </c>
      <c r="F78" s="31" t="s">
        <v>863</v>
      </c>
      <c r="K78" s="31">
        <v>2</v>
      </c>
      <c r="L78" s="31">
        <v>-20</v>
      </c>
      <c r="S78" s="31">
        <v>3.5</v>
      </c>
      <c r="BR78" s="33"/>
      <c r="BS78" s="34"/>
      <c r="CA78" s="44" t="s">
        <v>100</v>
      </c>
      <c r="CB78" s="44"/>
      <c r="CH78" s="44"/>
      <c r="CV78" s="36" t="s">
        <v>437</v>
      </c>
      <c r="CW78" s="33"/>
      <c r="CX78" s="33"/>
      <c r="CY78" s="33"/>
    </row>
    <row r="79" spans="1:108">
      <c r="A79" s="31" t="s">
        <v>859</v>
      </c>
      <c r="B79" s="31" t="s">
        <v>98</v>
      </c>
      <c r="E79" s="31">
        <v>1</v>
      </c>
      <c r="F79" s="31" t="s">
        <v>863</v>
      </c>
      <c r="K79" s="31">
        <v>2</v>
      </c>
      <c r="L79" s="31">
        <v>-20</v>
      </c>
      <c r="Q79" s="31">
        <v>6</v>
      </c>
      <c r="S79" s="31">
        <v>3.6</v>
      </c>
      <c r="BR79" s="33"/>
      <c r="BS79" s="34"/>
      <c r="CA79" s="44" t="s">
        <v>100</v>
      </c>
      <c r="CB79" s="44"/>
      <c r="CH79" s="44"/>
      <c r="CV79" s="36" t="s">
        <v>712</v>
      </c>
      <c r="CW79" s="33"/>
      <c r="CX79" s="33"/>
      <c r="CY79" s="33"/>
    </row>
    <row r="80" spans="1:108">
      <c r="A80" s="31" t="s">
        <v>860</v>
      </c>
      <c r="B80" s="31" t="s">
        <v>98</v>
      </c>
      <c r="E80" s="31">
        <v>1</v>
      </c>
      <c r="F80" s="31" t="s">
        <v>863</v>
      </c>
      <c r="K80" s="31">
        <v>2</v>
      </c>
      <c r="L80" s="31">
        <v>-20</v>
      </c>
      <c r="Q80" s="31">
        <v>6</v>
      </c>
      <c r="S80" s="31">
        <v>3.6</v>
      </c>
      <c r="BR80" s="33"/>
      <c r="BS80" s="34"/>
      <c r="CA80" s="44" t="s">
        <v>100</v>
      </c>
      <c r="CB80" s="44"/>
      <c r="CH80" s="44"/>
      <c r="CV80" s="36" t="s">
        <v>713</v>
      </c>
      <c r="CW80" s="33"/>
      <c r="CX80" s="33"/>
      <c r="CY80" s="33"/>
    </row>
    <row r="81" spans="1:110">
      <c r="A81" s="31" t="s">
        <v>861</v>
      </c>
      <c r="B81" s="31" t="s">
        <v>98</v>
      </c>
      <c r="E81" s="31">
        <v>1</v>
      </c>
      <c r="F81" s="31" t="s">
        <v>863</v>
      </c>
      <c r="J81" s="31">
        <v>4</v>
      </c>
      <c r="K81" s="31">
        <v>2</v>
      </c>
      <c r="L81" s="31">
        <v>-20</v>
      </c>
      <c r="Q81" s="31">
        <v>7</v>
      </c>
      <c r="S81" s="31">
        <v>3.7</v>
      </c>
      <c r="BR81" s="33"/>
      <c r="BS81" s="34"/>
      <c r="CA81" s="44" t="s">
        <v>100</v>
      </c>
      <c r="CB81" s="44"/>
      <c r="CG81" s="12"/>
      <c r="CH81" s="44"/>
      <c r="CI81" s="12"/>
      <c r="CJ81" s="12"/>
      <c r="CK81" s="12"/>
      <c r="CL81" s="12"/>
      <c r="CM81" s="12"/>
      <c r="CN81" s="12"/>
      <c r="CV81" s="36" t="s">
        <v>711</v>
      </c>
      <c r="CW81" s="33"/>
      <c r="CX81" s="33"/>
      <c r="CY81" s="33"/>
    </row>
    <row r="82" spans="1:110" s="38" customFormat="1">
      <c r="A82" s="38" t="s">
        <v>862</v>
      </c>
      <c r="B82" s="38" t="s">
        <v>98</v>
      </c>
      <c r="E82" s="38">
        <v>1</v>
      </c>
      <c r="F82" s="38" t="s">
        <v>863</v>
      </c>
      <c r="J82" s="38">
        <v>4</v>
      </c>
      <c r="K82" s="38">
        <v>2</v>
      </c>
      <c r="L82" s="31">
        <v>-20</v>
      </c>
      <c r="Q82" s="38">
        <v>8</v>
      </c>
      <c r="S82" s="38">
        <v>3.8</v>
      </c>
      <c r="BS82" s="40"/>
      <c r="CA82" s="45" t="s">
        <v>100</v>
      </c>
      <c r="CB82" s="45"/>
      <c r="CC82" s="41"/>
      <c r="CD82" s="41"/>
      <c r="CE82" s="41"/>
      <c r="CF82" s="41"/>
      <c r="CG82" s="46"/>
      <c r="CH82" s="45"/>
      <c r="CI82" s="46"/>
      <c r="CJ82" s="46"/>
      <c r="CK82" s="46"/>
      <c r="CL82" s="46"/>
      <c r="CM82" s="46"/>
      <c r="CN82" s="46"/>
      <c r="CV82" s="36" t="s">
        <v>1088</v>
      </c>
    </row>
    <row r="83" spans="1:110" s="38" customFormat="1">
      <c r="A83" s="114" t="s">
        <v>1399</v>
      </c>
      <c r="B83" s="38" t="s">
        <v>98</v>
      </c>
      <c r="E83" s="38">
        <v>1</v>
      </c>
      <c r="F83" s="31" t="str">
        <f t="shared" ref="F83:F111" si="26">CONCATENATE("Strength ",MIN(MAX(ROUND(SQRT((IF(J83="",SwordDamage,J83)+IF(J83="",SwordDamage,J83)+IF(K83="",SwordDamageRange,K83))*(E83/1.4))+1,0),5),15))</f>
        <v>Strength 5</v>
      </c>
      <c r="J83" s="38">
        <v>4</v>
      </c>
      <c r="K83" s="38">
        <v>2</v>
      </c>
      <c r="L83" s="31">
        <v>-10</v>
      </c>
      <c r="Q83" s="38">
        <v>10</v>
      </c>
      <c r="S83" s="38">
        <v>8</v>
      </c>
      <c r="T83" s="38">
        <v>1500</v>
      </c>
      <c r="BK83" s="38">
        <v>2</v>
      </c>
      <c r="BL83" s="38">
        <v>2</v>
      </c>
      <c r="BM83" s="38">
        <v>2</v>
      </c>
      <c r="BN83" s="38">
        <v>2</v>
      </c>
      <c r="BS83" s="40"/>
      <c r="CA83" s="45" t="s">
        <v>100</v>
      </c>
      <c r="CB83" s="45"/>
      <c r="CC83" s="41"/>
      <c r="CD83" s="41"/>
      <c r="CE83" s="41"/>
      <c r="CF83" s="41" t="s">
        <v>482</v>
      </c>
      <c r="CG83" s="46"/>
      <c r="CH83" s="45"/>
      <c r="CI83" s="46"/>
      <c r="CJ83" s="46"/>
      <c r="CK83" s="46"/>
      <c r="CL83" s="46"/>
      <c r="CM83" s="46"/>
      <c r="CN83" s="46"/>
      <c r="CV83" s="36" t="s">
        <v>1400</v>
      </c>
    </row>
    <row r="84" spans="1:110" s="128" customFormat="1" ht="15">
      <c r="A84" s="128" t="s">
        <v>1396</v>
      </c>
      <c r="B84" s="129" t="s">
        <v>98</v>
      </c>
      <c r="E84" s="128">
        <v>1</v>
      </c>
      <c r="F84" s="31" t="str">
        <f t="shared" si="26"/>
        <v>Strength 5</v>
      </c>
      <c r="J84" s="128">
        <v>4</v>
      </c>
      <c r="K84" s="128">
        <v>2</v>
      </c>
      <c r="L84" s="130">
        <v>-10</v>
      </c>
      <c r="Q84" s="128">
        <v>8</v>
      </c>
      <c r="S84" s="128">
        <v>7</v>
      </c>
      <c r="AA84" s="128">
        <v>1</v>
      </c>
      <c r="BS84" s="131"/>
      <c r="CA84" s="128" t="s">
        <v>100</v>
      </c>
      <c r="CC84" s="132"/>
      <c r="CD84" s="132"/>
      <c r="CE84" s="132"/>
      <c r="CF84" s="132"/>
      <c r="CV84" s="133" t="s">
        <v>1397</v>
      </c>
    </row>
    <row r="85" spans="1:110">
      <c r="A85" s="31" t="s">
        <v>1394</v>
      </c>
      <c r="B85" s="31" t="s">
        <v>98</v>
      </c>
      <c r="C85" s="37"/>
      <c r="E85" s="31">
        <v>8</v>
      </c>
      <c r="F85" s="31" t="str">
        <f t="shared" si="26"/>
        <v>Strength 7</v>
      </c>
      <c r="L85" s="31">
        <f t="shared" ref="L85" si="27">IF(E85=2,-5,IF(E85=3,-10,IF(E85=4,-15,IF(OR(E85=5,E85=6),-20,IF(OR(E85=7,E85=8),-25,IF(E85=9,-30,-35))))))</f>
        <v>-25</v>
      </c>
      <c r="BR85" s="33"/>
      <c r="BS85" s="34"/>
      <c r="CA85" s="44" t="s">
        <v>100</v>
      </c>
      <c r="CB85" s="44"/>
      <c r="CH85" s="44"/>
      <c r="CV85" s="36" t="s">
        <v>1395</v>
      </c>
      <c r="CW85" s="33"/>
      <c r="CX85" s="33"/>
      <c r="CY85" s="33"/>
      <c r="CZ85" s="81" t="s">
        <v>1724</v>
      </c>
      <c r="DA85" s="31">
        <v>1</v>
      </c>
      <c r="DB85" s="31">
        <v>1</v>
      </c>
      <c r="DC85" s="31">
        <v>1</v>
      </c>
      <c r="DD85" s="31">
        <v>1</v>
      </c>
      <c r="DF85" s="31">
        <v>20</v>
      </c>
    </row>
    <row r="86" spans="1:110" s="81" customFormat="1">
      <c r="A86" s="81" t="s">
        <v>847</v>
      </c>
      <c r="B86" s="81" t="s">
        <v>98</v>
      </c>
      <c r="E86" s="81">
        <v>8</v>
      </c>
      <c r="F86" s="31" t="str">
        <f t="shared" si="26"/>
        <v>Strength 10</v>
      </c>
      <c r="H86" s="81">
        <v>5</v>
      </c>
      <c r="J86" s="81">
        <v>6</v>
      </c>
      <c r="K86" s="81">
        <v>1</v>
      </c>
      <c r="Q86" s="81">
        <v>0</v>
      </c>
      <c r="S86" s="81">
        <v>6.5</v>
      </c>
      <c r="T86" s="81">
        <v>10000</v>
      </c>
      <c r="U86" s="81">
        <v>-1</v>
      </c>
      <c r="CC86" s="82"/>
      <c r="CD86" s="82" t="s">
        <v>848</v>
      </c>
      <c r="CE86" s="82" t="s">
        <v>1244</v>
      </c>
      <c r="CF86" s="82"/>
      <c r="CV86" s="81" t="s">
        <v>1697</v>
      </c>
      <c r="DD86" s="81">
        <v>1</v>
      </c>
    </row>
    <row r="87" spans="1:110" s="81" customFormat="1">
      <c r="A87" s="81" t="s">
        <v>110</v>
      </c>
      <c r="B87" s="81" t="s">
        <v>98</v>
      </c>
      <c r="E87" s="81">
        <v>13</v>
      </c>
      <c r="F87" s="31" t="str">
        <f t="shared" si="26"/>
        <v>Strength 10</v>
      </c>
      <c r="J87" s="81">
        <v>4</v>
      </c>
      <c r="K87" s="81">
        <v>1</v>
      </c>
      <c r="L87" s="31">
        <f>IF(E87=2,-5,IF(E87=3,-10,IF(E87=4,-15,IF(OR(E87=5,E87=6),-20,IF(OR(E87=7,E87=8),-25,IF(E87=9,-30,-35))))))</f>
        <v>-35</v>
      </c>
      <c r="Q87" s="81">
        <v>6</v>
      </c>
      <c r="BR87" s="83"/>
      <c r="BS87" s="92"/>
      <c r="CA87" s="83" t="s">
        <v>100</v>
      </c>
      <c r="CB87" s="83"/>
      <c r="CC87" s="82"/>
      <c r="CD87" s="82"/>
      <c r="CE87" s="83"/>
      <c r="CF87" s="83"/>
      <c r="CH87" s="83"/>
      <c r="CV87" s="93" t="s">
        <v>111</v>
      </c>
      <c r="CW87" s="83"/>
      <c r="CX87" s="83"/>
      <c r="CY87" s="83"/>
    </row>
    <row r="88" spans="1:110" s="81" customFormat="1">
      <c r="A88" s="81" t="s">
        <v>115</v>
      </c>
      <c r="B88" s="81" t="s">
        <v>98</v>
      </c>
      <c r="E88" s="81">
        <v>18</v>
      </c>
      <c r="F88" s="31" t="str">
        <f t="shared" si="26"/>
        <v>Strength 13</v>
      </c>
      <c r="J88" s="81">
        <v>5</v>
      </c>
      <c r="K88" s="81">
        <v>1</v>
      </c>
      <c r="L88" s="31">
        <v>-35</v>
      </c>
      <c r="Q88" s="81">
        <v>10</v>
      </c>
      <c r="S88" s="81">
        <v>8</v>
      </c>
      <c r="V88" s="81">
        <v>2</v>
      </c>
      <c r="AD88" s="81">
        <v>2</v>
      </c>
      <c r="AP88" s="81">
        <v>1</v>
      </c>
      <c r="BQ88" s="81">
        <v>7</v>
      </c>
      <c r="BR88" s="83"/>
      <c r="BS88" s="92"/>
      <c r="CA88" s="83" t="s">
        <v>100</v>
      </c>
      <c r="CB88" s="83"/>
      <c r="CC88" s="82" t="s">
        <v>1601</v>
      </c>
      <c r="CD88" s="82" t="s">
        <v>1431</v>
      </c>
      <c r="CE88" s="83"/>
      <c r="CF88" s="83" t="s">
        <v>1296</v>
      </c>
      <c r="CH88" s="83"/>
      <c r="CV88" s="36" t="s">
        <v>1698</v>
      </c>
      <c r="CW88" s="83"/>
      <c r="CX88" s="83"/>
      <c r="CY88" s="83"/>
      <c r="DD88" s="81">
        <v>1</v>
      </c>
    </row>
    <row r="89" spans="1:110" s="94" customFormat="1">
      <c r="A89" s="94" t="s">
        <v>1017</v>
      </c>
      <c r="B89" s="94" t="s">
        <v>98</v>
      </c>
      <c r="E89" s="94">
        <v>1</v>
      </c>
      <c r="F89" s="31" t="str">
        <f t="shared" si="26"/>
        <v>Strength 5</v>
      </c>
      <c r="J89" s="94">
        <v>4</v>
      </c>
      <c r="K89" s="94">
        <v>1</v>
      </c>
      <c r="BS89" s="95"/>
      <c r="CA89" s="94" t="s">
        <v>100</v>
      </c>
      <c r="CC89" s="96"/>
      <c r="CD89" s="96" t="s">
        <v>1072</v>
      </c>
      <c r="CE89" s="96"/>
      <c r="CF89" s="96"/>
      <c r="CV89" s="97" t="s">
        <v>437</v>
      </c>
      <c r="DD89" s="94">
        <v>1</v>
      </c>
    </row>
    <row r="90" spans="1:110" s="83" customFormat="1">
      <c r="A90" s="83" t="s">
        <v>1467</v>
      </c>
      <c r="B90" s="94" t="s">
        <v>98</v>
      </c>
      <c r="E90" s="83">
        <v>5</v>
      </c>
      <c r="F90" s="31" t="str">
        <f t="shared" si="26"/>
        <v>Strength 7</v>
      </c>
      <c r="J90" s="83">
        <v>4</v>
      </c>
      <c r="K90" s="83">
        <v>1</v>
      </c>
      <c r="L90" s="83">
        <v>-15</v>
      </c>
      <c r="Q90" s="83">
        <v>10</v>
      </c>
      <c r="S90" s="83">
        <v>9</v>
      </c>
      <c r="T90" s="83">
        <v>1000</v>
      </c>
      <c r="U90" s="83">
        <v>1</v>
      </c>
      <c r="V90" s="83">
        <v>2</v>
      </c>
      <c r="AE90" s="83">
        <v>1</v>
      </c>
      <c r="BS90" s="92"/>
      <c r="CA90" s="83" t="s">
        <v>100</v>
      </c>
      <c r="CC90" s="135"/>
      <c r="CD90" s="135"/>
      <c r="CE90" s="135" t="s">
        <v>1037</v>
      </c>
      <c r="CF90" s="135"/>
      <c r="CV90" s="93" t="s">
        <v>1468</v>
      </c>
      <c r="CZ90" s="81" t="s">
        <v>1724</v>
      </c>
      <c r="DA90" s="83">
        <v>1</v>
      </c>
      <c r="DB90" s="83">
        <v>1</v>
      </c>
      <c r="DC90" s="83">
        <v>1</v>
      </c>
      <c r="DD90" s="83">
        <v>1</v>
      </c>
      <c r="DE90" s="83">
        <v>5</v>
      </c>
      <c r="DF90" s="83">
        <v>20</v>
      </c>
    </row>
    <row r="91" spans="1:110">
      <c r="A91" s="31" t="s">
        <v>101</v>
      </c>
      <c r="B91" s="31" t="s">
        <v>98</v>
      </c>
      <c r="E91" s="31">
        <v>1</v>
      </c>
      <c r="F91" s="31" t="str">
        <f t="shared" si="26"/>
        <v>Strength 5</v>
      </c>
      <c r="Q91" s="98">
        <v>7</v>
      </c>
      <c r="BR91" s="33"/>
      <c r="BS91" s="34"/>
      <c r="CA91" s="44" t="s">
        <v>100</v>
      </c>
      <c r="CB91" s="44"/>
      <c r="CC91" s="43"/>
      <c r="CD91" s="43"/>
      <c r="CE91" s="43"/>
      <c r="CF91" s="43"/>
      <c r="CG91" s="12"/>
      <c r="CH91" s="44"/>
      <c r="CI91" s="12"/>
      <c r="CJ91" s="12"/>
      <c r="CK91" s="12"/>
      <c r="CL91" s="12"/>
      <c r="CM91" s="12"/>
      <c r="CN91" s="12"/>
      <c r="CV91" s="36" t="s">
        <v>437</v>
      </c>
      <c r="CW91" s="33"/>
      <c r="CX91" s="33"/>
      <c r="CY91" s="33"/>
    </row>
    <row r="92" spans="1:110">
      <c r="A92" s="31" t="s">
        <v>102</v>
      </c>
      <c r="B92" s="31" t="s">
        <v>98</v>
      </c>
      <c r="E92" s="31">
        <v>1</v>
      </c>
      <c r="F92" s="31" t="str">
        <f t="shared" si="26"/>
        <v>Strength 5</v>
      </c>
      <c r="Q92" s="31">
        <v>7</v>
      </c>
      <c r="BR92" s="33"/>
      <c r="BS92" s="34"/>
      <c r="CA92" s="44" t="s">
        <v>100</v>
      </c>
      <c r="CB92" s="44"/>
      <c r="CH92" s="44"/>
      <c r="CV92" s="36" t="s">
        <v>437</v>
      </c>
      <c r="CW92" s="33"/>
      <c r="CX92" s="33"/>
      <c r="CY92" s="33"/>
      <c r="CZ92" s="31" t="s">
        <v>100</v>
      </c>
      <c r="DA92" s="31">
        <v>1</v>
      </c>
      <c r="DB92" s="31">
        <v>1</v>
      </c>
      <c r="DC92" s="31">
        <v>1</v>
      </c>
    </row>
    <row r="93" spans="1:110">
      <c r="A93" s="31" t="s">
        <v>103</v>
      </c>
      <c r="B93" s="31" t="s">
        <v>98</v>
      </c>
      <c r="E93" s="31">
        <v>2</v>
      </c>
      <c r="F93" s="31" t="str">
        <f t="shared" si="26"/>
        <v>Strength 5</v>
      </c>
      <c r="L93" s="31">
        <f t="shared" ref="L93:L95" si="28">IF(E93=2,-5,IF(E93=3,-10,IF(E93=4,-15,IF(OR(E93=5,E93=6),-20,IF(OR(E93=7,E93=8),-25,IF(E93=9,-30,-35))))))</f>
        <v>-5</v>
      </c>
      <c r="BR93" s="33"/>
      <c r="BS93" s="34"/>
      <c r="CA93" s="44" t="s">
        <v>100</v>
      </c>
      <c r="CB93" s="44"/>
      <c r="CH93" s="44"/>
      <c r="CV93" s="36" t="s">
        <v>1822</v>
      </c>
      <c r="CW93" s="33"/>
      <c r="CX93" s="33"/>
      <c r="CY93" s="33"/>
      <c r="CZ93" s="31" t="s">
        <v>100</v>
      </c>
      <c r="DA93" s="31">
        <v>1</v>
      </c>
      <c r="DB93" s="31">
        <v>1</v>
      </c>
      <c r="DC93" s="31">
        <v>1</v>
      </c>
    </row>
    <row r="94" spans="1:110">
      <c r="A94" s="31" t="s">
        <v>105</v>
      </c>
      <c r="B94" s="31" t="s">
        <v>98</v>
      </c>
      <c r="E94" s="31">
        <v>3</v>
      </c>
      <c r="F94" s="31" t="str">
        <f>CONCATENATE("Strength ",MIN(MAX(ROUND(SQRT((IF(J94="",SwordDamage,J94)+IF(J94="",SwordDamage,J94)+IF(K94="",SwordDamageRange,K94))*(E94/1.4))+1,0),5),15))</f>
        <v>Strength 5</v>
      </c>
      <c r="L94" s="31">
        <v>-10</v>
      </c>
      <c r="BR94" s="33"/>
      <c r="BS94" s="34"/>
      <c r="CA94" s="44" t="s">
        <v>100</v>
      </c>
      <c r="CB94" s="44"/>
      <c r="CH94" s="44"/>
      <c r="CV94" s="36" t="s">
        <v>1823</v>
      </c>
      <c r="CW94" s="33"/>
      <c r="CX94" s="33"/>
      <c r="CY94" s="33"/>
      <c r="CZ94" s="31" t="s">
        <v>100</v>
      </c>
      <c r="DA94" s="31">
        <v>1</v>
      </c>
      <c r="DB94" s="31">
        <v>1</v>
      </c>
      <c r="DC94" s="31">
        <v>1</v>
      </c>
    </row>
    <row r="95" spans="1:110">
      <c r="A95" s="31" t="s">
        <v>104</v>
      </c>
      <c r="B95" s="31" t="s">
        <v>98</v>
      </c>
      <c r="E95" s="31">
        <v>4</v>
      </c>
      <c r="F95" s="31" t="str">
        <f t="shared" si="26"/>
        <v>Strength 5</v>
      </c>
      <c r="L95" s="31">
        <f t="shared" si="28"/>
        <v>-15</v>
      </c>
      <c r="BR95" s="33"/>
      <c r="BS95" s="34"/>
      <c r="CA95" s="44" t="s">
        <v>100</v>
      </c>
      <c r="CB95" s="44"/>
      <c r="CH95" s="44"/>
      <c r="CV95" s="36" t="s">
        <v>713</v>
      </c>
      <c r="CW95" s="33"/>
      <c r="CX95" s="33"/>
      <c r="CY95" s="33"/>
      <c r="CZ95" s="31" t="s">
        <v>100</v>
      </c>
      <c r="DA95" s="31">
        <v>1</v>
      </c>
      <c r="DB95" s="31">
        <v>1</v>
      </c>
      <c r="DC95" s="31">
        <v>1</v>
      </c>
    </row>
    <row r="96" spans="1:110">
      <c r="A96" s="31" t="s">
        <v>539</v>
      </c>
      <c r="B96" s="31" t="s">
        <v>98</v>
      </c>
      <c r="E96" s="31">
        <v>5</v>
      </c>
      <c r="F96" s="31" t="str">
        <f t="shared" si="26"/>
        <v>Strength 6</v>
      </c>
      <c r="L96" s="31">
        <v>-15</v>
      </c>
      <c r="BR96" s="33"/>
      <c r="BS96" s="34"/>
      <c r="CA96" s="44" t="s">
        <v>100</v>
      </c>
      <c r="CB96" s="44"/>
      <c r="CH96" s="44"/>
      <c r="CV96" s="36" t="s">
        <v>1824</v>
      </c>
      <c r="CW96" s="33"/>
      <c r="CX96" s="33"/>
      <c r="CY96" s="33"/>
      <c r="CZ96" s="31" t="s">
        <v>100</v>
      </c>
      <c r="DA96" s="31">
        <v>1</v>
      </c>
      <c r="DB96" s="31">
        <v>1</v>
      </c>
      <c r="DC96" s="31">
        <v>1</v>
      </c>
    </row>
    <row r="97" spans="1:107">
      <c r="A97" s="31" t="s">
        <v>540</v>
      </c>
      <c r="B97" s="31" t="s">
        <v>98</v>
      </c>
      <c r="E97" s="31">
        <v>6</v>
      </c>
      <c r="F97" s="31" t="str">
        <f t="shared" si="26"/>
        <v>Strength 6</v>
      </c>
      <c r="L97" s="31">
        <v>-15</v>
      </c>
      <c r="BR97" s="33"/>
      <c r="BS97" s="34"/>
      <c r="CA97" s="44" t="s">
        <v>100</v>
      </c>
      <c r="CB97" s="44"/>
      <c r="CH97" s="44"/>
      <c r="CV97" s="36" t="s">
        <v>1825</v>
      </c>
      <c r="CW97" s="33"/>
      <c r="CX97" s="33"/>
      <c r="CY97" s="33"/>
      <c r="CZ97" s="31" t="s">
        <v>100</v>
      </c>
      <c r="DA97" s="31">
        <v>1</v>
      </c>
      <c r="DB97" s="31">
        <v>1</v>
      </c>
      <c r="DC97" s="31">
        <v>1</v>
      </c>
    </row>
    <row r="98" spans="1:107">
      <c r="A98" s="31" t="s">
        <v>106</v>
      </c>
      <c r="B98" s="31" t="s">
        <v>98</v>
      </c>
      <c r="E98" s="31">
        <v>7</v>
      </c>
      <c r="F98" s="31" t="str">
        <f t="shared" si="26"/>
        <v>Strength 7</v>
      </c>
      <c r="L98" s="31">
        <v>-15</v>
      </c>
      <c r="BR98" s="33"/>
      <c r="BS98" s="34"/>
      <c r="CA98" s="44" t="s">
        <v>100</v>
      </c>
      <c r="CB98" s="44"/>
      <c r="CH98" s="44"/>
      <c r="CV98" s="36" t="s">
        <v>711</v>
      </c>
      <c r="CW98" s="33"/>
      <c r="CX98" s="33"/>
      <c r="CY98" s="33"/>
      <c r="CZ98" s="31" t="s">
        <v>100</v>
      </c>
      <c r="DA98" s="31">
        <v>1</v>
      </c>
      <c r="DB98" s="31">
        <v>1</v>
      </c>
      <c r="DC98" s="31">
        <v>1</v>
      </c>
    </row>
    <row r="99" spans="1:107">
      <c r="A99" s="31" t="s">
        <v>541</v>
      </c>
      <c r="B99" s="31" t="s">
        <v>98</v>
      </c>
      <c r="C99" s="37"/>
      <c r="E99" s="31">
        <v>8</v>
      </c>
      <c r="F99" s="31" t="str">
        <f t="shared" si="26"/>
        <v>Strength 7</v>
      </c>
      <c r="L99" s="31">
        <v>-15</v>
      </c>
      <c r="BR99" s="33"/>
      <c r="BS99" s="34"/>
      <c r="CA99" s="44" t="s">
        <v>100</v>
      </c>
      <c r="CB99" s="44"/>
      <c r="CH99" s="44"/>
      <c r="CV99" s="36" t="s">
        <v>1826</v>
      </c>
      <c r="CW99" s="33"/>
      <c r="CX99" s="33"/>
      <c r="CY99" s="33"/>
      <c r="CZ99" s="31" t="s">
        <v>100</v>
      </c>
      <c r="DA99" s="31">
        <v>1</v>
      </c>
      <c r="DB99" s="31">
        <v>1</v>
      </c>
      <c r="DC99" s="31">
        <v>1</v>
      </c>
    </row>
    <row r="100" spans="1:107">
      <c r="A100" s="31" t="s">
        <v>542</v>
      </c>
      <c r="B100" s="31" t="s">
        <v>98</v>
      </c>
      <c r="E100" s="31">
        <v>9</v>
      </c>
      <c r="F100" s="31" t="str">
        <f t="shared" si="26"/>
        <v>Strength 8</v>
      </c>
      <c r="L100" s="31">
        <v>-20</v>
      </c>
      <c r="BR100" s="33"/>
      <c r="BS100" s="34"/>
      <c r="CA100" s="44" t="s">
        <v>100</v>
      </c>
      <c r="CB100" s="44"/>
      <c r="CH100" s="44"/>
      <c r="CV100" s="36" t="s">
        <v>1827</v>
      </c>
      <c r="CW100" s="33"/>
      <c r="CX100" s="33"/>
      <c r="CY100" s="33"/>
      <c r="CZ100" s="31" t="s">
        <v>100</v>
      </c>
      <c r="DA100" s="31">
        <v>1</v>
      </c>
      <c r="DB100" s="31">
        <v>1</v>
      </c>
      <c r="DC100" s="31">
        <v>1</v>
      </c>
    </row>
    <row r="101" spans="1:107">
      <c r="A101" s="31" t="s">
        <v>107</v>
      </c>
      <c r="B101" s="31" t="s">
        <v>98</v>
      </c>
      <c r="C101" s="37"/>
      <c r="E101" s="31">
        <v>10</v>
      </c>
      <c r="F101" s="31" t="str">
        <f t="shared" si="26"/>
        <v>Strength 8</v>
      </c>
      <c r="L101" s="31">
        <v>-20</v>
      </c>
      <c r="BR101" s="33"/>
      <c r="BS101" s="34"/>
      <c r="CA101" s="44" t="s">
        <v>100</v>
      </c>
      <c r="CB101" s="44"/>
      <c r="CH101" s="44"/>
      <c r="CV101" s="36" t="s">
        <v>1087</v>
      </c>
      <c r="CW101" s="33"/>
      <c r="CX101" s="33"/>
      <c r="CY101" s="33"/>
      <c r="CZ101" s="31" t="s">
        <v>100</v>
      </c>
      <c r="DA101" s="31">
        <v>1</v>
      </c>
      <c r="DB101" s="31">
        <v>1</v>
      </c>
      <c r="DC101" s="31">
        <v>1</v>
      </c>
    </row>
    <row r="102" spans="1:107">
      <c r="A102" s="31" t="s">
        <v>1089</v>
      </c>
      <c r="B102" s="31" t="s">
        <v>98</v>
      </c>
      <c r="C102" s="37"/>
      <c r="E102" s="31">
        <v>11</v>
      </c>
      <c r="F102" s="31" t="str">
        <f t="shared" si="26"/>
        <v>Strength 8</v>
      </c>
      <c r="L102" s="31">
        <v>-20</v>
      </c>
      <c r="BR102" s="33"/>
      <c r="BS102" s="34"/>
      <c r="CA102" s="44" t="s">
        <v>100</v>
      </c>
      <c r="CB102" s="44"/>
      <c r="CH102" s="44"/>
      <c r="CV102" s="36" t="s">
        <v>1087</v>
      </c>
      <c r="CW102" s="33"/>
      <c r="CX102" s="33"/>
      <c r="CY102" s="33"/>
      <c r="CZ102" s="31" t="s">
        <v>100</v>
      </c>
      <c r="DA102" s="31">
        <v>1</v>
      </c>
      <c r="DB102" s="31">
        <v>1</v>
      </c>
      <c r="DC102" s="31">
        <v>1</v>
      </c>
    </row>
    <row r="103" spans="1:107">
      <c r="A103" s="31" t="s">
        <v>1092</v>
      </c>
      <c r="B103" s="31" t="s">
        <v>98</v>
      </c>
      <c r="E103" s="31">
        <v>12</v>
      </c>
      <c r="F103" s="31" t="str">
        <f t="shared" si="26"/>
        <v>Strength 9</v>
      </c>
      <c r="L103" s="31">
        <v>-25</v>
      </c>
      <c r="BR103" s="33"/>
      <c r="BS103" s="34"/>
      <c r="CA103" s="44" t="s">
        <v>100</v>
      </c>
      <c r="CB103" s="44"/>
      <c r="CH103" s="44"/>
      <c r="CV103" s="36" t="s">
        <v>1088</v>
      </c>
      <c r="CW103" s="33"/>
      <c r="CX103" s="33"/>
      <c r="CY103" s="33"/>
      <c r="CZ103" s="31" t="s">
        <v>100</v>
      </c>
      <c r="DA103" s="31">
        <v>1</v>
      </c>
      <c r="DB103" s="31">
        <v>1</v>
      </c>
      <c r="DC103" s="31">
        <v>1</v>
      </c>
    </row>
    <row r="104" spans="1:107">
      <c r="A104" s="113" t="s">
        <v>1090</v>
      </c>
      <c r="B104" s="31" t="s">
        <v>98</v>
      </c>
      <c r="C104" s="37"/>
      <c r="E104" s="31">
        <v>13</v>
      </c>
      <c r="F104" s="31" t="str">
        <f>CONCATENATE("Strength ",MIN(MAX(ROUND(SQRT((IF(J104="",SwordDamage,J104)+IF(J104="",SwordDamage,J104)+IF(K104="",SwordDamageRange,K104))*(E104/1.4))+1,0),5),15))</f>
        <v>Strength 9</v>
      </c>
      <c r="L104" s="31">
        <v>-25</v>
      </c>
      <c r="BR104" s="33"/>
      <c r="BS104" s="34"/>
      <c r="CA104" s="44" t="s">
        <v>100</v>
      </c>
      <c r="CB104" s="44"/>
      <c r="CH104" s="44"/>
      <c r="CV104" s="36" t="s">
        <v>1093</v>
      </c>
      <c r="CW104" s="33"/>
      <c r="CX104" s="33"/>
      <c r="CY104" s="33"/>
      <c r="CZ104" s="31" t="s">
        <v>100</v>
      </c>
      <c r="DA104" s="31">
        <v>1</v>
      </c>
      <c r="DB104" s="31">
        <v>1</v>
      </c>
      <c r="DC104" s="31">
        <v>1</v>
      </c>
    </row>
    <row r="105" spans="1:107">
      <c r="A105" s="31" t="s">
        <v>1091</v>
      </c>
      <c r="B105" s="31" t="s">
        <v>98</v>
      </c>
      <c r="C105" s="37"/>
      <c r="E105" s="31">
        <v>14</v>
      </c>
      <c r="F105" s="31" t="str">
        <f t="shared" si="26"/>
        <v>Strength 9</v>
      </c>
      <c r="L105" s="31">
        <v>-25</v>
      </c>
      <c r="BR105" s="33"/>
      <c r="BS105" s="34"/>
      <c r="CA105" s="44" t="s">
        <v>100</v>
      </c>
      <c r="CB105" s="44"/>
      <c r="CH105" s="44"/>
      <c r="CV105" s="36" t="s">
        <v>1093</v>
      </c>
      <c r="CW105" s="33"/>
      <c r="CX105" s="33"/>
      <c r="CY105" s="33"/>
      <c r="CZ105" s="31" t="s">
        <v>100</v>
      </c>
      <c r="DA105" s="31">
        <v>1</v>
      </c>
      <c r="DB105" s="31">
        <v>1</v>
      </c>
      <c r="DC105" s="31">
        <v>1</v>
      </c>
    </row>
    <row r="106" spans="1:107">
      <c r="A106" s="31" t="s">
        <v>112</v>
      </c>
      <c r="B106" s="31" t="s">
        <v>98</v>
      </c>
      <c r="C106" s="37"/>
      <c r="E106" s="31">
        <v>15</v>
      </c>
      <c r="F106" s="31" t="str">
        <f t="shared" si="26"/>
        <v>Strength 10</v>
      </c>
      <c r="L106" s="31">
        <v>-25</v>
      </c>
      <c r="BR106" s="33"/>
      <c r="BS106" s="34"/>
      <c r="CA106" s="44" t="s">
        <v>100</v>
      </c>
      <c r="CB106" s="44"/>
      <c r="CH106" s="44"/>
      <c r="CV106" s="36" t="s">
        <v>1094</v>
      </c>
      <c r="CW106" s="33"/>
      <c r="CX106" s="33"/>
      <c r="CY106" s="33"/>
      <c r="CZ106" s="31" t="s">
        <v>100</v>
      </c>
      <c r="DA106" s="31">
        <v>1</v>
      </c>
      <c r="DB106" s="31">
        <v>1</v>
      </c>
      <c r="DC106" s="31">
        <v>1</v>
      </c>
    </row>
    <row r="107" spans="1:107">
      <c r="A107" s="113" t="s">
        <v>1095</v>
      </c>
      <c r="B107" s="31" t="s">
        <v>98</v>
      </c>
      <c r="C107" s="37"/>
      <c r="E107" s="31">
        <v>16</v>
      </c>
      <c r="F107" s="31" t="str">
        <f t="shared" si="26"/>
        <v>Strength 10</v>
      </c>
      <c r="L107" s="31">
        <v>-26</v>
      </c>
      <c r="BR107" s="33"/>
      <c r="BS107" s="34"/>
      <c r="CA107" s="44" t="s">
        <v>100</v>
      </c>
      <c r="CB107" s="44"/>
      <c r="CH107" s="44"/>
      <c r="CV107" s="36" t="s">
        <v>1097</v>
      </c>
      <c r="CW107" s="33"/>
      <c r="CX107" s="33"/>
      <c r="CY107" s="33"/>
      <c r="CZ107" s="31" t="s">
        <v>100</v>
      </c>
      <c r="DA107" s="31">
        <v>1</v>
      </c>
      <c r="DB107" s="31">
        <v>1</v>
      </c>
      <c r="DC107" s="31">
        <v>1</v>
      </c>
    </row>
    <row r="108" spans="1:107">
      <c r="A108" s="31" t="s">
        <v>1096</v>
      </c>
      <c r="B108" s="31" t="s">
        <v>98</v>
      </c>
      <c r="C108" s="37"/>
      <c r="E108" s="31">
        <v>17</v>
      </c>
      <c r="F108" s="31" t="str">
        <f>CONCATENATE("Strength ",MIN(MAX(ROUND(SQRT((IF(J108="",SwordDamage,J108)+IF(J108="",SwordDamage,J108)+IF(K108="",SwordDamageRange,K108))*(E108/1.4))+1,0),5),15))</f>
        <v>Strength 10</v>
      </c>
      <c r="L108" s="31">
        <v>-27</v>
      </c>
      <c r="BR108" s="33"/>
      <c r="BS108" s="34"/>
      <c r="CA108" s="44" t="s">
        <v>100</v>
      </c>
      <c r="CB108" s="44"/>
      <c r="CH108" s="44"/>
      <c r="CV108" s="36" t="s">
        <v>1097</v>
      </c>
      <c r="CW108" s="33"/>
      <c r="CX108" s="33"/>
      <c r="CY108" s="33"/>
      <c r="CZ108" s="31" t="s">
        <v>100</v>
      </c>
      <c r="DA108" s="31">
        <v>1</v>
      </c>
      <c r="DB108" s="31">
        <v>1</v>
      </c>
      <c r="DC108" s="31">
        <v>1</v>
      </c>
    </row>
    <row r="109" spans="1:107">
      <c r="A109" s="31" t="s">
        <v>1253</v>
      </c>
      <c r="B109" s="31" t="s">
        <v>98</v>
      </c>
      <c r="C109" s="37"/>
      <c r="E109" s="31">
        <v>18</v>
      </c>
      <c r="F109" s="31" t="str">
        <f t="shared" si="26"/>
        <v>Strength 10</v>
      </c>
      <c r="L109" s="31">
        <v>-28</v>
      </c>
      <c r="BR109" s="33"/>
      <c r="BS109" s="34"/>
      <c r="CA109" s="44" t="s">
        <v>100</v>
      </c>
      <c r="CB109" s="44"/>
      <c r="CH109" s="44"/>
      <c r="CV109" s="36" t="s">
        <v>1254</v>
      </c>
      <c r="CW109" s="33"/>
      <c r="CX109" s="33"/>
      <c r="CY109" s="33"/>
      <c r="CZ109" s="31" t="s">
        <v>100</v>
      </c>
      <c r="DA109" s="31">
        <v>1</v>
      </c>
      <c r="DB109" s="31">
        <v>1</v>
      </c>
      <c r="DC109" s="31">
        <v>1</v>
      </c>
    </row>
    <row r="110" spans="1:107">
      <c r="A110" s="113" t="s">
        <v>1820</v>
      </c>
      <c r="B110" s="31" t="s">
        <v>98</v>
      </c>
      <c r="C110" s="37"/>
      <c r="E110" s="31">
        <v>19</v>
      </c>
      <c r="F110" s="31" t="str">
        <f t="shared" si="26"/>
        <v>Strength 11</v>
      </c>
      <c r="L110" s="31">
        <v>-29</v>
      </c>
      <c r="BR110" s="33"/>
      <c r="BS110" s="34"/>
      <c r="CA110" s="44" t="s">
        <v>100</v>
      </c>
      <c r="CB110" s="44"/>
      <c r="CH110" s="44"/>
      <c r="CV110" s="36" t="s">
        <v>1828</v>
      </c>
      <c r="CW110" s="33"/>
      <c r="CX110" s="33"/>
      <c r="CY110" s="33"/>
      <c r="CZ110" s="31" t="s">
        <v>100</v>
      </c>
      <c r="DA110" s="31">
        <v>1</v>
      </c>
      <c r="DB110" s="31">
        <v>1</v>
      </c>
      <c r="DC110" s="31">
        <v>1</v>
      </c>
    </row>
    <row r="111" spans="1:107">
      <c r="A111" s="113" t="s">
        <v>1821</v>
      </c>
      <c r="B111" s="31" t="s">
        <v>98</v>
      </c>
      <c r="C111" s="37"/>
      <c r="E111" s="31">
        <v>20</v>
      </c>
      <c r="F111" s="31" t="str">
        <f t="shared" si="26"/>
        <v>Strength 11</v>
      </c>
      <c r="L111" s="31">
        <v>-30</v>
      </c>
      <c r="BR111" s="33"/>
      <c r="BS111" s="34"/>
      <c r="CA111" s="44" t="s">
        <v>100</v>
      </c>
      <c r="CB111" s="44"/>
      <c r="CH111" s="44"/>
      <c r="CV111" s="36" t="s">
        <v>1829</v>
      </c>
      <c r="CW111" s="33"/>
      <c r="CX111" s="33"/>
      <c r="CY111" s="33"/>
      <c r="CZ111" s="31" t="s">
        <v>100</v>
      </c>
      <c r="DA111" s="31">
        <v>1</v>
      </c>
      <c r="DB111" s="31">
        <v>1</v>
      </c>
      <c r="DC111" s="31">
        <v>1</v>
      </c>
    </row>
    <row r="112" spans="1:107">
      <c r="A112" s="31" t="s">
        <v>791</v>
      </c>
      <c r="B112" s="31" t="s">
        <v>98</v>
      </c>
      <c r="C112" s="37"/>
      <c r="E112" s="31">
        <v>14</v>
      </c>
      <c r="F112" s="31" t="str">
        <f>CONCATENATE("Strength ",MIN(MAX(ROUND(SQRT((IF(J112="",SwordDamage,J112)+IF(J112="",SwordDamage,J112)+IF(K112="",SwordDamageRange,K112))*(E112/1.4))+1,0),5),15),";Blackrock 1")</f>
        <v>Strength 9;Blackrock 1</v>
      </c>
      <c r="L112" s="31">
        <v>-20</v>
      </c>
      <c r="Q112" s="31">
        <v>7</v>
      </c>
      <c r="S112" s="31">
        <v>4.7</v>
      </c>
      <c r="T112" s="31">
        <v>1500</v>
      </c>
      <c r="BR112" s="33"/>
      <c r="BS112" s="34"/>
      <c r="CA112" s="44"/>
      <c r="CB112" s="44"/>
      <c r="CF112" s="35" t="s">
        <v>1296</v>
      </c>
      <c r="CH112" s="44"/>
      <c r="CV112" s="36" t="s">
        <v>1305</v>
      </c>
      <c r="CW112" s="33"/>
      <c r="CX112" s="33"/>
      <c r="CY112" s="33"/>
      <c r="CZ112" s="113" t="s">
        <v>1420</v>
      </c>
      <c r="DA112" s="31">
        <v>1</v>
      </c>
      <c r="DB112" s="31">
        <v>1</v>
      </c>
      <c r="DC112" s="31">
        <v>1</v>
      </c>
    </row>
    <row r="113" spans="1:108">
      <c r="A113" s="113" t="s">
        <v>1306</v>
      </c>
      <c r="B113" s="31" t="s">
        <v>98</v>
      </c>
      <c r="C113" s="37"/>
      <c r="E113" s="31">
        <v>15</v>
      </c>
      <c r="F113" s="31" t="str">
        <f>CONCATENATE("Strength ",MIN(MAX(ROUND(SQRT((IF(J113="",SwordDamage,J113)+IF(J113="",SwordDamage,J113)+IF(K113="",SwordDamageRange,K113))*(E113/1.4))+1,0),5),15),";Blackrock 1")</f>
        <v>Strength 10;Blackrock 1</v>
      </c>
      <c r="L113" s="31">
        <v>-20</v>
      </c>
      <c r="Q113" s="31">
        <v>7</v>
      </c>
      <c r="S113" s="31">
        <v>4.7</v>
      </c>
      <c r="T113" s="31">
        <v>1500</v>
      </c>
      <c r="BR113" s="33"/>
      <c r="BS113" s="34"/>
      <c r="CA113" s="44"/>
      <c r="CB113" s="44"/>
      <c r="CF113" s="35" t="s">
        <v>1296</v>
      </c>
      <c r="CH113" s="44"/>
      <c r="CV113" s="36" t="s">
        <v>1305</v>
      </c>
      <c r="CW113" s="33"/>
      <c r="CX113" s="33"/>
      <c r="CY113" s="33"/>
      <c r="CZ113" s="113" t="s">
        <v>1420</v>
      </c>
      <c r="DA113" s="31">
        <v>1</v>
      </c>
      <c r="DB113" s="31">
        <v>1</v>
      </c>
      <c r="DC113" s="31">
        <v>1</v>
      </c>
    </row>
    <row r="114" spans="1:108">
      <c r="A114" s="113" t="s">
        <v>1307</v>
      </c>
      <c r="B114" s="31" t="s">
        <v>98</v>
      </c>
      <c r="C114" s="37"/>
      <c r="E114" s="31">
        <v>16</v>
      </c>
      <c r="F114" s="31" t="str">
        <f>CONCATENATE("Strength ",MIN(MAX(ROUND(SQRT((IF(J114="",SwordDamage,J114)+IF(J114="",SwordDamage,J114)+IF(K114="",SwordDamageRange,K114))*(E114/1.4))+1,0),5),15),";Blackrock 2")</f>
        <v>Strength 10;Blackrock 2</v>
      </c>
      <c r="L114" s="31">
        <v>-21</v>
      </c>
      <c r="Q114" s="31">
        <v>7</v>
      </c>
      <c r="S114" s="31">
        <v>4.7</v>
      </c>
      <c r="T114" s="31">
        <v>1500</v>
      </c>
      <c r="BR114" s="33"/>
      <c r="BS114" s="34"/>
      <c r="CA114" s="44"/>
      <c r="CB114" s="44"/>
      <c r="CF114" s="35" t="s">
        <v>1296</v>
      </c>
      <c r="CH114" s="44"/>
      <c r="CV114" s="36" t="s">
        <v>1305</v>
      </c>
      <c r="CW114" s="33"/>
      <c r="CX114" s="33"/>
      <c r="CY114" s="33"/>
      <c r="CZ114" s="113" t="s">
        <v>1420</v>
      </c>
      <c r="DA114" s="31">
        <v>1</v>
      </c>
      <c r="DB114" s="31">
        <v>1</v>
      </c>
      <c r="DC114" s="31">
        <v>1</v>
      </c>
    </row>
    <row r="115" spans="1:108">
      <c r="A115" s="113" t="s">
        <v>1308</v>
      </c>
      <c r="B115" s="31" t="s">
        <v>98</v>
      </c>
      <c r="C115" s="37"/>
      <c r="E115" s="31">
        <v>17</v>
      </c>
      <c r="F115" s="31" t="str">
        <f>CONCATENATE("Strength ",MIN(MAX(ROUND(SQRT((IF(J115="",SwordDamage,J115)+IF(J115="",SwordDamage,J115)+IF(K115="",SwordDamageRange,K115))*(E115/1.4))+1,0),5),15),";Blackrock 2")</f>
        <v>Strength 10;Blackrock 2</v>
      </c>
      <c r="L115" s="31">
        <v>-22</v>
      </c>
      <c r="Q115" s="31">
        <v>7</v>
      </c>
      <c r="S115" s="31">
        <v>4.7</v>
      </c>
      <c r="T115" s="31">
        <v>1500</v>
      </c>
      <c r="BR115" s="33"/>
      <c r="BS115" s="34"/>
      <c r="CA115" s="44"/>
      <c r="CB115" s="44"/>
      <c r="CF115" s="35" t="s">
        <v>1296</v>
      </c>
      <c r="CH115" s="44"/>
      <c r="CV115" s="36" t="s">
        <v>1305</v>
      </c>
      <c r="CW115" s="33"/>
      <c r="CX115" s="33"/>
      <c r="CY115" s="33"/>
      <c r="CZ115" s="113" t="s">
        <v>1420</v>
      </c>
      <c r="DA115" s="31">
        <v>1</v>
      </c>
      <c r="DB115" s="31">
        <v>1</v>
      </c>
      <c r="DC115" s="31">
        <v>1</v>
      </c>
    </row>
    <row r="116" spans="1:108">
      <c r="A116" s="113" t="s">
        <v>1309</v>
      </c>
      <c r="B116" s="31" t="s">
        <v>98</v>
      </c>
      <c r="C116" s="37"/>
      <c r="E116" s="31">
        <v>18</v>
      </c>
      <c r="F116" s="31" t="str">
        <f>CONCATENATE("Strength ",MIN(MAX(ROUND(SQRT((IF(J116="",SwordDamage,J116)+IF(J116="",SwordDamage,J116)+IF(K116="",SwordDamageRange,K116))*(E116/1.4))+1,0),5),15),";Blackrock 2")</f>
        <v>Strength 10;Blackrock 2</v>
      </c>
      <c r="L116" s="31">
        <v>-23</v>
      </c>
      <c r="Q116" s="31">
        <v>7</v>
      </c>
      <c r="S116" s="31">
        <v>4.7</v>
      </c>
      <c r="T116" s="31">
        <v>1500</v>
      </c>
      <c r="BR116" s="33"/>
      <c r="BS116" s="34"/>
      <c r="CA116" s="44"/>
      <c r="CB116" s="44"/>
      <c r="CF116" s="35" t="s">
        <v>1296</v>
      </c>
      <c r="CH116" s="44"/>
      <c r="CV116" s="36" t="s">
        <v>1305</v>
      </c>
      <c r="CW116" s="33"/>
      <c r="CX116" s="33"/>
      <c r="CY116" s="33"/>
      <c r="CZ116" s="113" t="s">
        <v>1420</v>
      </c>
      <c r="DA116" s="31">
        <v>1</v>
      </c>
      <c r="DB116" s="31">
        <v>1</v>
      </c>
      <c r="DC116" s="31">
        <v>1</v>
      </c>
    </row>
    <row r="117" spans="1:108">
      <c r="A117" s="113" t="s">
        <v>1310</v>
      </c>
      <c r="B117" s="31" t="s">
        <v>98</v>
      </c>
      <c r="C117" s="37"/>
      <c r="E117" s="31">
        <v>19</v>
      </c>
      <c r="F117" s="31" t="str">
        <f>CONCATENATE("Strength ",MIN(MAX(ROUND(SQRT((IF(J117="",SwordDamage,J117)+IF(J117="",SwordDamage,J117)+IF(K117="",SwordDamageRange,K117))*(E117/1.4))+1,0),5),15),";Blackrock 3")</f>
        <v>Strength 11;Blackrock 3</v>
      </c>
      <c r="L117" s="31">
        <v>-24</v>
      </c>
      <c r="Q117" s="31">
        <v>7</v>
      </c>
      <c r="S117" s="31">
        <v>4.7</v>
      </c>
      <c r="T117" s="31">
        <v>1500</v>
      </c>
      <c r="BR117" s="33"/>
      <c r="BS117" s="34"/>
      <c r="CA117" s="44"/>
      <c r="CB117" s="44"/>
      <c r="CF117" s="35" t="s">
        <v>1296</v>
      </c>
      <c r="CH117" s="44"/>
      <c r="CV117" s="36" t="s">
        <v>1305</v>
      </c>
      <c r="CW117" s="33"/>
      <c r="CX117" s="33"/>
      <c r="CY117" s="33"/>
      <c r="CZ117" s="113" t="s">
        <v>1420</v>
      </c>
      <c r="DA117" s="31">
        <v>1</v>
      </c>
      <c r="DB117" s="31">
        <v>1</v>
      </c>
      <c r="DC117" s="31">
        <v>1</v>
      </c>
    </row>
    <row r="118" spans="1:108">
      <c r="A118" s="113" t="s">
        <v>1311</v>
      </c>
      <c r="B118" s="31" t="s">
        <v>98</v>
      </c>
      <c r="C118" s="37"/>
      <c r="E118" s="31">
        <v>20</v>
      </c>
      <c r="F118" s="31" t="str">
        <f>CONCATENATE("Strength ",MIN(MAX(ROUND(SQRT((IF(J118="",SwordDamage,J118)+IF(J118="",SwordDamage,J118)+IF(K118="",SwordDamageRange,K118))*(E118/1.4))+1,0),5),15),";Blackrock 3")</f>
        <v>Strength 11;Blackrock 3</v>
      </c>
      <c r="L118" s="31">
        <v>-25</v>
      </c>
      <c r="Q118" s="31">
        <v>7</v>
      </c>
      <c r="S118" s="31">
        <v>4.7</v>
      </c>
      <c r="T118" s="31">
        <v>1500</v>
      </c>
      <c r="BR118" s="33"/>
      <c r="BS118" s="34"/>
      <c r="CA118" s="44"/>
      <c r="CB118" s="44"/>
      <c r="CF118" s="35" t="s">
        <v>1296</v>
      </c>
      <c r="CH118" s="44"/>
      <c r="CV118" s="36" t="s">
        <v>1305</v>
      </c>
      <c r="CW118" s="33"/>
      <c r="CX118" s="33"/>
      <c r="CY118" s="33"/>
      <c r="CZ118" s="113" t="s">
        <v>1420</v>
      </c>
      <c r="DA118" s="31">
        <v>1</v>
      </c>
      <c r="DB118" s="31">
        <v>1</v>
      </c>
      <c r="DC118" s="31">
        <v>1</v>
      </c>
    </row>
    <row r="119" spans="1:108" s="137" customFormat="1" ht="15">
      <c r="A119" s="137" t="s">
        <v>1507</v>
      </c>
      <c r="B119" s="137" t="s">
        <v>98</v>
      </c>
      <c r="E119" s="137">
        <v>5</v>
      </c>
      <c r="F119" s="31" t="str">
        <f>CONCATENATE("Strength ",ROUND(5+(((IF(J119="",SwordDamage,J119)+IF(J119="",SwordDamage,J119)+IF(K119="",SwordDamageRange,K119))/2-3)/(10-3))*5+($E119/3),0))</f>
        <v>Strength 7</v>
      </c>
      <c r="K119" s="137">
        <v>2</v>
      </c>
      <c r="L119" s="31">
        <f>IF(E119=2,-5,IF(E119=3,-10,IF(E119=4,-15,IF(OR(E119=5,E119=6),-20,IF(OR(E119=7,E119=8),-25,IF(E119=9,-30,-35))))))</f>
        <v>-20</v>
      </c>
      <c r="Q119" s="137">
        <v>6</v>
      </c>
      <c r="S119" s="137">
        <v>1.6</v>
      </c>
      <c r="BR119" s="138"/>
      <c r="BS119" s="139"/>
      <c r="CA119" s="138"/>
      <c r="CB119" s="138"/>
      <c r="CC119" s="140"/>
      <c r="CD119" s="140"/>
      <c r="CE119" s="140"/>
      <c r="CF119" s="140"/>
      <c r="CH119" s="138"/>
      <c r="CV119" s="141" t="s">
        <v>1514</v>
      </c>
      <c r="CW119" s="138"/>
      <c r="CX119" s="138"/>
      <c r="CY119" s="138"/>
      <c r="DD119" s="137">
        <v>1</v>
      </c>
    </row>
    <row r="120" spans="1:108" s="137" customFormat="1" ht="15">
      <c r="A120" s="137" t="s">
        <v>1508</v>
      </c>
      <c r="B120" s="137" t="s">
        <v>98</v>
      </c>
      <c r="E120" s="137">
        <v>10</v>
      </c>
      <c r="F120" s="31" t="str">
        <f>CONCATENATE("Strength ",ROUND(5+(((IF(J120="",SwordDamage,J120)+IF(J120="",SwordDamage,J120)+IF(K120="",SwordDamageRange,K120))/2-3)/(10-3))*5+($E120/3),0))</f>
        <v>Strength 9</v>
      </c>
      <c r="K120" s="137">
        <v>2</v>
      </c>
      <c r="L120" s="31">
        <f>IF(E120=2,-5,IF(E120=3,-10,IF(E120=4,-15,IF(OR(E120=5,E120=6),-20,IF(OR(E120=7,E120=8),-25,IF(E120=9,-30,-35))))))</f>
        <v>-35</v>
      </c>
      <c r="Q120" s="137">
        <v>6</v>
      </c>
      <c r="S120" s="137">
        <v>1.8</v>
      </c>
      <c r="BR120" s="138"/>
      <c r="BS120" s="139"/>
      <c r="CA120" s="138"/>
      <c r="CB120" s="138"/>
      <c r="CC120" s="140"/>
      <c r="CD120" s="140" t="s">
        <v>1511</v>
      </c>
      <c r="CE120" s="140"/>
      <c r="CF120" s="140"/>
      <c r="CH120" s="138"/>
      <c r="CV120" s="141" t="s">
        <v>1515</v>
      </c>
      <c r="CW120" s="138"/>
      <c r="CX120" s="138"/>
      <c r="CY120" s="138"/>
      <c r="DD120" s="137">
        <v>1</v>
      </c>
    </row>
    <row r="121" spans="1:108" s="137" customFormat="1" ht="15">
      <c r="A121" s="137" t="s">
        <v>1509</v>
      </c>
      <c r="B121" s="137" t="s">
        <v>98</v>
      </c>
      <c r="E121" s="137">
        <v>15</v>
      </c>
      <c r="F121" s="31" t="str">
        <f>CONCATENATE("Strength ",ROUND(5+(((IF(J121="",SwordDamage,J121)+IF(J121="",SwordDamage,J121)+IF(K121="",SwordDamageRange,K121))/2-3)/(10-3))*5+($E121/3),0))</f>
        <v>Strength 11</v>
      </c>
      <c r="J121" s="137">
        <v>4</v>
      </c>
      <c r="K121" s="137">
        <v>2</v>
      </c>
      <c r="L121" s="31">
        <f t="shared" ref="L121" si="29">IF(E121=2,-5,IF(E121=3,-10,IF(E121=4,-15,IF(OR(E121=5,E121=6),-20,IF(OR(E121=7,E121=8),-25,IF(E121=9,-30,-35))))))</f>
        <v>-35</v>
      </c>
      <c r="O121" s="137">
        <v>2</v>
      </c>
      <c r="Q121" s="137">
        <v>6</v>
      </c>
      <c r="S121" s="137">
        <v>2</v>
      </c>
      <c r="AA121" s="137">
        <v>1</v>
      </c>
      <c r="BI121" s="137">
        <v>1</v>
      </c>
      <c r="BR121" s="138"/>
      <c r="BS121" s="139"/>
      <c r="CA121" s="138"/>
      <c r="CB121" s="138"/>
      <c r="CC121" s="140"/>
      <c r="CD121" s="140" t="s">
        <v>1512</v>
      </c>
      <c r="CE121" s="140"/>
      <c r="CF121" s="140"/>
      <c r="CH121" s="138"/>
      <c r="CV121" s="141" t="s">
        <v>1516</v>
      </c>
      <c r="CW121" s="138"/>
      <c r="CX121" s="138"/>
      <c r="CY121" s="138"/>
      <c r="DD121" s="137">
        <v>1</v>
      </c>
    </row>
    <row r="122" spans="1:108" s="137" customFormat="1" ht="15">
      <c r="A122" s="137" t="s">
        <v>1510</v>
      </c>
      <c r="B122" s="137" t="s">
        <v>98</v>
      </c>
      <c r="E122" s="137">
        <v>20</v>
      </c>
      <c r="F122" s="31" t="str">
        <f>CONCATENATE("Strength ",ROUND(5+(((IF(J122="",SwordDamage,J122)+IF(J122="",SwordDamage,J122)+IF(K122="",SwordDamageRange,K122))/2-3)/(10-3))*5+($E122/3),0))</f>
        <v>Strength 13</v>
      </c>
      <c r="J122" s="137">
        <v>4</v>
      </c>
      <c r="K122" s="137">
        <v>2</v>
      </c>
      <c r="L122" s="31">
        <f>IF(E122=2,-5,IF(E122=3,-10,IF(E122=4,-15,IF(OR(E122=5,E122=6),-20,IF(OR(E122=7,E122=8),-25,IF(E122=9,-30,-35))))))</f>
        <v>-35</v>
      </c>
      <c r="O122" s="137">
        <v>2</v>
      </c>
      <c r="Q122" s="137">
        <v>7</v>
      </c>
      <c r="S122" s="137">
        <v>2.2000000000000002</v>
      </c>
      <c r="AA122" s="137">
        <v>2</v>
      </c>
      <c r="BI122" s="137">
        <v>2</v>
      </c>
      <c r="BR122" s="138"/>
      <c r="BS122" s="139"/>
      <c r="CA122" s="138"/>
      <c r="CB122" s="138"/>
      <c r="CC122" s="140"/>
      <c r="CD122" s="140" t="s">
        <v>1513</v>
      </c>
      <c r="CE122" s="140"/>
      <c r="CF122" s="140"/>
      <c r="CH122" s="138"/>
      <c r="CV122" s="141" t="s">
        <v>1517</v>
      </c>
      <c r="CW122" s="138"/>
      <c r="CX122" s="138"/>
      <c r="CY122" s="138"/>
      <c r="DD122" s="137">
        <v>1</v>
      </c>
    </row>
    <row r="123" spans="1:108">
      <c r="A123" s="27" t="s">
        <v>117</v>
      </c>
      <c r="B123" s="27"/>
      <c r="C123" s="28" t="s">
        <v>73</v>
      </c>
      <c r="D123" s="27">
        <v>1</v>
      </c>
      <c r="E123" s="27"/>
      <c r="F123" s="27" t="s">
        <v>704</v>
      </c>
      <c r="G123" s="27" t="s">
        <v>607</v>
      </c>
      <c r="H123" s="27">
        <v>3</v>
      </c>
      <c r="I123" s="27" t="s">
        <v>99</v>
      </c>
      <c r="J123" s="27">
        <v>3</v>
      </c>
      <c r="K123" s="27">
        <v>2</v>
      </c>
      <c r="L123" s="27">
        <v>-10</v>
      </c>
      <c r="M123" s="27"/>
      <c r="N123" s="27">
        <v>2</v>
      </c>
      <c r="O123" s="27">
        <v>0</v>
      </c>
      <c r="P123" s="27">
        <v>1</v>
      </c>
      <c r="Q123" s="27">
        <v>7</v>
      </c>
      <c r="R123" s="27">
        <v>6</v>
      </c>
      <c r="S123" s="27">
        <v>3.8</v>
      </c>
      <c r="T123" s="27">
        <v>3000</v>
      </c>
      <c r="U123" s="27">
        <v>0</v>
      </c>
      <c r="V123" s="27"/>
      <c r="W123" s="27" t="s">
        <v>118</v>
      </c>
      <c r="X123" s="27"/>
      <c r="Y123" s="27" t="s">
        <v>76</v>
      </c>
      <c r="Z123" s="27"/>
      <c r="AA123" s="27"/>
      <c r="AB123" s="27"/>
      <c r="AC123" s="27"/>
      <c r="AD123" s="27"/>
      <c r="AE123" s="27"/>
      <c r="AF123" s="27"/>
      <c r="AG123" s="27"/>
      <c r="AH123" s="27"/>
      <c r="AI123" s="27"/>
      <c r="AJ123" s="27"/>
      <c r="AK123" s="27"/>
      <c r="AL123" s="27"/>
      <c r="AM123" s="27"/>
      <c r="AN123" s="27"/>
      <c r="AO123" s="27"/>
      <c r="AP123" s="27"/>
      <c r="AQ123" s="27"/>
      <c r="AR123" s="27"/>
      <c r="AS123" s="27"/>
      <c r="AT123" s="27"/>
      <c r="AU123" s="27"/>
      <c r="AV123" s="27"/>
      <c r="AW123" s="27"/>
      <c r="AX123" s="27"/>
      <c r="AY123" s="27"/>
      <c r="AZ123" s="27"/>
      <c r="BA123" s="27"/>
      <c r="BB123" s="27"/>
      <c r="BC123" s="27"/>
      <c r="BD123" s="27"/>
      <c r="BE123" s="27"/>
      <c r="BF123" s="27"/>
      <c r="BG123" s="27"/>
      <c r="BH123" s="27"/>
      <c r="BI123" s="27"/>
      <c r="BJ123" s="27"/>
      <c r="BK123" s="27"/>
      <c r="BL123" s="27"/>
      <c r="BM123" s="27"/>
      <c r="BN123" s="27"/>
      <c r="BO123" s="27"/>
      <c r="BP123" s="27"/>
      <c r="BQ123" s="27"/>
      <c r="BR123" s="29"/>
      <c r="BS123" s="30"/>
      <c r="BT123" s="27"/>
      <c r="BU123" s="27"/>
      <c r="BV123" s="27"/>
      <c r="BW123" s="27"/>
      <c r="BX123" s="27"/>
      <c r="BY123" s="27"/>
      <c r="BZ123" s="27"/>
      <c r="CA123" s="27"/>
      <c r="CB123" s="27"/>
      <c r="CC123" s="24"/>
      <c r="CD123" s="24"/>
      <c r="CE123" s="24"/>
      <c r="CF123" s="24"/>
      <c r="CG123" s="31" t="s">
        <v>730</v>
      </c>
      <c r="CH123" s="27">
        <v>0</v>
      </c>
      <c r="CO123" s="27"/>
      <c r="CP123" s="27"/>
      <c r="CQ123" s="27"/>
      <c r="CR123" s="27"/>
      <c r="CS123" s="27"/>
      <c r="CT123" s="27"/>
      <c r="CU123" s="27"/>
      <c r="CV123" s="32"/>
      <c r="CW123" s="27"/>
      <c r="CX123" s="27"/>
      <c r="CY123" s="27"/>
      <c r="CZ123" s="27"/>
      <c r="DA123" s="27"/>
      <c r="DB123" s="27"/>
      <c r="DC123" s="27">
        <v>0</v>
      </c>
      <c r="DD123" s="27">
        <v>0</v>
      </c>
    </row>
    <row r="124" spans="1:108">
      <c r="A124" s="31" t="s">
        <v>864</v>
      </c>
      <c r="B124" s="31" t="s">
        <v>117</v>
      </c>
      <c r="E124" s="31">
        <v>1</v>
      </c>
      <c r="F124" s="31" t="s">
        <v>863</v>
      </c>
      <c r="K124" s="31">
        <v>3</v>
      </c>
      <c r="L124" s="31">
        <v>-20</v>
      </c>
      <c r="Q124" s="31">
        <v>7</v>
      </c>
      <c r="S124" s="31">
        <v>3.7</v>
      </c>
      <c r="BR124" s="33"/>
      <c r="BS124" s="34"/>
      <c r="CA124" s="31" t="s">
        <v>118</v>
      </c>
      <c r="CV124" s="36" t="s">
        <v>809</v>
      </c>
    </row>
    <row r="125" spans="1:108">
      <c r="A125" s="31" t="s">
        <v>865</v>
      </c>
      <c r="B125" s="31" t="s">
        <v>117</v>
      </c>
      <c r="E125" s="31">
        <v>1</v>
      </c>
      <c r="F125" s="31" t="s">
        <v>863</v>
      </c>
      <c r="K125" s="31">
        <v>3</v>
      </c>
      <c r="L125" s="31">
        <v>-20</v>
      </c>
      <c r="Q125" s="31">
        <v>7</v>
      </c>
      <c r="S125" s="31">
        <v>3.8</v>
      </c>
      <c r="BR125" s="33"/>
      <c r="BS125" s="34"/>
      <c r="CA125" s="31" t="s">
        <v>118</v>
      </c>
      <c r="CV125" s="36" t="s">
        <v>438</v>
      </c>
    </row>
    <row r="126" spans="1:108">
      <c r="A126" s="31" t="s">
        <v>866</v>
      </c>
      <c r="B126" s="31" t="s">
        <v>117</v>
      </c>
      <c r="E126" s="31">
        <v>1</v>
      </c>
      <c r="F126" s="31" t="s">
        <v>863</v>
      </c>
      <c r="K126" s="31">
        <v>3</v>
      </c>
      <c r="L126" s="31">
        <v>-20</v>
      </c>
      <c r="Q126" s="31">
        <v>7</v>
      </c>
      <c r="S126" s="31">
        <v>3.8</v>
      </c>
      <c r="BR126" s="33"/>
      <c r="BS126" s="34"/>
      <c r="CA126" s="31" t="s">
        <v>118</v>
      </c>
      <c r="CV126" s="36" t="s">
        <v>714</v>
      </c>
    </row>
    <row r="127" spans="1:108">
      <c r="A127" s="31" t="s">
        <v>867</v>
      </c>
      <c r="B127" s="31" t="s">
        <v>117</v>
      </c>
      <c r="E127" s="31">
        <v>1</v>
      </c>
      <c r="F127" s="31" t="s">
        <v>863</v>
      </c>
      <c r="J127" s="31">
        <v>4</v>
      </c>
      <c r="K127" s="31">
        <v>3</v>
      </c>
      <c r="L127" s="31">
        <v>-20</v>
      </c>
      <c r="Q127" s="31">
        <v>8</v>
      </c>
      <c r="S127" s="31">
        <v>3.8</v>
      </c>
      <c r="BR127" s="33"/>
      <c r="BS127" s="34"/>
      <c r="CA127" s="31" t="s">
        <v>118</v>
      </c>
      <c r="CV127" s="36" t="s">
        <v>810</v>
      </c>
    </row>
    <row r="128" spans="1:108" s="33" customFormat="1">
      <c r="A128" s="33" t="s">
        <v>868</v>
      </c>
      <c r="B128" s="33" t="s">
        <v>117</v>
      </c>
      <c r="E128" s="33">
        <v>1</v>
      </c>
      <c r="F128" s="33" t="s">
        <v>863</v>
      </c>
      <c r="J128" s="33">
        <v>4</v>
      </c>
      <c r="K128" s="33">
        <v>3</v>
      </c>
      <c r="L128" s="31">
        <v>-20</v>
      </c>
      <c r="Q128" s="33">
        <v>10</v>
      </c>
      <c r="S128" s="33">
        <v>3.9</v>
      </c>
      <c r="BS128" s="34"/>
      <c r="CA128" s="33" t="s">
        <v>118</v>
      </c>
      <c r="CC128" s="47"/>
      <c r="CD128" s="47"/>
      <c r="CE128" s="47"/>
      <c r="CF128" s="47"/>
      <c r="CV128" s="36" t="s">
        <v>810</v>
      </c>
    </row>
    <row r="129" spans="1:110" s="99" customFormat="1">
      <c r="A129" s="99" t="s">
        <v>126</v>
      </c>
      <c r="B129" s="99" t="s">
        <v>117</v>
      </c>
      <c r="E129" s="99">
        <v>6</v>
      </c>
      <c r="F129" s="31" t="str">
        <f t="shared" ref="F129" si="30">CONCATENATE("Strength ",MIN(MAX(ROUND(SQRT((IF(J129="",ClubDamage,J129)+IF(J129="",ClubDamage,J129)+IF(K129="",ClubDamageRange,K129))*(E129/1.4))+1,0),5),15))</f>
        <v>Strength 5</v>
      </c>
      <c r="I129" s="99" t="s">
        <v>78</v>
      </c>
      <c r="J129" s="99">
        <v>1</v>
      </c>
      <c r="Q129" s="99">
        <v>6</v>
      </c>
      <c r="S129" s="99">
        <v>0.2</v>
      </c>
      <c r="BS129" s="100"/>
      <c r="CA129" s="99" t="s">
        <v>118</v>
      </c>
      <c r="CV129" s="101" t="s">
        <v>127</v>
      </c>
      <c r="CZ129" s="99" t="s">
        <v>520</v>
      </c>
      <c r="DA129" s="99">
        <v>1</v>
      </c>
      <c r="DB129" s="99">
        <v>1</v>
      </c>
      <c r="DC129" s="99">
        <v>1</v>
      </c>
      <c r="DE129" s="99">
        <v>2</v>
      </c>
      <c r="DF129" s="99">
        <v>20</v>
      </c>
    </row>
    <row r="130" spans="1:110" s="94" customFormat="1">
      <c r="A130" s="94" t="s">
        <v>1411</v>
      </c>
      <c r="B130" s="94" t="s">
        <v>117</v>
      </c>
      <c r="E130" s="94">
        <v>7</v>
      </c>
      <c r="F130" s="31" t="str">
        <f t="shared" ref="F130:F152" si="31">CONCATENATE("Strength ",MIN(MAX(ROUND(SQRT((IF(J130="",AxeDamage,J130)+IF(J130="",AxeDamage,J130)+IF(K130="",AxeDamageRange,K130))*(E130/1.4))+1,0),5),15))</f>
        <v>Strength 8</v>
      </c>
      <c r="J130" s="94">
        <v>3</v>
      </c>
      <c r="K130" s="94">
        <v>3</v>
      </c>
      <c r="L130" s="31">
        <f t="shared" ref="L130" si="32">IF(E130=2,-5,IF(E130=3,-10,IF(E130=4,-15,IF(OR(E130=5,E130=6),-20,IF(OR(E130=7,E130=8),-25,IF(E130=9,-30,-35))))))</f>
        <v>-25</v>
      </c>
      <c r="Q130" s="94">
        <v>10</v>
      </c>
      <c r="S130" s="94">
        <v>7</v>
      </c>
      <c r="T130" s="94">
        <v>2000</v>
      </c>
      <c r="BS130" s="95"/>
      <c r="CA130" s="94" t="s">
        <v>118</v>
      </c>
      <c r="CC130" s="96"/>
      <c r="CD130" s="96"/>
      <c r="CE130" s="96"/>
      <c r="CF130" s="96"/>
      <c r="CV130" s="97" t="s">
        <v>1699</v>
      </c>
      <c r="DD130" s="94">
        <v>1</v>
      </c>
    </row>
    <row r="131" spans="1:110" s="94" customFormat="1">
      <c r="A131" s="94" t="s">
        <v>128</v>
      </c>
      <c r="B131" s="94" t="s">
        <v>117</v>
      </c>
      <c r="E131" s="94">
        <v>19</v>
      </c>
      <c r="F131" s="31" t="str">
        <f t="shared" si="31"/>
        <v>Strength 13</v>
      </c>
      <c r="J131" s="94">
        <v>4</v>
      </c>
      <c r="K131" s="94">
        <v>3</v>
      </c>
      <c r="L131" s="31">
        <v>-25</v>
      </c>
      <c r="O131" s="94">
        <v>2</v>
      </c>
      <c r="Q131" s="94">
        <v>10</v>
      </c>
      <c r="S131" s="94">
        <v>8</v>
      </c>
      <c r="T131" s="94">
        <v>2000</v>
      </c>
      <c r="U131" s="94">
        <v>1</v>
      </c>
      <c r="V131" s="94">
        <v>1</v>
      </c>
      <c r="AE131" s="94">
        <v>1</v>
      </c>
      <c r="AP131" s="94">
        <v>1</v>
      </c>
      <c r="BS131" s="95"/>
      <c r="BT131" s="94">
        <v>10</v>
      </c>
      <c r="CA131" s="94" t="s">
        <v>118</v>
      </c>
      <c r="CC131" s="96"/>
      <c r="CD131" s="96" t="s">
        <v>1432</v>
      </c>
      <c r="CE131" s="96"/>
      <c r="CF131" s="96"/>
      <c r="CV131" s="94" t="s">
        <v>1700</v>
      </c>
      <c r="DD131" s="94">
        <v>1</v>
      </c>
    </row>
    <row r="132" spans="1:110">
      <c r="A132" s="31" t="s">
        <v>119</v>
      </c>
      <c r="B132" s="31" t="s">
        <v>117</v>
      </c>
      <c r="E132" s="31">
        <v>1</v>
      </c>
      <c r="F132" s="31" t="str">
        <f t="shared" si="31"/>
        <v>Strength 5</v>
      </c>
      <c r="Q132" s="31">
        <v>5</v>
      </c>
      <c r="S132" s="31">
        <v>0.3</v>
      </c>
      <c r="T132" s="31">
        <v>2000</v>
      </c>
      <c r="BR132" s="33"/>
      <c r="BS132" s="34"/>
      <c r="CA132" s="31" t="s">
        <v>118</v>
      </c>
      <c r="CC132" s="43"/>
      <c r="CD132" s="43"/>
      <c r="CE132" s="43"/>
      <c r="CF132" s="43"/>
      <c r="CV132" s="36" t="s">
        <v>809</v>
      </c>
      <c r="CZ132" s="31" t="s">
        <v>520</v>
      </c>
      <c r="DA132" s="31">
        <v>1</v>
      </c>
      <c r="DB132" s="31">
        <v>1</v>
      </c>
      <c r="DC132" s="31">
        <v>1</v>
      </c>
      <c r="DF132" s="31">
        <v>20</v>
      </c>
    </row>
    <row r="133" spans="1:110">
      <c r="A133" s="31" t="s">
        <v>546</v>
      </c>
      <c r="B133" s="31" t="s">
        <v>117</v>
      </c>
      <c r="E133" s="31">
        <v>1</v>
      </c>
      <c r="F133" s="31" t="str">
        <f t="shared" si="31"/>
        <v>Strength 5</v>
      </c>
      <c r="Q133" s="31">
        <v>6</v>
      </c>
      <c r="BR133" s="33"/>
      <c r="BS133" s="34"/>
      <c r="CA133" s="31" t="s">
        <v>118</v>
      </c>
      <c r="CV133" s="36" t="s">
        <v>809</v>
      </c>
      <c r="CZ133" s="31" t="s">
        <v>118</v>
      </c>
      <c r="DA133" s="31">
        <v>1</v>
      </c>
      <c r="DB133" s="31">
        <v>1</v>
      </c>
      <c r="DC133" s="31">
        <v>1</v>
      </c>
    </row>
    <row r="134" spans="1:110">
      <c r="A134" s="31" t="s">
        <v>701</v>
      </c>
      <c r="B134" s="31" t="s">
        <v>117</v>
      </c>
      <c r="E134" s="31">
        <v>2</v>
      </c>
      <c r="F134" s="31" t="str">
        <f t="shared" si="31"/>
        <v>Strength 5</v>
      </c>
      <c r="L134" s="31">
        <f t="shared" ref="L134:L136" si="33">IF(E134=2,-5,IF(E134=3,-10,IF(E134=4,-15,IF(OR(E134=5,E134=6),-20,IF(OR(E134=7,E134=8),-25,IF(E134=9,-30,-35))))))</f>
        <v>-5</v>
      </c>
      <c r="BR134" s="33"/>
      <c r="BS134" s="34"/>
      <c r="CA134" s="31" t="s">
        <v>118</v>
      </c>
      <c r="CV134" s="36" t="s">
        <v>809</v>
      </c>
      <c r="CZ134" s="31" t="s">
        <v>118</v>
      </c>
      <c r="DA134" s="31">
        <v>1</v>
      </c>
      <c r="DB134" s="31">
        <v>1</v>
      </c>
      <c r="DC134" s="31">
        <v>1</v>
      </c>
    </row>
    <row r="135" spans="1:110">
      <c r="A135" s="31" t="s">
        <v>120</v>
      </c>
      <c r="B135" s="31" t="s">
        <v>117</v>
      </c>
      <c r="E135" s="31">
        <v>3</v>
      </c>
      <c r="F135" s="31" t="str">
        <f t="shared" si="31"/>
        <v>Strength 5</v>
      </c>
      <c r="L135" s="31">
        <v>-10</v>
      </c>
      <c r="BR135" s="33"/>
      <c r="BS135" s="34"/>
      <c r="CA135" s="31" t="s">
        <v>118</v>
      </c>
      <c r="CV135" s="152" t="s">
        <v>1842</v>
      </c>
      <c r="CZ135" s="31" t="s">
        <v>118</v>
      </c>
      <c r="DA135" s="31">
        <v>1</v>
      </c>
      <c r="DB135" s="31">
        <v>1</v>
      </c>
      <c r="DC135" s="31">
        <v>1</v>
      </c>
    </row>
    <row r="136" spans="1:110">
      <c r="A136" s="113" t="s">
        <v>1832</v>
      </c>
      <c r="B136" s="31" t="s">
        <v>117</v>
      </c>
      <c r="E136" s="31">
        <v>4</v>
      </c>
      <c r="F136" s="31" t="str">
        <f t="shared" si="31"/>
        <v>Strength 6</v>
      </c>
      <c r="L136" s="31">
        <f t="shared" si="33"/>
        <v>-15</v>
      </c>
      <c r="BR136" s="33"/>
      <c r="BS136" s="34"/>
      <c r="CA136" s="31" t="s">
        <v>118</v>
      </c>
      <c r="CV136" s="152" t="s">
        <v>1842</v>
      </c>
      <c r="CZ136" s="31" t="s">
        <v>118</v>
      </c>
      <c r="DA136" s="31">
        <v>1</v>
      </c>
      <c r="DB136" s="31">
        <v>1</v>
      </c>
      <c r="DC136" s="31">
        <v>1</v>
      </c>
    </row>
    <row r="137" spans="1:110">
      <c r="A137" s="48" t="s">
        <v>527</v>
      </c>
      <c r="B137" s="31" t="s">
        <v>117</v>
      </c>
      <c r="E137" s="31">
        <v>5</v>
      </c>
      <c r="F137" s="31" t="str">
        <f>CONCATENATE("Strength ",MIN(MAX(ROUND(SQRT((IF(J137="",AxeDamage,J137)+IF(J137="",AxeDamage,J137)+IF(K137="",AxeDamageRange,K137))*(E137/1.4))+1,0),5),15))</f>
        <v>Strength 6</v>
      </c>
      <c r="L137" s="31">
        <v>-15</v>
      </c>
      <c r="BR137" s="33"/>
      <c r="BS137" s="34"/>
      <c r="CA137" s="31" t="s">
        <v>118</v>
      </c>
      <c r="CV137" s="36" t="s">
        <v>808</v>
      </c>
      <c r="CZ137" s="31" t="s">
        <v>118</v>
      </c>
      <c r="DA137" s="31">
        <v>1</v>
      </c>
      <c r="DB137" s="31">
        <v>1</v>
      </c>
      <c r="DC137" s="31">
        <v>1</v>
      </c>
    </row>
    <row r="138" spans="1:110">
      <c r="A138" s="48" t="s">
        <v>528</v>
      </c>
      <c r="B138" s="31" t="s">
        <v>117</v>
      </c>
      <c r="E138" s="31">
        <v>6</v>
      </c>
      <c r="F138" s="31" t="str">
        <f>CONCATENATE("Strength ",MIN(MAX(ROUND(SQRT((IF(J138="",AxeDamage,J138)+IF(J138="",AxeDamage,J138)+IF(K138="",AxeDamageRange,K138))*(E138/1.4))+1,0),5),15))</f>
        <v>Strength 7</v>
      </c>
      <c r="L138" s="31">
        <v>-15</v>
      </c>
      <c r="BR138" s="33"/>
      <c r="BS138" s="34"/>
      <c r="CA138" s="31" t="s">
        <v>118</v>
      </c>
      <c r="CV138" s="36" t="s">
        <v>1841</v>
      </c>
      <c r="CZ138" s="31" t="s">
        <v>118</v>
      </c>
      <c r="DA138" s="31">
        <v>1</v>
      </c>
      <c r="DB138" s="31">
        <v>1</v>
      </c>
      <c r="DC138" s="31">
        <v>1</v>
      </c>
    </row>
    <row r="139" spans="1:110">
      <c r="A139" s="48" t="s">
        <v>1100</v>
      </c>
      <c r="B139" s="31" t="s">
        <v>117</v>
      </c>
      <c r="E139" s="31">
        <v>7</v>
      </c>
      <c r="F139" s="31" t="str">
        <f>CONCATENATE("Strength ",MIN(MAX(ROUND(SQRT((IF(J139="",AxeDamage,J139)+IF(J139="",AxeDamage,J139)+IF(K139="",AxeDamageRange,K139))*(E139/1.4))+1,0),5),15))</f>
        <v>Strength 7</v>
      </c>
      <c r="L139" s="31">
        <v>-20</v>
      </c>
      <c r="BR139" s="33"/>
      <c r="BS139" s="34"/>
      <c r="CA139" s="31" t="s">
        <v>118</v>
      </c>
      <c r="CV139" s="36" t="s">
        <v>1841</v>
      </c>
      <c r="CZ139" s="31" t="s">
        <v>118</v>
      </c>
      <c r="DA139" s="31">
        <v>1</v>
      </c>
      <c r="DB139" s="31">
        <v>1</v>
      </c>
      <c r="DC139" s="31">
        <v>1</v>
      </c>
    </row>
    <row r="140" spans="1:110">
      <c r="A140" s="113" t="s">
        <v>1830</v>
      </c>
      <c r="B140" s="31" t="s">
        <v>117</v>
      </c>
      <c r="E140" s="31">
        <v>8</v>
      </c>
      <c r="F140" s="31" t="str">
        <f t="shared" si="31"/>
        <v>Strength 8</v>
      </c>
      <c r="L140" s="31">
        <v>-20</v>
      </c>
      <c r="BR140" s="33"/>
      <c r="BS140" s="34"/>
      <c r="CA140" s="31" t="s">
        <v>118</v>
      </c>
      <c r="CV140" s="36" t="s">
        <v>438</v>
      </c>
      <c r="CZ140" s="31" t="s">
        <v>118</v>
      </c>
      <c r="DA140" s="31">
        <v>1</v>
      </c>
      <c r="DB140" s="31">
        <v>1</v>
      </c>
      <c r="DC140" s="31">
        <v>1</v>
      </c>
    </row>
    <row r="141" spans="1:110">
      <c r="A141" s="31" t="s">
        <v>545</v>
      </c>
      <c r="B141" s="31" t="s">
        <v>117</v>
      </c>
      <c r="E141" s="31">
        <v>9</v>
      </c>
      <c r="F141" s="31" t="str">
        <f t="shared" ref="F141:F143" si="34">CONCATENATE("Strength ",MIN(MAX(ROUND(SQRT((IF(J141="",AxeDamage,J141)+IF(J141="",AxeDamage,J141)+IF(K141="",AxeDamageRange,K141))*(E141/1.4))+1,0),5),15))</f>
        <v>Strength 8</v>
      </c>
      <c r="L141" s="31">
        <v>-20</v>
      </c>
      <c r="BR141" s="33"/>
      <c r="BS141" s="34"/>
      <c r="CA141" s="31" t="s">
        <v>118</v>
      </c>
      <c r="CV141" s="36" t="s">
        <v>1835</v>
      </c>
      <c r="CZ141" s="31" t="s">
        <v>118</v>
      </c>
      <c r="DA141" s="31">
        <v>1</v>
      </c>
      <c r="DB141" s="31">
        <v>1</v>
      </c>
      <c r="DC141" s="31">
        <v>1</v>
      </c>
    </row>
    <row r="142" spans="1:110">
      <c r="A142" s="48" t="s">
        <v>1834</v>
      </c>
      <c r="B142" s="31" t="s">
        <v>117</v>
      </c>
      <c r="E142" s="31">
        <v>10</v>
      </c>
      <c r="F142" s="31" t="str">
        <f t="shared" ref="F142" si="35">CONCATENATE("Strength ",MIN(MAX(ROUND(SQRT((IF(J142="",AxeDamage,J142)+IF(J142="",AxeDamage,J142)+IF(K142="",AxeDamageRange,K142))*(E142/1.4))+1,0),5),15))</f>
        <v>Strength 9</v>
      </c>
      <c r="L142" s="31">
        <v>-20</v>
      </c>
      <c r="BR142" s="33"/>
      <c r="BS142" s="34"/>
      <c r="CA142" s="31" t="s">
        <v>118</v>
      </c>
      <c r="CV142" s="36" t="s">
        <v>1836</v>
      </c>
      <c r="CZ142" s="31" t="s">
        <v>118</v>
      </c>
      <c r="DA142" s="31">
        <v>1</v>
      </c>
      <c r="DB142" s="31">
        <v>1</v>
      </c>
      <c r="DC142" s="31">
        <v>1</v>
      </c>
    </row>
    <row r="143" spans="1:110">
      <c r="A143" s="48" t="s">
        <v>1831</v>
      </c>
      <c r="B143" s="31" t="s">
        <v>117</v>
      </c>
      <c r="E143" s="31">
        <v>11</v>
      </c>
      <c r="F143" s="31" t="str">
        <f t="shared" si="34"/>
        <v>Strength 9</v>
      </c>
      <c r="L143" s="31">
        <v>-20</v>
      </c>
      <c r="BR143" s="33"/>
      <c r="BS143" s="34"/>
      <c r="CA143" s="31" t="s">
        <v>118</v>
      </c>
      <c r="CV143" s="36" t="s">
        <v>714</v>
      </c>
      <c r="CZ143" s="31" t="s">
        <v>118</v>
      </c>
      <c r="DA143" s="31">
        <v>1</v>
      </c>
      <c r="DB143" s="31">
        <v>1</v>
      </c>
      <c r="DC143" s="31">
        <v>1</v>
      </c>
    </row>
    <row r="144" spans="1:110">
      <c r="A144" s="48" t="s">
        <v>700</v>
      </c>
      <c r="B144" s="31" t="s">
        <v>117</v>
      </c>
      <c r="E144" s="31">
        <v>12</v>
      </c>
      <c r="F144" s="31" t="str">
        <f t="shared" si="31"/>
        <v>Strength 9</v>
      </c>
      <c r="L144" s="31">
        <v>-25</v>
      </c>
      <c r="BR144" s="33"/>
      <c r="BS144" s="34"/>
      <c r="CA144" s="31" t="s">
        <v>118</v>
      </c>
      <c r="CV144" s="36" t="s">
        <v>1837</v>
      </c>
      <c r="CZ144" s="31" t="s">
        <v>118</v>
      </c>
      <c r="DA144" s="31">
        <v>1</v>
      </c>
      <c r="DB144" s="31">
        <v>1</v>
      </c>
      <c r="DC144" s="31">
        <v>1</v>
      </c>
    </row>
    <row r="145" spans="1:108">
      <c r="A145" s="48" t="s">
        <v>1101</v>
      </c>
      <c r="B145" s="31" t="s">
        <v>117</v>
      </c>
      <c r="C145" s="37"/>
      <c r="E145" s="31">
        <v>13</v>
      </c>
      <c r="F145" s="31" t="str">
        <f>CONCATENATE("Strength ",MIN(MAX(ROUND(SQRT((IF(J145="",AxeDamage,J145)+IF(J145="",AxeDamage,J145)+IF(K145="",AxeDamageRange,K145))*(E145/1.4))+1,0),5),15))</f>
        <v>Strength 10</v>
      </c>
      <c r="L145" s="31">
        <v>-25</v>
      </c>
      <c r="BR145" s="33"/>
      <c r="BS145" s="34"/>
      <c r="CA145" s="31" t="s">
        <v>118</v>
      </c>
      <c r="CV145" s="152" t="s">
        <v>1838</v>
      </c>
      <c r="CW145" s="33"/>
      <c r="CX145" s="33"/>
      <c r="CY145" s="33"/>
      <c r="CZ145" s="31" t="s">
        <v>118</v>
      </c>
      <c r="DA145" s="31">
        <v>1</v>
      </c>
      <c r="DB145" s="31">
        <v>1</v>
      </c>
      <c r="DC145" s="31">
        <v>1</v>
      </c>
    </row>
    <row r="146" spans="1:108">
      <c r="A146" s="48" t="s">
        <v>543</v>
      </c>
      <c r="B146" s="31" t="s">
        <v>117</v>
      </c>
      <c r="E146" s="31">
        <v>14</v>
      </c>
      <c r="F146" s="31" t="str">
        <f t="shared" si="31"/>
        <v>Strength 10</v>
      </c>
      <c r="L146" s="31">
        <v>-25</v>
      </c>
      <c r="BR146" s="33"/>
      <c r="BS146" s="34"/>
      <c r="CA146" s="31" t="s">
        <v>118</v>
      </c>
      <c r="CV146" s="36" t="s">
        <v>810</v>
      </c>
      <c r="CZ146" s="31" t="s">
        <v>118</v>
      </c>
      <c r="DA146" s="31">
        <v>1</v>
      </c>
      <c r="DB146" s="31">
        <v>1</v>
      </c>
      <c r="DC146" s="31">
        <v>1</v>
      </c>
    </row>
    <row r="147" spans="1:108">
      <c r="A147" s="48" t="s">
        <v>544</v>
      </c>
      <c r="B147" s="31" t="s">
        <v>117</v>
      </c>
      <c r="E147" s="31">
        <v>15</v>
      </c>
      <c r="F147" s="31" t="str">
        <f t="shared" si="31"/>
        <v>Strength 10</v>
      </c>
      <c r="L147" s="31">
        <v>-25</v>
      </c>
      <c r="BR147" s="33"/>
      <c r="BS147" s="34"/>
      <c r="CA147" s="31" t="s">
        <v>118</v>
      </c>
      <c r="CV147" s="152" t="s">
        <v>1839</v>
      </c>
      <c r="CZ147" s="31" t="s">
        <v>118</v>
      </c>
      <c r="DA147" s="31">
        <v>1</v>
      </c>
      <c r="DB147" s="31">
        <v>1</v>
      </c>
      <c r="DC147" s="31">
        <v>1</v>
      </c>
    </row>
    <row r="148" spans="1:108">
      <c r="A148" s="48" t="s">
        <v>1833</v>
      </c>
      <c r="B148" s="31" t="s">
        <v>117</v>
      </c>
      <c r="E148" s="31">
        <v>16</v>
      </c>
      <c r="F148" s="31" t="str">
        <f t="shared" si="31"/>
        <v>Strength 11</v>
      </c>
      <c r="L148" s="31">
        <v>-26</v>
      </c>
      <c r="BR148" s="33"/>
      <c r="BS148" s="34"/>
      <c r="CA148" s="31" t="s">
        <v>118</v>
      </c>
      <c r="CV148" s="36" t="s">
        <v>1840</v>
      </c>
      <c r="CZ148" s="31" t="s">
        <v>118</v>
      </c>
      <c r="DA148" s="31">
        <v>1</v>
      </c>
      <c r="DB148" s="31">
        <v>1</v>
      </c>
      <c r="DC148" s="31">
        <v>1</v>
      </c>
    </row>
    <row r="149" spans="1:108">
      <c r="A149" s="48" t="s">
        <v>122</v>
      </c>
      <c r="B149" s="31" t="s">
        <v>117</v>
      </c>
      <c r="E149" s="31">
        <v>17</v>
      </c>
      <c r="F149" s="31" t="str">
        <f t="shared" si="31"/>
        <v>Strength 11</v>
      </c>
      <c r="L149" s="31">
        <v>-27</v>
      </c>
      <c r="BR149" s="33"/>
      <c r="BS149" s="44"/>
      <c r="BT149" s="34"/>
      <c r="CA149" s="31" t="s">
        <v>118</v>
      </c>
      <c r="CV149" s="36" t="s">
        <v>1102</v>
      </c>
      <c r="CW149" s="33"/>
      <c r="CX149" s="33"/>
      <c r="CY149" s="33"/>
      <c r="CZ149" s="31" t="s">
        <v>118</v>
      </c>
      <c r="DA149" s="31">
        <v>1</v>
      </c>
      <c r="DB149" s="31">
        <v>1</v>
      </c>
      <c r="DC149" s="31">
        <v>1</v>
      </c>
    </row>
    <row r="150" spans="1:108">
      <c r="A150" s="48" t="s">
        <v>1098</v>
      </c>
      <c r="B150" s="31" t="s">
        <v>117</v>
      </c>
      <c r="C150" s="37"/>
      <c r="E150" s="31">
        <v>18</v>
      </c>
      <c r="F150" s="31" t="str">
        <f t="shared" si="31"/>
        <v>Strength 11</v>
      </c>
      <c r="L150" s="31">
        <v>-28</v>
      </c>
      <c r="BR150" s="33"/>
      <c r="BS150" s="34"/>
      <c r="CA150" s="31" t="s">
        <v>118</v>
      </c>
      <c r="CV150" s="36" t="s">
        <v>1102</v>
      </c>
      <c r="CW150" s="33"/>
      <c r="CX150" s="33"/>
      <c r="CY150" s="33"/>
      <c r="CZ150" s="31" t="s">
        <v>118</v>
      </c>
      <c r="DA150" s="31">
        <v>1</v>
      </c>
      <c r="DB150" s="31">
        <v>1</v>
      </c>
      <c r="DC150" s="31">
        <v>1</v>
      </c>
    </row>
    <row r="151" spans="1:108">
      <c r="A151" s="48" t="s">
        <v>124</v>
      </c>
      <c r="B151" s="31" t="s">
        <v>117</v>
      </c>
      <c r="C151" s="37"/>
      <c r="E151" s="31">
        <v>19</v>
      </c>
      <c r="F151" s="31" t="str">
        <f t="shared" si="31"/>
        <v>Strength 11</v>
      </c>
      <c r="L151" s="31">
        <v>-29</v>
      </c>
      <c r="Q151" s="31">
        <v>8</v>
      </c>
      <c r="BR151" s="33"/>
      <c r="BS151" s="34"/>
      <c r="CA151" s="31" t="s">
        <v>118</v>
      </c>
      <c r="CV151" s="36" t="s">
        <v>1103</v>
      </c>
      <c r="CW151" s="33"/>
      <c r="CX151" s="33"/>
      <c r="CY151" s="33"/>
      <c r="CZ151" s="31" t="s">
        <v>118</v>
      </c>
      <c r="DA151" s="31">
        <v>1</v>
      </c>
      <c r="DB151" s="31">
        <v>1</v>
      </c>
      <c r="DC151" s="31">
        <v>1</v>
      </c>
    </row>
    <row r="152" spans="1:108">
      <c r="A152" s="48" t="s">
        <v>1099</v>
      </c>
      <c r="B152" s="31" t="s">
        <v>117</v>
      </c>
      <c r="C152" s="37"/>
      <c r="E152" s="31">
        <v>20</v>
      </c>
      <c r="F152" s="31" t="str">
        <f t="shared" si="31"/>
        <v>Strength 12</v>
      </c>
      <c r="L152" s="31">
        <v>-30</v>
      </c>
      <c r="Q152" s="31">
        <v>8</v>
      </c>
      <c r="S152" s="31">
        <v>3.9</v>
      </c>
      <c r="BR152" s="33"/>
      <c r="BS152" s="34"/>
      <c r="CA152" s="31" t="s">
        <v>118</v>
      </c>
      <c r="CV152" s="36" t="s">
        <v>1103</v>
      </c>
      <c r="CW152" s="33"/>
      <c r="CX152" s="33"/>
      <c r="CY152" s="33"/>
      <c r="CZ152" s="31" t="s">
        <v>118</v>
      </c>
      <c r="DA152" s="31">
        <v>1</v>
      </c>
      <c r="DB152" s="31">
        <v>1</v>
      </c>
      <c r="DC152" s="31">
        <v>1</v>
      </c>
    </row>
    <row r="153" spans="1:108">
      <c r="A153" s="31" t="s">
        <v>1313</v>
      </c>
      <c r="B153" s="113" t="s">
        <v>117</v>
      </c>
      <c r="C153" s="37"/>
      <c r="E153" s="31">
        <v>14</v>
      </c>
      <c r="F153" s="31" t="str">
        <f>CONCATENATE("Strength ",MIN(MAX(ROUND(SQRT((IF(J153="",AxeDamage,J153)+IF(J153="",AxeDamage,J153)+IF(K153="",AxeDamageRange,K153))*(E153/1.4))+1,0),5),15),";Blackrock 1")</f>
        <v>Strength 10;Blackrock 1</v>
      </c>
      <c r="L153" s="31">
        <v>-20</v>
      </c>
      <c r="Q153" s="31">
        <v>8</v>
      </c>
      <c r="S153" s="31">
        <v>4.8</v>
      </c>
      <c r="T153" s="31">
        <v>2000</v>
      </c>
      <c r="BR153" s="33"/>
      <c r="BS153" s="34"/>
      <c r="CA153" s="44"/>
      <c r="CB153" s="44"/>
      <c r="CF153" s="35" t="s">
        <v>1296</v>
      </c>
      <c r="CH153" s="44"/>
      <c r="CV153" s="36" t="s">
        <v>1312</v>
      </c>
      <c r="CW153" s="33"/>
      <c r="CX153" s="33"/>
      <c r="CY153" s="33"/>
      <c r="CZ153" s="113" t="s">
        <v>1421</v>
      </c>
      <c r="DA153" s="31">
        <v>1</v>
      </c>
      <c r="DB153" s="31">
        <v>1</v>
      </c>
      <c r="DC153" s="31">
        <v>1</v>
      </c>
    </row>
    <row r="154" spans="1:108">
      <c r="A154" s="113" t="s">
        <v>1314</v>
      </c>
      <c r="B154" s="113" t="s">
        <v>117</v>
      </c>
      <c r="C154" s="37"/>
      <c r="E154" s="31">
        <v>15</v>
      </c>
      <c r="F154" s="31" t="str">
        <f>CONCATENATE("Strength ",MIN(MAX(ROUND(SQRT((IF(J154="",AxeDamage,J154)+IF(J154="",AxeDamage,J154)+IF(K154="",AxeDamageRange,K154))*(E154/1.4))+1,0),5),15),";Blackrock 1")</f>
        <v>Strength 10;Blackrock 1</v>
      </c>
      <c r="L154" s="31">
        <v>-20</v>
      </c>
      <c r="Q154" s="31">
        <v>8</v>
      </c>
      <c r="S154" s="31">
        <v>4.8</v>
      </c>
      <c r="T154" s="31">
        <v>2000</v>
      </c>
      <c r="BR154" s="33"/>
      <c r="BS154" s="34"/>
      <c r="CA154" s="44"/>
      <c r="CB154" s="44"/>
      <c r="CF154" s="35" t="s">
        <v>1296</v>
      </c>
      <c r="CH154" s="44"/>
      <c r="CV154" s="36" t="s">
        <v>1312</v>
      </c>
      <c r="CW154" s="33"/>
      <c r="CX154" s="33"/>
      <c r="CY154" s="33"/>
      <c r="CZ154" s="113" t="s">
        <v>1421</v>
      </c>
      <c r="DA154" s="31">
        <v>1</v>
      </c>
      <c r="DB154" s="31">
        <v>1</v>
      </c>
      <c r="DC154" s="31">
        <v>1</v>
      </c>
    </row>
    <row r="155" spans="1:108">
      <c r="A155" s="113" t="s">
        <v>1315</v>
      </c>
      <c r="B155" s="113" t="s">
        <v>117</v>
      </c>
      <c r="C155" s="37"/>
      <c r="E155" s="31">
        <v>16</v>
      </c>
      <c r="F155" s="31" t="str">
        <f>CONCATENATE("Strength ",MIN(MAX(ROUND(SQRT((IF(J155="",AxeDamage,J155)+IF(J155="",AxeDamage,J155)+IF(K155="",AxeDamageRange,K155))*(E155/1.4))+1,0),5),15),";Blackrock 2")</f>
        <v>Strength 11;Blackrock 2</v>
      </c>
      <c r="L155" s="31">
        <v>-21</v>
      </c>
      <c r="Q155" s="31">
        <v>8</v>
      </c>
      <c r="S155" s="31">
        <v>4.8</v>
      </c>
      <c r="T155" s="31">
        <v>2000</v>
      </c>
      <c r="BR155" s="33"/>
      <c r="BS155" s="34"/>
      <c r="CA155" s="44"/>
      <c r="CB155" s="44"/>
      <c r="CF155" s="35" t="s">
        <v>1296</v>
      </c>
      <c r="CH155" s="44"/>
      <c r="CV155" s="36" t="s">
        <v>1312</v>
      </c>
      <c r="CW155" s="33"/>
      <c r="CX155" s="33"/>
      <c r="CY155" s="33"/>
      <c r="CZ155" s="113" t="s">
        <v>1421</v>
      </c>
      <c r="DA155" s="31">
        <v>1</v>
      </c>
      <c r="DB155" s="31">
        <v>1</v>
      </c>
      <c r="DC155" s="31">
        <v>1</v>
      </c>
    </row>
    <row r="156" spans="1:108">
      <c r="A156" s="113" t="s">
        <v>1316</v>
      </c>
      <c r="B156" s="113" t="s">
        <v>117</v>
      </c>
      <c r="C156" s="37"/>
      <c r="E156" s="31">
        <v>17</v>
      </c>
      <c r="F156" s="31" t="str">
        <f>CONCATENATE("Strength ",MIN(MAX(ROUND(SQRT((IF(J156="",AxeDamage,J156)+IF(J156="",AxeDamage,J156)+IF(K156="",AxeDamageRange,K156))*(E156/1.4))+1,0),5),15),";Blackrock 2")</f>
        <v>Strength 11;Blackrock 2</v>
      </c>
      <c r="L156" s="31">
        <v>-22</v>
      </c>
      <c r="Q156" s="31">
        <v>8</v>
      </c>
      <c r="S156" s="31">
        <v>4.8</v>
      </c>
      <c r="T156" s="31">
        <v>2000</v>
      </c>
      <c r="BR156" s="33"/>
      <c r="BS156" s="34"/>
      <c r="CA156" s="44"/>
      <c r="CB156" s="44"/>
      <c r="CF156" s="35" t="s">
        <v>1296</v>
      </c>
      <c r="CH156" s="44"/>
      <c r="CV156" s="36" t="s">
        <v>1312</v>
      </c>
      <c r="CW156" s="33"/>
      <c r="CX156" s="33"/>
      <c r="CY156" s="33"/>
      <c r="CZ156" s="113" t="s">
        <v>1421</v>
      </c>
      <c r="DA156" s="31">
        <v>1</v>
      </c>
      <c r="DB156" s="31">
        <v>1</v>
      </c>
      <c r="DC156" s="31">
        <v>1</v>
      </c>
    </row>
    <row r="157" spans="1:108">
      <c r="A157" s="113" t="s">
        <v>1317</v>
      </c>
      <c r="B157" s="113" t="s">
        <v>117</v>
      </c>
      <c r="C157" s="37"/>
      <c r="E157" s="31">
        <v>18</v>
      </c>
      <c r="F157" s="31" t="str">
        <f>CONCATENATE("Strength ",MIN(MAX(ROUND(SQRT((IF(J157="",AxeDamage,J157)+IF(J157="",AxeDamage,J157)+IF(K157="",AxeDamageRange,K157))*(E157/1.4))+1,0),5),15),";Blackrock 2")</f>
        <v>Strength 11;Blackrock 2</v>
      </c>
      <c r="L157" s="31">
        <v>-23</v>
      </c>
      <c r="Q157" s="31">
        <v>8</v>
      </c>
      <c r="S157" s="31">
        <v>4.8</v>
      </c>
      <c r="T157" s="31">
        <v>2000</v>
      </c>
      <c r="BR157" s="33"/>
      <c r="BS157" s="34"/>
      <c r="CA157" s="44"/>
      <c r="CB157" s="44"/>
      <c r="CF157" s="35" t="s">
        <v>1296</v>
      </c>
      <c r="CH157" s="44"/>
      <c r="CV157" s="36" t="s">
        <v>1312</v>
      </c>
      <c r="CW157" s="33"/>
      <c r="CX157" s="33"/>
      <c r="CY157" s="33"/>
      <c r="CZ157" s="113" t="s">
        <v>1421</v>
      </c>
      <c r="DA157" s="31">
        <v>1</v>
      </c>
      <c r="DB157" s="31">
        <v>1</v>
      </c>
      <c r="DC157" s="31">
        <v>1</v>
      </c>
    </row>
    <row r="158" spans="1:108">
      <c r="A158" s="113" t="s">
        <v>1318</v>
      </c>
      <c r="B158" s="113" t="s">
        <v>117</v>
      </c>
      <c r="C158" s="37"/>
      <c r="E158" s="31">
        <v>19</v>
      </c>
      <c r="F158" s="31" t="str">
        <f>CONCATENATE("Strength ",MIN(MAX(ROUND(SQRT((IF(J158="",AxeDamage,J158)+IF(J158="",AxeDamage,J158)+IF(K158="",AxeDamageRange,K158))*(E158/1.4))+1,0),5),15),";Blackrock 3")</f>
        <v>Strength 11;Blackrock 3</v>
      </c>
      <c r="L158" s="31">
        <v>-24</v>
      </c>
      <c r="Q158" s="31">
        <v>8</v>
      </c>
      <c r="S158" s="31">
        <v>4.8</v>
      </c>
      <c r="T158" s="31">
        <v>2000</v>
      </c>
      <c r="BR158" s="33"/>
      <c r="BS158" s="34"/>
      <c r="CA158" s="44"/>
      <c r="CB158" s="44"/>
      <c r="CF158" s="35" t="s">
        <v>1296</v>
      </c>
      <c r="CH158" s="44"/>
      <c r="CV158" s="36" t="s">
        <v>1312</v>
      </c>
      <c r="CW158" s="33"/>
      <c r="CX158" s="33"/>
      <c r="CY158" s="33"/>
      <c r="CZ158" s="113" t="s">
        <v>1421</v>
      </c>
      <c r="DA158" s="31">
        <v>1</v>
      </c>
      <c r="DB158" s="31">
        <v>1</v>
      </c>
      <c r="DC158" s="31">
        <v>1</v>
      </c>
    </row>
    <row r="159" spans="1:108">
      <c r="A159" s="113" t="s">
        <v>1319</v>
      </c>
      <c r="B159" s="113" t="s">
        <v>117</v>
      </c>
      <c r="C159" s="37"/>
      <c r="E159" s="31">
        <v>20</v>
      </c>
      <c r="F159" s="31" t="str">
        <f>CONCATENATE("Strength ",MIN(MAX(ROUND(SQRT((IF(J159="",AxeDamage,J159)+IF(J159="",AxeDamage,J159)+IF(K159="",AxeDamageRange,K159))*(E159/1.4))+1,0),5),15),";Blackrock 3")</f>
        <v>Strength 12;Blackrock 3</v>
      </c>
      <c r="L159" s="31">
        <v>-25</v>
      </c>
      <c r="Q159" s="31">
        <v>8</v>
      </c>
      <c r="S159" s="31">
        <v>4.8</v>
      </c>
      <c r="T159" s="31">
        <v>2000</v>
      </c>
      <c r="BR159" s="33"/>
      <c r="BS159" s="34"/>
      <c r="CA159" s="44"/>
      <c r="CB159" s="44"/>
      <c r="CF159" s="35" t="s">
        <v>1296</v>
      </c>
      <c r="CH159" s="44"/>
      <c r="CV159" s="36" t="s">
        <v>1312</v>
      </c>
      <c r="CW159" s="33"/>
      <c r="CX159" s="33"/>
      <c r="CY159" s="33"/>
      <c r="CZ159" s="113" t="s">
        <v>1421</v>
      </c>
      <c r="DA159" s="31">
        <v>1</v>
      </c>
      <c r="DB159" s="31">
        <v>1</v>
      </c>
      <c r="DC159" s="31">
        <v>1</v>
      </c>
    </row>
    <row r="160" spans="1:108" s="27" customFormat="1">
      <c r="A160" s="27" t="s">
        <v>129</v>
      </c>
      <c r="C160" s="27" t="s">
        <v>73</v>
      </c>
      <c r="D160" s="27">
        <v>1</v>
      </c>
      <c r="F160" s="27" t="s">
        <v>704</v>
      </c>
      <c r="G160" s="27" t="s">
        <v>607</v>
      </c>
      <c r="H160" s="27">
        <v>3</v>
      </c>
      <c r="I160" s="27" t="s">
        <v>74</v>
      </c>
      <c r="J160" s="27">
        <v>3</v>
      </c>
      <c r="K160" s="27">
        <v>1</v>
      </c>
      <c r="L160" s="27">
        <v>-10</v>
      </c>
      <c r="N160" s="27">
        <v>2</v>
      </c>
      <c r="O160" s="27">
        <v>0</v>
      </c>
      <c r="P160" s="27">
        <v>1</v>
      </c>
      <c r="Q160" s="27">
        <v>6</v>
      </c>
      <c r="R160" s="27">
        <v>6</v>
      </c>
      <c r="S160" s="27">
        <v>3.4</v>
      </c>
      <c r="T160" s="27">
        <v>3000</v>
      </c>
      <c r="U160" s="27">
        <v>0</v>
      </c>
      <c r="W160" s="27" t="s">
        <v>130</v>
      </c>
      <c r="Y160" s="27" t="s">
        <v>76</v>
      </c>
      <c r="CG160" s="27" t="s">
        <v>730</v>
      </c>
      <c r="CH160" s="27">
        <v>0</v>
      </c>
      <c r="DC160" s="27">
        <v>0</v>
      </c>
      <c r="DD160" s="27">
        <v>0</v>
      </c>
    </row>
    <row r="161" spans="1:110" s="81" customFormat="1">
      <c r="A161" s="81" t="s">
        <v>148</v>
      </c>
      <c r="B161" s="81" t="s">
        <v>129</v>
      </c>
      <c r="E161" s="81">
        <v>5</v>
      </c>
      <c r="F161" s="81" t="s">
        <v>863</v>
      </c>
      <c r="K161" s="81">
        <v>4</v>
      </c>
      <c r="L161" s="81">
        <v>-15</v>
      </c>
      <c r="O161" s="81">
        <v>2</v>
      </c>
      <c r="Q161" s="81">
        <v>10</v>
      </c>
      <c r="S161" s="81">
        <v>6</v>
      </c>
      <c r="AA161" s="81">
        <v>1</v>
      </c>
      <c r="AP161" s="81">
        <v>1</v>
      </c>
      <c r="BR161" s="83"/>
      <c r="BS161" s="92"/>
      <c r="CA161" s="81" t="s">
        <v>130</v>
      </c>
      <c r="CC161" s="82"/>
      <c r="CD161" s="82" t="s">
        <v>432</v>
      </c>
      <c r="CE161" s="82" t="s">
        <v>1037</v>
      </c>
      <c r="CF161" s="82"/>
      <c r="CV161" s="93" t="s">
        <v>1701</v>
      </c>
      <c r="DD161" s="81">
        <v>1</v>
      </c>
    </row>
    <row r="162" spans="1:110" s="81" customFormat="1">
      <c r="A162" s="81" t="s">
        <v>1721</v>
      </c>
      <c r="B162" s="81" t="s">
        <v>129</v>
      </c>
      <c r="E162" s="81">
        <v>15</v>
      </c>
      <c r="F162" s="81" t="s">
        <v>1722</v>
      </c>
      <c r="L162" s="81">
        <v>-25</v>
      </c>
      <c r="Q162" s="81">
        <v>10</v>
      </c>
      <c r="S162" s="81">
        <v>7</v>
      </c>
      <c r="T162" s="81">
        <v>5000</v>
      </c>
      <c r="AA162" s="81">
        <v>1</v>
      </c>
      <c r="AD162" s="81">
        <v>1</v>
      </c>
      <c r="BL162" s="81">
        <v>1</v>
      </c>
      <c r="BR162" s="83"/>
      <c r="BS162" s="92"/>
      <c r="CA162" s="81" t="s">
        <v>130</v>
      </c>
      <c r="CC162" s="82"/>
      <c r="CD162" s="82"/>
      <c r="CE162" s="82"/>
      <c r="CF162" s="82" t="s">
        <v>484</v>
      </c>
      <c r="CV162" s="36" t="s">
        <v>1743</v>
      </c>
      <c r="DD162" s="81">
        <v>1</v>
      </c>
    </row>
    <row r="163" spans="1:110" s="94" customFormat="1">
      <c r="A163" s="94" t="s">
        <v>139</v>
      </c>
      <c r="B163" s="94" t="s">
        <v>129</v>
      </c>
      <c r="E163" s="94">
        <v>15</v>
      </c>
      <c r="F163" s="94" t="str">
        <f>CONCATENATE("Strength ",ROUND(4+(((IF(J163="",ClubDamage,J163)+IF(J163="",ClubDamage,J163)+IF(K163="",ClubDamageRange,K163))/2-3)/(10-3))*5+($E163/3),0))</f>
        <v>Strength 9</v>
      </c>
      <c r="L163" s="31">
        <f t="shared" ref="L163" si="36">IF(E163=2,-5,IF(E163=3,-10,IF(E163=4,-15,IF(OR(E163=5,E163=6),-20,IF(OR(E163=7,E163=8),-25,IF(E163=9,-30,-35))))))</f>
        <v>-35</v>
      </c>
      <c r="BS163" s="95"/>
      <c r="CC163" s="102"/>
      <c r="CD163" s="102"/>
      <c r="CV163" s="97" t="s">
        <v>140</v>
      </c>
    </row>
    <row r="164" spans="1:110">
      <c r="A164" s="31" t="s">
        <v>688</v>
      </c>
      <c r="B164" s="31" t="s">
        <v>129</v>
      </c>
      <c r="E164" s="31">
        <v>1</v>
      </c>
      <c r="F164" s="31" t="str">
        <f t="shared" ref="F164:F190" si="37">CONCATENATE("Strength ",MIN(MAX(ROUND(SQRT((IF(J164="",ClubDamage,J164)+IF(J164="",ClubDamage,J164)+IF(K164="",ClubDamageRange,K164))*(E164/1.4))+1,0),5),15))</f>
        <v>Strength 5</v>
      </c>
      <c r="P164" s="31">
        <v>0</v>
      </c>
      <c r="S164" s="31">
        <v>0.1</v>
      </c>
      <c r="T164" s="31">
        <v>2000</v>
      </c>
      <c r="CC164" s="43"/>
      <c r="CD164" s="43"/>
      <c r="CE164" s="43"/>
      <c r="CF164" s="43"/>
      <c r="CV164" s="36" t="s">
        <v>1105</v>
      </c>
    </row>
    <row r="165" spans="1:110">
      <c r="A165" s="31" t="s">
        <v>135</v>
      </c>
      <c r="B165" s="31" t="s">
        <v>129</v>
      </c>
      <c r="E165" s="31">
        <v>1</v>
      </c>
      <c r="F165" s="31" t="str">
        <f t="shared" si="37"/>
        <v>Strength 5</v>
      </c>
      <c r="P165" s="31">
        <v>0</v>
      </c>
      <c r="S165" s="31">
        <v>0.3</v>
      </c>
      <c r="T165" s="31">
        <v>2000</v>
      </c>
      <c r="CV165" s="36" t="s">
        <v>1104</v>
      </c>
      <c r="CZ165" s="31" t="s">
        <v>520</v>
      </c>
      <c r="DA165" s="31">
        <v>1</v>
      </c>
      <c r="DB165" s="31">
        <v>1</v>
      </c>
      <c r="DC165" s="31">
        <v>1</v>
      </c>
      <c r="DF165" s="31">
        <v>20</v>
      </c>
    </row>
    <row r="166" spans="1:110">
      <c r="A166" s="31" t="s">
        <v>141</v>
      </c>
      <c r="B166" s="31" t="s">
        <v>129</v>
      </c>
      <c r="E166" s="31">
        <v>1</v>
      </c>
      <c r="F166" s="31" t="str">
        <f t="shared" si="37"/>
        <v>Strength 5</v>
      </c>
      <c r="P166" s="31">
        <v>0</v>
      </c>
      <c r="S166" s="31">
        <v>0.4</v>
      </c>
      <c r="T166" s="31">
        <v>1000</v>
      </c>
      <c r="CV166" s="36" t="s">
        <v>142</v>
      </c>
      <c r="CZ166" s="31" t="s">
        <v>520</v>
      </c>
      <c r="DA166" s="31">
        <v>1</v>
      </c>
      <c r="DB166" s="31">
        <v>1</v>
      </c>
      <c r="DC166" s="31">
        <v>1</v>
      </c>
      <c r="DF166" s="31">
        <v>20</v>
      </c>
    </row>
    <row r="167" spans="1:110">
      <c r="A167" s="31" t="s">
        <v>488</v>
      </c>
      <c r="B167" s="31" t="s">
        <v>129</v>
      </c>
      <c r="E167" s="31">
        <v>1</v>
      </c>
      <c r="F167" s="31" t="str">
        <f t="shared" si="37"/>
        <v>Strength 5</v>
      </c>
      <c r="Q167" s="31">
        <v>8</v>
      </c>
      <c r="BR167" s="33"/>
      <c r="BS167" s="34"/>
      <c r="CA167" s="31" t="s">
        <v>130</v>
      </c>
      <c r="CV167" s="36" t="s">
        <v>705</v>
      </c>
    </row>
    <row r="168" spans="1:110">
      <c r="A168" s="31" t="s">
        <v>137</v>
      </c>
      <c r="B168" s="31" t="s">
        <v>129</v>
      </c>
      <c r="E168" s="31">
        <v>1</v>
      </c>
      <c r="F168" s="31" t="str">
        <f t="shared" si="37"/>
        <v>Strength 5</v>
      </c>
      <c r="H168" s="31">
        <v>4</v>
      </c>
      <c r="J168" s="31">
        <v>3</v>
      </c>
      <c r="K168" s="31">
        <v>2</v>
      </c>
      <c r="N168" s="31">
        <v>0</v>
      </c>
      <c r="O168" s="31">
        <v>0</v>
      </c>
      <c r="Q168" s="31">
        <v>0</v>
      </c>
      <c r="S168" s="31">
        <v>0.5</v>
      </c>
      <c r="T168" s="31">
        <v>200</v>
      </c>
      <c r="BR168" s="33"/>
      <c r="BS168" s="34"/>
      <c r="CE168" s="31" t="s">
        <v>1244</v>
      </c>
      <c r="CV168" s="36" t="s">
        <v>138</v>
      </c>
      <c r="CZ168" s="113" t="s">
        <v>520</v>
      </c>
      <c r="DA168" s="31">
        <v>1</v>
      </c>
      <c r="DB168" s="31">
        <v>1</v>
      </c>
      <c r="DC168" s="31">
        <v>1</v>
      </c>
      <c r="DF168" s="31">
        <v>20</v>
      </c>
    </row>
    <row r="169" spans="1:110">
      <c r="A169" s="31" t="s">
        <v>131</v>
      </c>
      <c r="B169" s="31" t="s">
        <v>129</v>
      </c>
      <c r="E169" s="31">
        <v>1</v>
      </c>
      <c r="F169" s="31" t="str">
        <f t="shared" si="37"/>
        <v>Strength 5</v>
      </c>
      <c r="Q169" s="31">
        <v>5</v>
      </c>
      <c r="S169" s="31">
        <v>0.1</v>
      </c>
      <c r="T169" s="31">
        <v>500</v>
      </c>
      <c r="BR169" s="33"/>
      <c r="BS169" s="34"/>
      <c r="CV169" s="36" t="s">
        <v>693</v>
      </c>
      <c r="CZ169" s="31" t="s">
        <v>132</v>
      </c>
      <c r="DA169" s="31">
        <v>1</v>
      </c>
      <c r="DB169" s="31">
        <v>1</v>
      </c>
      <c r="DC169" s="31">
        <v>1</v>
      </c>
      <c r="DF169" s="31">
        <v>20</v>
      </c>
    </row>
    <row r="170" spans="1:110">
      <c r="A170" s="113" t="s">
        <v>133</v>
      </c>
      <c r="B170" s="31" t="s">
        <v>129</v>
      </c>
      <c r="E170" s="31">
        <v>2</v>
      </c>
      <c r="F170" s="31" t="str">
        <f t="shared" si="37"/>
        <v>Strength 5</v>
      </c>
      <c r="K170" s="31">
        <v>2</v>
      </c>
      <c r="Q170" s="31">
        <v>7</v>
      </c>
      <c r="S170" s="31">
        <v>0.3</v>
      </c>
      <c r="T170" s="31">
        <v>600</v>
      </c>
      <c r="BR170" s="33"/>
      <c r="BS170" s="34"/>
      <c r="CA170" s="31" t="s">
        <v>130</v>
      </c>
      <c r="CV170" s="36" t="s">
        <v>134</v>
      </c>
    </row>
    <row r="171" spans="1:110">
      <c r="A171" s="31" t="s">
        <v>143</v>
      </c>
      <c r="B171" s="31" t="s">
        <v>129</v>
      </c>
      <c r="E171" s="31">
        <v>1</v>
      </c>
      <c r="F171" s="31" t="str">
        <f t="shared" si="37"/>
        <v>Strength 5</v>
      </c>
      <c r="L171" s="31">
        <v>-5</v>
      </c>
      <c r="BR171" s="33"/>
      <c r="BS171" s="34"/>
      <c r="CA171" s="31" t="s">
        <v>130</v>
      </c>
      <c r="CV171" s="36" t="s">
        <v>811</v>
      </c>
      <c r="CZ171" s="31" t="s">
        <v>130</v>
      </c>
      <c r="DA171" s="31">
        <v>1</v>
      </c>
      <c r="DB171" s="31">
        <v>1</v>
      </c>
      <c r="DC171" s="31">
        <v>1</v>
      </c>
    </row>
    <row r="172" spans="1:110">
      <c r="A172" s="31" t="s">
        <v>547</v>
      </c>
      <c r="B172" s="31" t="s">
        <v>129</v>
      </c>
      <c r="E172" s="31">
        <v>2</v>
      </c>
      <c r="F172" s="31" t="str">
        <f t="shared" si="37"/>
        <v>Strength 5</v>
      </c>
      <c r="L172" s="31">
        <f t="shared" ref="L172:L176" si="38">IF(E172=2,-5,IF(E172=3,-10,IF(E172=4,-15,IF(OR(E172=5,E172=6),-20,IF(OR(E172=7,E172=8),-25,IF(E172=9,-30,-35))))))</f>
        <v>-5</v>
      </c>
      <c r="BR172" s="33"/>
      <c r="BS172" s="34"/>
      <c r="CA172" s="31" t="s">
        <v>130</v>
      </c>
      <c r="CV172" s="36" t="s">
        <v>1843</v>
      </c>
      <c r="CZ172" s="31" t="s">
        <v>130</v>
      </c>
      <c r="DA172" s="31">
        <v>1</v>
      </c>
      <c r="DB172" s="31">
        <v>1</v>
      </c>
      <c r="DC172" s="31">
        <v>1</v>
      </c>
    </row>
    <row r="173" spans="1:110">
      <c r="A173" s="113" t="s">
        <v>1844</v>
      </c>
      <c r="B173" s="31" t="s">
        <v>129</v>
      </c>
      <c r="E173" s="31">
        <v>3</v>
      </c>
      <c r="F173" s="31" t="str">
        <f t="shared" ref="F173" si="39">CONCATENATE("Strength ",MIN(MAX(ROUND(SQRT((IF(J173="",ClubDamage,J173)+IF(J173="",ClubDamage,J173)+IF(K173="",ClubDamageRange,K173))*(E173/1.4))+1,0),5),15))</f>
        <v>Strength 5</v>
      </c>
      <c r="L173" s="31">
        <f t="shared" ref="L173" si="40">IF(E173=2,-5,IF(E173=3,-10,IF(E173=4,-15,IF(OR(E173=5,E173=6),-20,IF(OR(E173=7,E173=8),-25,IF(E173=9,-30,-35))))))</f>
        <v>-10</v>
      </c>
      <c r="BR173" s="33"/>
      <c r="BS173" s="34"/>
      <c r="CA173" s="31" t="s">
        <v>130</v>
      </c>
      <c r="CV173" s="36" t="s">
        <v>1845</v>
      </c>
      <c r="CZ173" s="31" t="s">
        <v>130</v>
      </c>
      <c r="DA173" s="31">
        <v>1</v>
      </c>
      <c r="DB173" s="31">
        <v>1</v>
      </c>
      <c r="DC173" s="31">
        <v>1</v>
      </c>
    </row>
    <row r="174" spans="1:110" s="27" customFormat="1">
      <c r="A174" s="31" t="s">
        <v>147</v>
      </c>
      <c r="B174" s="31" t="s">
        <v>129</v>
      </c>
      <c r="C174" s="37"/>
      <c r="D174" s="31"/>
      <c r="E174" s="31">
        <v>4</v>
      </c>
      <c r="F174" s="31" t="str">
        <f>CONCATENATE("Strength ",MIN(MAX(ROUND(SQRT((IF(J174="",ClubDamage,J174)+IF(J174="",ClubDamage,J174)+IF(K174="",ClubDamageRange,K174))*(E174/1.4))+1,0),5),15))</f>
        <v>Strength 5</v>
      </c>
      <c r="G174" s="31"/>
      <c r="H174" s="31"/>
      <c r="I174" s="31"/>
      <c r="J174" s="31"/>
      <c r="K174" s="31"/>
      <c r="L174" s="31">
        <f>IF(E174=2,-5,IF(E174=3,-10,IF(E174=4,-15,IF(OR(E174=5,E174=6),-20,IF(OR(E174=7,E174=8),-25,IF(E174=9,-30,-35))))))</f>
        <v>-15</v>
      </c>
      <c r="M174" s="31"/>
      <c r="N174" s="31"/>
      <c r="O174" s="31"/>
      <c r="P174" s="31"/>
      <c r="Q174" s="31"/>
      <c r="R174" s="31"/>
      <c r="S174" s="31"/>
      <c r="T174" s="31"/>
      <c r="U174" s="31"/>
      <c r="V174" s="31"/>
      <c r="W174" s="31"/>
      <c r="X174" s="31"/>
      <c r="Y174" s="31"/>
      <c r="Z174" s="31"/>
      <c r="AA174" s="31"/>
      <c r="AB174" s="31"/>
      <c r="AC174" s="31"/>
      <c r="AD174" s="31"/>
      <c r="AE174" s="31"/>
      <c r="AF174" s="31"/>
      <c r="AG174" s="31"/>
      <c r="AH174" s="31"/>
      <c r="AI174" s="31"/>
      <c r="AJ174" s="31"/>
      <c r="AK174" s="31"/>
      <c r="AL174" s="31"/>
      <c r="AM174" s="31"/>
      <c r="AN174" s="31"/>
      <c r="AO174" s="31"/>
      <c r="AP174" s="31"/>
      <c r="AQ174" s="31"/>
      <c r="AR174" s="31"/>
      <c r="AS174" s="31"/>
      <c r="AT174" s="31"/>
      <c r="AU174" s="31"/>
      <c r="AV174" s="31"/>
      <c r="AW174" s="31"/>
      <c r="AX174" s="31"/>
      <c r="AY174" s="31"/>
      <c r="AZ174" s="31"/>
      <c r="BA174" s="31"/>
      <c r="BB174" s="31"/>
      <c r="BC174" s="31"/>
      <c r="BD174" s="31"/>
      <c r="BE174" s="31"/>
      <c r="BF174" s="31"/>
      <c r="BG174" s="31"/>
      <c r="BH174" s="31"/>
      <c r="BI174" s="31"/>
      <c r="BJ174" s="31"/>
      <c r="BK174" s="31"/>
      <c r="BL174" s="31"/>
      <c r="BM174" s="31"/>
      <c r="BN174" s="31"/>
      <c r="BO174" s="31"/>
      <c r="BP174" s="31"/>
      <c r="BQ174" s="31"/>
      <c r="BR174" s="33"/>
      <c r="BS174" s="34"/>
      <c r="BT174" s="31"/>
      <c r="BU174" s="31"/>
      <c r="BV174" s="31"/>
      <c r="BW174" s="31"/>
      <c r="BX174" s="31"/>
      <c r="BY174" s="31"/>
      <c r="BZ174" s="31"/>
      <c r="CA174" s="31" t="s">
        <v>130</v>
      </c>
      <c r="CB174" s="31"/>
      <c r="CC174" s="35"/>
      <c r="CD174" s="35"/>
      <c r="CE174" s="35"/>
      <c r="CF174" s="35"/>
      <c r="CG174" s="31"/>
      <c r="CH174" s="31"/>
      <c r="CI174" s="31"/>
      <c r="CJ174" s="31"/>
      <c r="CK174" s="31"/>
      <c r="CL174" s="31"/>
      <c r="CM174" s="31"/>
      <c r="CN174" s="31"/>
      <c r="CO174" s="31"/>
      <c r="CP174" s="31"/>
      <c r="CQ174" s="31"/>
      <c r="CR174" s="31"/>
      <c r="CS174" s="31"/>
      <c r="CT174" s="31"/>
      <c r="CU174" s="31"/>
      <c r="CV174" s="36" t="s">
        <v>813</v>
      </c>
      <c r="CW174" s="33"/>
      <c r="CX174" s="33"/>
      <c r="CY174" s="33"/>
      <c r="CZ174" s="31" t="s">
        <v>130</v>
      </c>
      <c r="DA174" s="31">
        <v>1</v>
      </c>
      <c r="DB174" s="31">
        <v>1</v>
      </c>
      <c r="DC174" s="31">
        <v>1</v>
      </c>
      <c r="DD174" s="31"/>
    </row>
    <row r="175" spans="1:110" s="27" customFormat="1">
      <c r="A175" s="113" t="s">
        <v>1856</v>
      </c>
      <c r="B175" s="31" t="s">
        <v>129</v>
      </c>
      <c r="C175" s="37"/>
      <c r="D175" s="31"/>
      <c r="E175" s="31">
        <v>5</v>
      </c>
      <c r="F175" s="31" t="str">
        <f>CONCATENATE("Strength ",MIN(MAX(ROUND(SQRT((IF(J175="",ClubDamage,J175)+IF(J175="",ClubDamage,J175)+IF(K175="",ClubDamageRange,K175))*(E175/1.4))+1,0),5),15))</f>
        <v>Strength 6</v>
      </c>
      <c r="G175" s="31"/>
      <c r="H175" s="31"/>
      <c r="I175" s="31"/>
      <c r="J175" s="31"/>
      <c r="K175" s="31"/>
      <c r="L175" s="31">
        <f>IF(E175=2,-5,IF(E175=3,-10,IF(E175=4,-15,IF(OR(E175=5,E175=6),-20,IF(OR(E175=7,E175=8),-25,IF(E175=9,-30,-35))))))</f>
        <v>-20</v>
      </c>
      <c r="M175" s="31"/>
      <c r="N175" s="31"/>
      <c r="O175" s="31"/>
      <c r="P175" s="31"/>
      <c r="Q175" s="31"/>
      <c r="R175" s="31"/>
      <c r="S175" s="31"/>
      <c r="T175" s="31"/>
      <c r="U175" s="31"/>
      <c r="V175" s="31"/>
      <c r="W175" s="31"/>
      <c r="X175" s="31"/>
      <c r="Y175" s="31"/>
      <c r="Z175" s="31"/>
      <c r="AA175" s="31"/>
      <c r="AB175" s="31"/>
      <c r="AC175" s="31"/>
      <c r="AD175" s="31"/>
      <c r="AE175" s="31"/>
      <c r="AF175" s="31"/>
      <c r="AG175" s="31"/>
      <c r="AH175" s="31"/>
      <c r="AI175" s="31"/>
      <c r="AJ175" s="31"/>
      <c r="AK175" s="31"/>
      <c r="AL175" s="31"/>
      <c r="AM175" s="31"/>
      <c r="AN175" s="31"/>
      <c r="AO175" s="31"/>
      <c r="AP175" s="31"/>
      <c r="AQ175" s="31"/>
      <c r="AR175" s="31"/>
      <c r="AS175" s="31"/>
      <c r="AT175" s="31"/>
      <c r="AU175" s="31"/>
      <c r="AV175" s="31"/>
      <c r="AW175" s="31"/>
      <c r="AX175" s="31"/>
      <c r="AY175" s="31"/>
      <c r="AZ175" s="31"/>
      <c r="BA175" s="31"/>
      <c r="BB175" s="31"/>
      <c r="BC175" s="31"/>
      <c r="BD175" s="31"/>
      <c r="BE175" s="31"/>
      <c r="BF175" s="31"/>
      <c r="BG175" s="31"/>
      <c r="BH175" s="31"/>
      <c r="BI175" s="31"/>
      <c r="BJ175" s="31"/>
      <c r="BK175" s="31"/>
      <c r="BL175" s="31"/>
      <c r="BM175" s="31"/>
      <c r="BN175" s="31"/>
      <c r="BO175" s="31"/>
      <c r="BP175" s="31"/>
      <c r="BQ175" s="31"/>
      <c r="BR175" s="33"/>
      <c r="BS175" s="34"/>
      <c r="BT175" s="31"/>
      <c r="BU175" s="31"/>
      <c r="BV175" s="31"/>
      <c r="BW175" s="31"/>
      <c r="BX175" s="31"/>
      <c r="BY175" s="31"/>
      <c r="BZ175" s="31"/>
      <c r="CA175" s="31" t="s">
        <v>130</v>
      </c>
      <c r="CB175" s="31"/>
      <c r="CC175" s="35"/>
      <c r="CD175" s="35"/>
      <c r="CE175" s="35"/>
      <c r="CF175" s="35"/>
      <c r="CG175" s="31"/>
      <c r="CH175" s="31"/>
      <c r="CI175" s="31"/>
      <c r="CJ175" s="31"/>
      <c r="CK175" s="31"/>
      <c r="CL175" s="31"/>
      <c r="CM175" s="31"/>
      <c r="CN175" s="31"/>
      <c r="CO175" s="31"/>
      <c r="CP175" s="31"/>
      <c r="CQ175" s="31"/>
      <c r="CR175" s="31"/>
      <c r="CS175" s="31"/>
      <c r="CT175" s="31"/>
      <c r="CU175" s="31"/>
      <c r="CV175" s="36" t="s">
        <v>1857</v>
      </c>
      <c r="CW175" s="33"/>
      <c r="CX175" s="33"/>
      <c r="CY175" s="33"/>
      <c r="CZ175" s="31" t="s">
        <v>130</v>
      </c>
      <c r="DA175" s="31">
        <v>1</v>
      </c>
      <c r="DB175" s="31">
        <v>1</v>
      </c>
      <c r="DC175" s="31">
        <v>1</v>
      </c>
      <c r="DD175" s="31"/>
    </row>
    <row r="176" spans="1:110">
      <c r="A176" s="31" t="s">
        <v>144</v>
      </c>
      <c r="B176" s="31" t="s">
        <v>129</v>
      </c>
      <c r="E176" s="31">
        <v>6</v>
      </c>
      <c r="F176" s="31" t="str">
        <f t="shared" si="37"/>
        <v>Strength 6</v>
      </c>
      <c r="L176" s="31">
        <f t="shared" si="38"/>
        <v>-20</v>
      </c>
      <c r="BR176" s="33"/>
      <c r="BS176" s="34"/>
      <c r="CA176" s="31" t="s">
        <v>130</v>
      </c>
      <c r="CV176" s="36" t="s">
        <v>705</v>
      </c>
      <c r="CZ176" s="31" t="s">
        <v>130</v>
      </c>
      <c r="DA176" s="31">
        <v>1</v>
      </c>
      <c r="DB176" s="31">
        <v>1</v>
      </c>
      <c r="DC176" s="31">
        <v>1</v>
      </c>
    </row>
    <row r="177" spans="1:107">
      <c r="A177" s="31" t="s">
        <v>548</v>
      </c>
      <c r="B177" s="31" t="s">
        <v>129</v>
      </c>
      <c r="E177" s="31">
        <v>7</v>
      </c>
      <c r="F177" s="31" t="str">
        <f t="shared" si="37"/>
        <v>Strength 7</v>
      </c>
      <c r="L177" s="31">
        <v>-20</v>
      </c>
      <c r="BR177" s="33"/>
      <c r="BS177" s="34"/>
      <c r="CA177" s="31" t="s">
        <v>130</v>
      </c>
      <c r="CV177" s="36" t="s">
        <v>1846</v>
      </c>
      <c r="CZ177" s="31" t="s">
        <v>130</v>
      </c>
      <c r="DA177" s="31">
        <v>1</v>
      </c>
      <c r="DB177" s="31">
        <v>1</v>
      </c>
      <c r="DC177" s="31">
        <v>1</v>
      </c>
    </row>
    <row r="178" spans="1:107">
      <c r="A178" s="113" t="s">
        <v>1847</v>
      </c>
      <c r="B178" s="31" t="s">
        <v>129</v>
      </c>
      <c r="E178" s="31">
        <v>8</v>
      </c>
      <c r="F178" s="31" t="str">
        <f t="shared" ref="F178" si="41">CONCATENATE("Strength ",MIN(MAX(ROUND(SQRT((IF(J178="",ClubDamage,J178)+IF(J178="",ClubDamage,J178)+IF(K178="",ClubDamageRange,K178))*(E178/1.4))+1,0),5),15))</f>
        <v>Strength 7</v>
      </c>
      <c r="L178" s="31">
        <v>-20</v>
      </c>
      <c r="BR178" s="33"/>
      <c r="BS178" s="34"/>
      <c r="CA178" s="31" t="s">
        <v>130</v>
      </c>
      <c r="CV178" s="36" t="s">
        <v>1848</v>
      </c>
      <c r="CZ178" s="31" t="s">
        <v>130</v>
      </c>
      <c r="DA178" s="31">
        <v>1</v>
      </c>
      <c r="DB178" s="31">
        <v>1</v>
      </c>
      <c r="DC178" s="31">
        <v>1</v>
      </c>
    </row>
    <row r="179" spans="1:107">
      <c r="A179" s="31" t="s">
        <v>447</v>
      </c>
      <c r="B179" s="31" t="s">
        <v>129</v>
      </c>
      <c r="E179" s="31">
        <v>9</v>
      </c>
      <c r="F179" s="31" t="str">
        <f t="shared" si="37"/>
        <v>Strength 8</v>
      </c>
      <c r="L179" s="31">
        <v>-20</v>
      </c>
      <c r="BR179" s="33"/>
      <c r="BS179" s="34"/>
      <c r="CA179" s="31" t="s">
        <v>130</v>
      </c>
      <c r="CV179" s="36" t="s">
        <v>439</v>
      </c>
      <c r="CZ179" s="31" t="s">
        <v>130</v>
      </c>
      <c r="DA179" s="31">
        <v>1</v>
      </c>
      <c r="DB179" s="31">
        <v>1</v>
      </c>
      <c r="DC179" s="31">
        <v>1</v>
      </c>
    </row>
    <row r="180" spans="1:107">
      <c r="A180" s="31" t="s">
        <v>549</v>
      </c>
      <c r="B180" s="31" t="s">
        <v>129</v>
      </c>
      <c r="E180" s="31">
        <v>10</v>
      </c>
      <c r="F180" s="31" t="str">
        <f t="shared" si="37"/>
        <v>Strength 8</v>
      </c>
      <c r="L180" s="31">
        <v>-25</v>
      </c>
      <c r="BR180" s="33"/>
      <c r="BS180" s="34"/>
      <c r="CA180" s="31" t="s">
        <v>130</v>
      </c>
      <c r="CV180" s="36" t="s">
        <v>1850</v>
      </c>
      <c r="CZ180" s="31" t="s">
        <v>130</v>
      </c>
      <c r="DA180" s="31">
        <v>1</v>
      </c>
      <c r="DB180" s="31">
        <v>1</v>
      </c>
      <c r="DC180" s="31">
        <v>1</v>
      </c>
    </row>
    <row r="181" spans="1:107">
      <c r="A181" s="113" t="s">
        <v>1849</v>
      </c>
      <c r="B181" s="31" t="s">
        <v>129</v>
      </c>
      <c r="E181" s="31">
        <v>11</v>
      </c>
      <c r="F181" s="31" t="str">
        <f t="shared" ref="F181" si="42">CONCATENATE("Strength ",MIN(MAX(ROUND(SQRT((IF(J181="",ClubDamage,J181)+IF(J181="",ClubDamage,J181)+IF(K181="",ClubDamageRange,K181))*(E181/1.4))+1,0),5),15))</f>
        <v>Strength 8</v>
      </c>
      <c r="L181" s="31">
        <v>-25</v>
      </c>
      <c r="BR181" s="33"/>
      <c r="BS181" s="34"/>
      <c r="CA181" s="31" t="s">
        <v>130</v>
      </c>
      <c r="CV181" s="36" t="s">
        <v>1851</v>
      </c>
      <c r="CZ181" s="31" t="s">
        <v>130</v>
      </c>
      <c r="DA181" s="31">
        <v>1</v>
      </c>
      <c r="DB181" s="31">
        <v>1</v>
      </c>
      <c r="DC181" s="31">
        <v>1</v>
      </c>
    </row>
    <row r="182" spans="1:107">
      <c r="A182" s="31" t="s">
        <v>146</v>
      </c>
      <c r="B182" s="31" t="s">
        <v>129</v>
      </c>
      <c r="E182" s="31">
        <v>12</v>
      </c>
      <c r="F182" s="31" t="str">
        <f t="shared" si="37"/>
        <v>Strength 9</v>
      </c>
      <c r="L182" s="31">
        <v>-25</v>
      </c>
      <c r="BR182" s="33"/>
      <c r="BS182" s="34"/>
      <c r="CA182" s="31" t="s">
        <v>130</v>
      </c>
      <c r="CV182" s="36" t="s">
        <v>812</v>
      </c>
      <c r="CZ182" s="31" t="s">
        <v>130</v>
      </c>
      <c r="DA182" s="31">
        <v>1</v>
      </c>
      <c r="DB182" s="31">
        <v>1</v>
      </c>
      <c r="DC182" s="31">
        <v>1</v>
      </c>
    </row>
    <row r="183" spans="1:107">
      <c r="A183" s="31" t="s">
        <v>550</v>
      </c>
      <c r="B183" s="31" t="s">
        <v>129</v>
      </c>
      <c r="E183" s="31">
        <v>13</v>
      </c>
      <c r="F183" s="31" t="str">
        <f t="shared" si="37"/>
        <v>Strength 9</v>
      </c>
      <c r="L183" s="31">
        <v>-25</v>
      </c>
      <c r="BR183" s="33"/>
      <c r="BS183" s="34"/>
      <c r="CA183" s="31" t="s">
        <v>130</v>
      </c>
      <c r="CV183" s="36" t="s">
        <v>1852</v>
      </c>
      <c r="CZ183" s="31" t="s">
        <v>130</v>
      </c>
      <c r="DA183" s="31">
        <v>1</v>
      </c>
      <c r="DB183" s="31">
        <v>1</v>
      </c>
      <c r="DC183" s="31">
        <v>1</v>
      </c>
    </row>
    <row r="184" spans="1:107">
      <c r="A184" s="31" t="s">
        <v>551</v>
      </c>
      <c r="B184" s="31" t="s">
        <v>129</v>
      </c>
      <c r="E184" s="31">
        <v>14</v>
      </c>
      <c r="F184" s="31" t="str">
        <f t="shared" si="37"/>
        <v>Strength 9</v>
      </c>
      <c r="L184" s="31">
        <v>-25</v>
      </c>
      <c r="BR184" s="33"/>
      <c r="BS184" s="34"/>
      <c r="CA184" s="31" t="s">
        <v>130</v>
      </c>
      <c r="CV184" s="36" t="s">
        <v>1853</v>
      </c>
      <c r="CZ184" s="31" t="s">
        <v>130</v>
      </c>
      <c r="DA184" s="31">
        <v>1</v>
      </c>
      <c r="DB184" s="31">
        <v>1</v>
      </c>
      <c r="DC184" s="31">
        <v>1</v>
      </c>
    </row>
    <row r="185" spans="1:107">
      <c r="A185" s="31" t="s">
        <v>145</v>
      </c>
      <c r="B185" s="31" t="s">
        <v>129</v>
      </c>
      <c r="E185" s="31">
        <v>15</v>
      </c>
      <c r="F185" s="31" t="str">
        <f t="shared" si="37"/>
        <v>Strength 10</v>
      </c>
      <c r="L185" s="31">
        <v>-25</v>
      </c>
      <c r="BR185" s="33"/>
      <c r="BS185" s="34"/>
      <c r="CA185" s="31" t="s">
        <v>130</v>
      </c>
      <c r="CV185" s="36" t="s">
        <v>804</v>
      </c>
      <c r="CZ185" s="31" t="s">
        <v>130</v>
      </c>
      <c r="DA185" s="31">
        <v>1</v>
      </c>
      <c r="DB185" s="31">
        <v>1</v>
      </c>
      <c r="DC185" s="31">
        <v>1</v>
      </c>
    </row>
    <row r="186" spans="1:107">
      <c r="A186" s="31" t="s">
        <v>552</v>
      </c>
      <c r="B186" s="31" t="s">
        <v>129</v>
      </c>
      <c r="E186" s="31">
        <v>16</v>
      </c>
      <c r="F186" s="31" t="str">
        <f t="shared" si="37"/>
        <v>Strength 10</v>
      </c>
      <c r="L186" s="31">
        <v>-26</v>
      </c>
      <c r="BR186" s="33"/>
      <c r="BS186" s="34"/>
      <c r="CA186" s="31" t="s">
        <v>130</v>
      </c>
      <c r="CV186" s="36" t="s">
        <v>1854</v>
      </c>
      <c r="CZ186" s="31" t="s">
        <v>130</v>
      </c>
      <c r="DA186" s="31">
        <v>1</v>
      </c>
      <c r="DB186" s="31">
        <v>1</v>
      </c>
      <c r="DC186" s="31">
        <v>1</v>
      </c>
    </row>
    <row r="187" spans="1:107">
      <c r="A187" s="31" t="s">
        <v>553</v>
      </c>
      <c r="B187" s="31" t="s">
        <v>129</v>
      </c>
      <c r="E187" s="31">
        <v>17</v>
      </c>
      <c r="F187" s="31" t="str">
        <f t="shared" si="37"/>
        <v>Strength 10</v>
      </c>
      <c r="L187" s="31">
        <v>-27</v>
      </c>
      <c r="BR187" s="33"/>
      <c r="BS187" s="34"/>
      <c r="CA187" s="31" t="s">
        <v>130</v>
      </c>
      <c r="CV187" s="36" t="s">
        <v>1855</v>
      </c>
      <c r="CZ187" s="31" t="s">
        <v>130</v>
      </c>
      <c r="DA187" s="31">
        <v>1</v>
      </c>
      <c r="DB187" s="31">
        <v>1</v>
      </c>
      <c r="DC187" s="31">
        <v>1</v>
      </c>
    </row>
    <row r="188" spans="1:107">
      <c r="A188" s="113" t="s">
        <v>1858</v>
      </c>
      <c r="B188" s="31" t="s">
        <v>129</v>
      </c>
      <c r="E188" s="31">
        <v>18</v>
      </c>
      <c r="F188" s="31" t="str">
        <f t="shared" si="37"/>
        <v>Strength 10</v>
      </c>
      <c r="L188" s="31">
        <v>-28</v>
      </c>
      <c r="BR188" s="33"/>
      <c r="BS188" s="34"/>
      <c r="CA188" s="31" t="s">
        <v>130</v>
      </c>
      <c r="CV188" s="152" t="s">
        <v>1106</v>
      </c>
      <c r="CZ188" s="31" t="s">
        <v>130</v>
      </c>
      <c r="DA188" s="31">
        <v>1</v>
      </c>
      <c r="DB188" s="31">
        <v>1</v>
      </c>
      <c r="DC188" s="31">
        <v>1</v>
      </c>
    </row>
    <row r="189" spans="1:107">
      <c r="A189" s="113" t="s">
        <v>1859</v>
      </c>
      <c r="B189" s="31" t="s">
        <v>129</v>
      </c>
      <c r="C189" s="37"/>
      <c r="E189" s="31">
        <v>19</v>
      </c>
      <c r="F189" s="31" t="str">
        <f t="shared" si="37"/>
        <v>Strength 11</v>
      </c>
      <c r="L189" s="31">
        <v>-29</v>
      </c>
      <c r="BR189" s="33"/>
      <c r="BS189" s="34"/>
      <c r="CA189" s="31" t="s">
        <v>130</v>
      </c>
      <c r="CV189" s="152" t="s">
        <v>1860</v>
      </c>
      <c r="CW189" s="33"/>
      <c r="CX189" s="33"/>
      <c r="CY189" s="33"/>
      <c r="CZ189" s="31" t="s">
        <v>130</v>
      </c>
      <c r="DA189" s="31">
        <v>1</v>
      </c>
      <c r="DB189" s="31">
        <v>1</v>
      </c>
      <c r="DC189" s="31">
        <v>1</v>
      </c>
    </row>
    <row r="190" spans="1:107">
      <c r="A190" s="113" t="s">
        <v>1107</v>
      </c>
      <c r="B190" s="31" t="s">
        <v>129</v>
      </c>
      <c r="C190" s="37"/>
      <c r="E190" s="31">
        <v>20</v>
      </c>
      <c r="F190" s="31" t="str">
        <f t="shared" si="37"/>
        <v>Strength 11</v>
      </c>
      <c r="L190" s="31">
        <v>-30</v>
      </c>
      <c r="BR190" s="33"/>
      <c r="BS190" s="34"/>
      <c r="CA190" s="31" t="s">
        <v>130</v>
      </c>
      <c r="CV190" s="152" t="s">
        <v>1108</v>
      </c>
      <c r="CW190" s="33"/>
      <c r="CX190" s="33"/>
      <c r="CY190" s="33"/>
      <c r="CZ190" s="31" t="s">
        <v>130</v>
      </c>
      <c r="DA190" s="31">
        <v>1</v>
      </c>
      <c r="DB190" s="31">
        <v>1</v>
      </c>
      <c r="DC190" s="31">
        <v>1</v>
      </c>
    </row>
    <row r="191" spans="1:107">
      <c r="A191" s="31" t="s">
        <v>1320</v>
      </c>
      <c r="B191" s="31" t="s">
        <v>129</v>
      </c>
      <c r="C191" s="37"/>
      <c r="E191" s="31">
        <v>14</v>
      </c>
      <c r="F191" s="31" t="str">
        <f>CONCATENATE("Strength ",MIN(MAX(ROUND(SQRT((IF(J191="",ClubDamage,J191)+IF(J191="",ClubDamage,J191)+IF(K191="",ClubDamageRange,K191))*(E191/1.4))+1,0),5),15),";Blackrock 1")</f>
        <v>Strength 9;Blackrock 1</v>
      </c>
      <c r="L191" s="31">
        <v>-20</v>
      </c>
      <c r="Q191" s="31">
        <v>8</v>
      </c>
      <c r="S191" s="31">
        <v>4</v>
      </c>
      <c r="T191" s="31">
        <v>2000</v>
      </c>
      <c r="BR191" s="33"/>
      <c r="BS191" s="34"/>
      <c r="CA191" s="44"/>
      <c r="CB191" s="44"/>
      <c r="CF191" s="35" t="s">
        <v>1296</v>
      </c>
      <c r="CH191" s="44"/>
      <c r="CV191" s="36" t="s">
        <v>1327</v>
      </c>
      <c r="CW191" s="33"/>
      <c r="CX191" s="33"/>
      <c r="CY191" s="33"/>
      <c r="CZ191" s="113" t="s">
        <v>1422</v>
      </c>
      <c r="DA191" s="31">
        <v>1</v>
      </c>
      <c r="DB191" s="31">
        <v>1</v>
      </c>
      <c r="DC191" s="31">
        <v>1</v>
      </c>
    </row>
    <row r="192" spans="1:107">
      <c r="A192" s="113" t="s">
        <v>1321</v>
      </c>
      <c r="B192" s="31" t="s">
        <v>129</v>
      </c>
      <c r="C192" s="37"/>
      <c r="E192" s="31">
        <v>15</v>
      </c>
      <c r="F192" s="31" t="str">
        <f>CONCATENATE("Strength ",MIN(MAX(ROUND(SQRT((IF(J192="",ClubDamage,J192)+IF(J192="",ClubDamage,J192)+IF(K192="",ClubDamageRange,K192))*(E192/1.4))+1,0),5),15),";Blackrock 1")</f>
        <v>Strength 10;Blackrock 1</v>
      </c>
      <c r="L192" s="31">
        <v>-20</v>
      </c>
      <c r="Q192" s="31">
        <v>8</v>
      </c>
      <c r="S192" s="31">
        <v>4</v>
      </c>
      <c r="T192" s="31">
        <v>2000</v>
      </c>
      <c r="BR192" s="33"/>
      <c r="BS192" s="34"/>
      <c r="CA192" s="44"/>
      <c r="CB192" s="44"/>
      <c r="CF192" s="35" t="s">
        <v>1296</v>
      </c>
      <c r="CH192" s="44"/>
      <c r="CV192" s="36" t="s">
        <v>1327</v>
      </c>
      <c r="CW192" s="33"/>
      <c r="CX192" s="33"/>
      <c r="CY192" s="33"/>
      <c r="CZ192" s="113" t="s">
        <v>1422</v>
      </c>
      <c r="DA192" s="31">
        <v>1</v>
      </c>
      <c r="DB192" s="31">
        <v>1</v>
      </c>
      <c r="DC192" s="31">
        <v>1</v>
      </c>
    </row>
    <row r="193" spans="1:110">
      <c r="A193" s="113" t="s">
        <v>1322</v>
      </c>
      <c r="B193" s="31" t="s">
        <v>129</v>
      </c>
      <c r="C193" s="37"/>
      <c r="E193" s="31">
        <v>16</v>
      </c>
      <c r="F193" s="31" t="str">
        <f>CONCATENATE("Strength ",MIN(MAX(ROUND(SQRT((IF(J193="",ClubDamage,J193)+IF(J193="",ClubDamage,J193)+IF(K193="",ClubDamageRange,K193))*(E193/1.4))+1,0),5),15),";Blackrock 2")</f>
        <v>Strength 10;Blackrock 2</v>
      </c>
      <c r="L193" s="31">
        <v>-21</v>
      </c>
      <c r="Q193" s="31">
        <v>8</v>
      </c>
      <c r="S193" s="31">
        <v>4</v>
      </c>
      <c r="T193" s="31">
        <v>2000</v>
      </c>
      <c r="BR193" s="33"/>
      <c r="BS193" s="34"/>
      <c r="CA193" s="44"/>
      <c r="CB193" s="44"/>
      <c r="CF193" s="35" t="s">
        <v>1296</v>
      </c>
      <c r="CH193" s="44"/>
      <c r="CV193" s="36" t="s">
        <v>1327</v>
      </c>
      <c r="CW193" s="33"/>
      <c r="CX193" s="33"/>
      <c r="CY193" s="33"/>
      <c r="CZ193" s="113" t="s">
        <v>1422</v>
      </c>
      <c r="DA193" s="31">
        <v>1</v>
      </c>
      <c r="DB193" s="31">
        <v>1</v>
      </c>
      <c r="DC193" s="31">
        <v>1</v>
      </c>
    </row>
    <row r="194" spans="1:110">
      <c r="A194" s="113" t="s">
        <v>1323</v>
      </c>
      <c r="B194" s="31" t="s">
        <v>129</v>
      </c>
      <c r="C194" s="37"/>
      <c r="E194" s="31">
        <v>17</v>
      </c>
      <c r="F194" s="31" t="str">
        <f>CONCATENATE("Strength ",MIN(MAX(ROUND(SQRT((IF(J194="",ClubDamage,J194)+IF(J194="",ClubDamage,J194)+IF(K194="",ClubDamageRange,K194))*(E194/1.4))+1,0),5),15),";Blackrock 2")</f>
        <v>Strength 10;Blackrock 2</v>
      </c>
      <c r="L194" s="31">
        <v>-22</v>
      </c>
      <c r="Q194" s="31">
        <v>8</v>
      </c>
      <c r="S194" s="31">
        <v>4</v>
      </c>
      <c r="T194" s="31">
        <v>2000</v>
      </c>
      <c r="BR194" s="33"/>
      <c r="BS194" s="34"/>
      <c r="CA194" s="44"/>
      <c r="CB194" s="44"/>
      <c r="CF194" s="35" t="s">
        <v>1296</v>
      </c>
      <c r="CH194" s="44"/>
      <c r="CV194" s="36" t="s">
        <v>1327</v>
      </c>
      <c r="CW194" s="33"/>
      <c r="CX194" s="33"/>
      <c r="CY194" s="33"/>
      <c r="CZ194" s="113" t="s">
        <v>1422</v>
      </c>
      <c r="DA194" s="31">
        <v>1</v>
      </c>
      <c r="DB194" s="31">
        <v>1</v>
      </c>
      <c r="DC194" s="31">
        <v>1</v>
      </c>
    </row>
    <row r="195" spans="1:110">
      <c r="A195" s="113" t="s">
        <v>1324</v>
      </c>
      <c r="B195" s="31" t="s">
        <v>129</v>
      </c>
      <c r="C195" s="37"/>
      <c r="E195" s="31">
        <v>18</v>
      </c>
      <c r="F195" s="31" t="str">
        <f>CONCATENATE("Strength ",MIN(MAX(ROUND(SQRT((IF(J195="",ClubDamage,J195)+IF(J195="",ClubDamage,J195)+IF(K195="",ClubDamageRange,K195))*(E195/1.4))+1,0),5),15),";Blackrock 2")</f>
        <v>Strength 10;Blackrock 2</v>
      </c>
      <c r="L195" s="31">
        <v>-23</v>
      </c>
      <c r="Q195" s="31">
        <v>8</v>
      </c>
      <c r="S195" s="31">
        <v>4</v>
      </c>
      <c r="T195" s="31">
        <v>2000</v>
      </c>
      <c r="BR195" s="33"/>
      <c r="BS195" s="34"/>
      <c r="CA195" s="44"/>
      <c r="CB195" s="44"/>
      <c r="CF195" s="35" t="s">
        <v>1296</v>
      </c>
      <c r="CH195" s="44"/>
      <c r="CV195" s="36" t="s">
        <v>1327</v>
      </c>
      <c r="CW195" s="33"/>
      <c r="CX195" s="33"/>
      <c r="CY195" s="33"/>
      <c r="CZ195" s="113" t="s">
        <v>1422</v>
      </c>
      <c r="DA195" s="31">
        <v>1</v>
      </c>
      <c r="DB195" s="31">
        <v>1</v>
      </c>
      <c r="DC195" s="31">
        <v>1</v>
      </c>
    </row>
    <row r="196" spans="1:110">
      <c r="A196" s="113" t="s">
        <v>1325</v>
      </c>
      <c r="B196" s="31" t="s">
        <v>129</v>
      </c>
      <c r="C196" s="37"/>
      <c r="E196" s="31">
        <v>19</v>
      </c>
      <c r="F196" s="31" t="str">
        <f>CONCATENATE("Strength ",MIN(MAX(ROUND(SQRT((IF(J196="",ClubDamage,J196)+IF(J196="",ClubDamage,J196)+IF(K196="",ClubDamageRange,K196))*(E196/1.4))+1,0),5),15),";Blackrock 3")</f>
        <v>Strength 11;Blackrock 3</v>
      </c>
      <c r="L196" s="31">
        <v>-24</v>
      </c>
      <c r="Q196" s="31">
        <v>8</v>
      </c>
      <c r="S196" s="31">
        <v>4</v>
      </c>
      <c r="T196" s="31">
        <v>2000</v>
      </c>
      <c r="BR196" s="33"/>
      <c r="BS196" s="34"/>
      <c r="CA196" s="44"/>
      <c r="CB196" s="44"/>
      <c r="CF196" s="35" t="s">
        <v>1296</v>
      </c>
      <c r="CH196" s="44"/>
      <c r="CV196" s="36" t="s">
        <v>1327</v>
      </c>
      <c r="CW196" s="33"/>
      <c r="CX196" s="33"/>
      <c r="CY196" s="33"/>
      <c r="CZ196" s="113" t="s">
        <v>1422</v>
      </c>
      <c r="DA196" s="31">
        <v>1</v>
      </c>
      <c r="DB196" s="31">
        <v>1</v>
      </c>
      <c r="DC196" s="31">
        <v>1</v>
      </c>
    </row>
    <row r="197" spans="1:110">
      <c r="A197" s="113" t="s">
        <v>1326</v>
      </c>
      <c r="B197" s="31" t="s">
        <v>129</v>
      </c>
      <c r="C197" s="37"/>
      <c r="E197" s="31">
        <v>20</v>
      </c>
      <c r="F197" s="31" t="str">
        <f>CONCATENATE("Strength ",MIN(MAX(ROUND(SQRT((IF(J197="",ClubDamage,J197)+IF(J197="",ClubDamage,J197)+IF(K197="",ClubDamageRange,K197))*(E197/1.4))+1,0),5),15),";Blackrock 3")</f>
        <v>Strength 11;Blackrock 3</v>
      </c>
      <c r="L197" s="31">
        <v>-25</v>
      </c>
      <c r="Q197" s="31">
        <v>8</v>
      </c>
      <c r="S197" s="31">
        <v>4</v>
      </c>
      <c r="T197" s="31">
        <v>2000</v>
      </c>
      <c r="BR197" s="33"/>
      <c r="BS197" s="34"/>
      <c r="CA197" s="44"/>
      <c r="CB197" s="44"/>
      <c r="CF197" s="35" t="s">
        <v>1296</v>
      </c>
      <c r="CH197" s="44"/>
      <c r="CV197" s="36" t="s">
        <v>1327</v>
      </c>
      <c r="CW197" s="33"/>
      <c r="CX197" s="33"/>
      <c r="CY197" s="33"/>
      <c r="CZ197" s="113" t="s">
        <v>1422</v>
      </c>
      <c r="DA197" s="31">
        <v>1</v>
      </c>
      <c r="DB197" s="31">
        <v>1</v>
      </c>
      <c r="DC197" s="31">
        <v>1</v>
      </c>
    </row>
    <row r="198" spans="1:110" s="27" customFormat="1">
      <c r="A198" s="27" t="s">
        <v>149</v>
      </c>
      <c r="C198" s="27" t="s">
        <v>73</v>
      </c>
      <c r="D198" s="27">
        <v>1</v>
      </c>
      <c r="F198" s="27" t="s">
        <v>704</v>
      </c>
      <c r="G198" s="27" t="s">
        <v>606</v>
      </c>
      <c r="H198" s="27">
        <v>4</v>
      </c>
      <c r="I198" s="27" t="s">
        <v>99</v>
      </c>
      <c r="J198" s="27">
        <v>4</v>
      </c>
      <c r="K198" s="27">
        <v>3</v>
      </c>
      <c r="N198" s="27">
        <v>2</v>
      </c>
      <c r="O198" s="27">
        <v>0</v>
      </c>
      <c r="P198" s="27">
        <v>2</v>
      </c>
      <c r="Q198" s="27">
        <v>7</v>
      </c>
      <c r="R198" s="27">
        <v>6</v>
      </c>
      <c r="S198" s="27">
        <v>4.9000000000000004</v>
      </c>
      <c r="T198" s="27">
        <v>6000</v>
      </c>
      <c r="U198" s="27">
        <v>0</v>
      </c>
      <c r="W198" s="27" t="s">
        <v>118</v>
      </c>
      <c r="Y198" s="27" t="s">
        <v>76</v>
      </c>
      <c r="CG198" s="27" t="s">
        <v>730</v>
      </c>
      <c r="CH198" s="27">
        <v>0</v>
      </c>
      <c r="DC198" s="27">
        <v>0</v>
      </c>
      <c r="DD198" s="27">
        <v>0</v>
      </c>
    </row>
    <row r="199" spans="1:110">
      <c r="A199" s="31" t="s">
        <v>869</v>
      </c>
      <c r="B199" s="31" t="s">
        <v>149</v>
      </c>
      <c r="E199" s="31">
        <v>1</v>
      </c>
      <c r="F199" s="31" t="s">
        <v>873</v>
      </c>
      <c r="Q199" s="31">
        <v>8</v>
      </c>
      <c r="S199" s="31">
        <v>4.5999999999999996</v>
      </c>
      <c r="BR199" s="33"/>
      <c r="BS199" s="34"/>
      <c r="CA199" s="31" t="s">
        <v>152</v>
      </c>
      <c r="CC199" s="24"/>
      <c r="CD199" s="24"/>
      <c r="CE199" s="24"/>
      <c r="CF199" s="24"/>
      <c r="CV199" s="36" t="s">
        <v>154</v>
      </c>
    </row>
    <row r="200" spans="1:110">
      <c r="A200" s="31" t="s">
        <v>870</v>
      </c>
      <c r="B200" s="31" t="s">
        <v>149</v>
      </c>
      <c r="E200" s="31">
        <v>1</v>
      </c>
      <c r="F200" s="31" t="s">
        <v>873</v>
      </c>
      <c r="Q200" s="31">
        <v>8</v>
      </c>
      <c r="S200" s="31">
        <v>4.7</v>
      </c>
      <c r="CA200" s="31" t="s">
        <v>152</v>
      </c>
      <c r="CC200" s="24"/>
      <c r="CD200" s="24"/>
      <c r="CE200" s="24"/>
      <c r="CF200" s="24"/>
      <c r="CV200" s="49" t="s">
        <v>156</v>
      </c>
    </row>
    <row r="201" spans="1:110">
      <c r="A201" s="31" t="s">
        <v>871</v>
      </c>
      <c r="B201" s="31" t="s">
        <v>149</v>
      </c>
      <c r="C201" s="37"/>
      <c r="E201" s="31">
        <v>1</v>
      </c>
      <c r="F201" s="31" t="s">
        <v>873</v>
      </c>
      <c r="Q201" s="31">
        <v>8</v>
      </c>
      <c r="S201" s="31">
        <v>4.8</v>
      </c>
      <c r="BR201" s="33"/>
      <c r="BS201" s="34"/>
      <c r="CA201" s="31" t="s">
        <v>152</v>
      </c>
      <c r="CC201" s="24"/>
      <c r="CD201" s="24"/>
      <c r="CE201" s="24"/>
      <c r="CF201" s="24"/>
      <c r="CV201" s="36" t="s">
        <v>440</v>
      </c>
      <c r="CW201" s="33"/>
      <c r="CX201" s="33"/>
      <c r="CY201" s="33"/>
    </row>
    <row r="202" spans="1:110" s="38" customFormat="1">
      <c r="A202" s="38" t="s">
        <v>872</v>
      </c>
      <c r="B202" s="38" t="s">
        <v>149</v>
      </c>
      <c r="E202" s="38">
        <v>1</v>
      </c>
      <c r="F202" s="38" t="s">
        <v>873</v>
      </c>
      <c r="J202" s="38">
        <v>5</v>
      </c>
      <c r="K202" s="38">
        <v>4</v>
      </c>
      <c r="L202" s="31"/>
      <c r="Q202" s="38">
        <v>10</v>
      </c>
      <c r="S202" s="38">
        <v>4.9000000000000004</v>
      </c>
      <c r="CA202" s="38" t="s">
        <v>152</v>
      </c>
      <c r="CC202" s="50"/>
      <c r="CD202" s="50"/>
      <c r="CE202" s="50"/>
      <c r="CF202" s="50"/>
      <c r="CV202" s="38" t="s">
        <v>815</v>
      </c>
    </row>
    <row r="203" spans="1:110" s="81" customFormat="1">
      <c r="A203" s="81" t="s">
        <v>1715</v>
      </c>
      <c r="B203" s="81" t="s">
        <v>149</v>
      </c>
      <c r="E203" s="81">
        <v>9</v>
      </c>
      <c r="F203" s="31" t="str">
        <f t="shared" ref="F203:F225" si="43">CONCATENATE("Strength ",MIN(MAX(ROUND(SQRT((IF(J203="",Axe2HDamage,J203)+IF(J203="",Axe2HDamage,J203)+IF(K203="",Axe2HDamageRange,K203))*(E203/1.4))+1,0),5),15))</f>
        <v>Strength 9</v>
      </c>
      <c r="L203" s="31">
        <f t="shared" ref="L203:L231" si="44">-E203*1.8+16.5</f>
        <v>0.30000000000000071</v>
      </c>
      <c r="O203" s="81">
        <v>2</v>
      </c>
      <c r="Q203" s="81">
        <v>10</v>
      </c>
      <c r="S203" s="81">
        <v>7</v>
      </c>
      <c r="T203" s="81">
        <v>10000</v>
      </c>
      <c r="U203" s="81">
        <v>-1</v>
      </c>
      <c r="AA203" s="81">
        <v>1</v>
      </c>
      <c r="BK203" s="81">
        <v>5</v>
      </c>
      <c r="BR203" s="83"/>
      <c r="BS203" s="92"/>
      <c r="CA203" s="81" t="s">
        <v>152</v>
      </c>
      <c r="CC203" s="82"/>
      <c r="CD203" s="82"/>
      <c r="CE203" s="83"/>
      <c r="CV203" s="81" t="s">
        <v>1266</v>
      </c>
      <c r="DD203" s="81">
        <v>1</v>
      </c>
    </row>
    <row r="204" spans="1:110" s="94" customFormat="1">
      <c r="A204" s="94" t="s">
        <v>150</v>
      </c>
      <c r="B204" s="94" t="s">
        <v>149</v>
      </c>
      <c r="E204" s="94">
        <v>13</v>
      </c>
      <c r="F204" s="31" t="str">
        <f t="shared" si="43"/>
        <v>Strength 11</v>
      </c>
      <c r="L204" s="31">
        <f t="shared" si="44"/>
        <v>-6.9000000000000021</v>
      </c>
      <c r="BS204" s="95"/>
      <c r="CA204" s="94" t="s">
        <v>152</v>
      </c>
      <c r="CC204" s="102"/>
      <c r="CD204" s="102"/>
      <c r="CE204" s="102"/>
      <c r="CV204" s="97" t="s">
        <v>151</v>
      </c>
    </row>
    <row r="205" spans="1:110">
      <c r="A205" s="31" t="s">
        <v>153</v>
      </c>
      <c r="B205" s="31" t="s">
        <v>149</v>
      </c>
      <c r="C205" s="37"/>
      <c r="E205" s="31">
        <v>1</v>
      </c>
      <c r="F205" s="31" t="str">
        <f t="shared" si="43"/>
        <v>Strength 5</v>
      </c>
      <c r="L205" s="31">
        <f t="shared" si="44"/>
        <v>14.7</v>
      </c>
      <c r="S205" s="31">
        <v>0.5</v>
      </c>
      <c r="BR205" s="33"/>
      <c r="BS205" s="34"/>
      <c r="CA205" s="31" t="s">
        <v>152</v>
      </c>
      <c r="CC205" s="51"/>
      <c r="CD205" s="51"/>
      <c r="CE205" s="51"/>
      <c r="CF205" s="51"/>
      <c r="CV205" s="36" t="s">
        <v>154</v>
      </c>
      <c r="CW205" s="33"/>
      <c r="CX205" s="33"/>
      <c r="CY205" s="33"/>
      <c r="CZ205" s="31" t="s">
        <v>520</v>
      </c>
      <c r="DA205" s="31">
        <v>1</v>
      </c>
      <c r="DB205" s="31">
        <v>1</v>
      </c>
      <c r="DC205" s="31">
        <v>1</v>
      </c>
      <c r="DF205" s="31">
        <v>20</v>
      </c>
    </row>
    <row r="206" spans="1:110">
      <c r="A206" s="31" t="s">
        <v>158</v>
      </c>
      <c r="B206" s="31" t="s">
        <v>149</v>
      </c>
      <c r="E206" s="31">
        <v>1</v>
      </c>
      <c r="F206" s="31" t="str">
        <f>CONCATENATE("Strength ",MIN(MAX(ROUND(SQRT((IF(J206="",Axe2HDamage,J206)+IF(J206="",Axe2HDamage,J206)+IF(K206="",Axe2HDamageRange,K206))*(E206/1.4))+1,0),5),15))</f>
        <v>Strength 5</v>
      </c>
      <c r="L206" s="31">
        <f t="shared" si="44"/>
        <v>14.7</v>
      </c>
      <c r="BR206" s="33"/>
      <c r="BS206" s="34"/>
      <c r="CA206" s="31" t="s">
        <v>152</v>
      </c>
      <c r="CC206" s="24"/>
      <c r="CD206" s="24"/>
      <c r="CE206" s="24"/>
      <c r="CF206" s="24"/>
      <c r="CV206" s="36" t="s">
        <v>154</v>
      </c>
      <c r="CZ206" s="31" t="s">
        <v>152</v>
      </c>
      <c r="DA206" s="31">
        <v>1</v>
      </c>
      <c r="DB206" s="31">
        <v>1</v>
      </c>
      <c r="DC206" s="31">
        <v>1</v>
      </c>
    </row>
    <row r="207" spans="1:110">
      <c r="A207" s="31" t="s">
        <v>155</v>
      </c>
      <c r="B207" s="31" t="s">
        <v>149</v>
      </c>
      <c r="E207" s="31">
        <v>2</v>
      </c>
      <c r="F207" s="31" t="str">
        <f t="shared" si="43"/>
        <v>Strength 5</v>
      </c>
      <c r="L207" s="31">
        <f t="shared" si="44"/>
        <v>12.9</v>
      </c>
      <c r="CA207" s="31" t="s">
        <v>152</v>
      </c>
      <c r="CC207" s="24"/>
      <c r="CD207" s="24"/>
      <c r="CE207" s="24"/>
      <c r="CF207" s="24"/>
      <c r="CV207" s="36" t="s">
        <v>154</v>
      </c>
      <c r="CZ207" s="31" t="s">
        <v>152</v>
      </c>
      <c r="DA207" s="31">
        <v>1</v>
      </c>
      <c r="DB207" s="31">
        <v>1</v>
      </c>
      <c r="DC207" s="31">
        <v>1</v>
      </c>
    </row>
    <row r="208" spans="1:110">
      <c r="A208" s="31" t="s">
        <v>511</v>
      </c>
      <c r="B208" s="31" t="s">
        <v>149</v>
      </c>
      <c r="C208" s="37"/>
      <c r="E208" s="31">
        <v>3</v>
      </c>
      <c r="F208" s="31" t="str">
        <f t="shared" si="43"/>
        <v>Strength 6</v>
      </c>
      <c r="L208" s="31">
        <f t="shared" si="44"/>
        <v>11.1</v>
      </c>
      <c r="BR208" s="33"/>
      <c r="BS208" s="34"/>
      <c r="CA208" s="31" t="s">
        <v>152</v>
      </c>
      <c r="CC208" s="24"/>
      <c r="CD208" s="24"/>
      <c r="CE208" s="24"/>
      <c r="CF208" s="24"/>
      <c r="CV208" s="36" t="s">
        <v>154</v>
      </c>
      <c r="CW208" s="33"/>
      <c r="CX208" s="33"/>
      <c r="CY208" s="33"/>
      <c r="CZ208" s="31" t="s">
        <v>152</v>
      </c>
      <c r="DA208" s="31">
        <v>1</v>
      </c>
      <c r="DB208" s="31">
        <v>1</v>
      </c>
      <c r="DC208" s="31">
        <v>1</v>
      </c>
    </row>
    <row r="209" spans="1:109">
      <c r="A209" s="31" t="s">
        <v>446</v>
      </c>
      <c r="B209" s="31" t="s">
        <v>149</v>
      </c>
      <c r="E209" s="31">
        <v>4</v>
      </c>
      <c r="F209" s="31" t="str">
        <f t="shared" si="43"/>
        <v>Strength 7</v>
      </c>
      <c r="L209" s="31">
        <f t="shared" si="44"/>
        <v>9.3000000000000007</v>
      </c>
      <c r="CA209" s="31" t="s">
        <v>152</v>
      </c>
      <c r="CC209" s="24"/>
      <c r="CD209" s="24"/>
      <c r="CE209" s="24"/>
      <c r="CF209" s="24"/>
      <c r="CV209" s="49" t="s">
        <v>156</v>
      </c>
      <c r="CZ209" s="31" t="s">
        <v>152</v>
      </c>
      <c r="DA209" s="31">
        <v>1</v>
      </c>
      <c r="DB209" s="31">
        <v>1</v>
      </c>
      <c r="DC209" s="31">
        <v>1</v>
      </c>
    </row>
    <row r="210" spans="1:109">
      <c r="A210" s="31" t="s">
        <v>555</v>
      </c>
      <c r="B210" s="31" t="s">
        <v>149</v>
      </c>
      <c r="E210" s="31">
        <v>5</v>
      </c>
      <c r="F210" s="31" t="str">
        <f t="shared" si="43"/>
        <v>Strength 7</v>
      </c>
      <c r="L210" s="31">
        <f t="shared" si="44"/>
        <v>7.5</v>
      </c>
      <c r="CA210" s="31" t="s">
        <v>152</v>
      </c>
      <c r="CC210" s="24"/>
      <c r="CD210" s="24"/>
      <c r="CE210" s="24"/>
      <c r="CF210" s="24"/>
      <c r="CV210" s="49" t="s">
        <v>156</v>
      </c>
      <c r="CZ210" s="31" t="s">
        <v>152</v>
      </c>
      <c r="DA210" s="31">
        <v>1</v>
      </c>
      <c r="DB210" s="31">
        <v>1</v>
      </c>
      <c r="DC210" s="31">
        <v>1</v>
      </c>
    </row>
    <row r="211" spans="1:109">
      <c r="A211" s="31" t="s">
        <v>441</v>
      </c>
      <c r="B211" s="31" t="s">
        <v>149</v>
      </c>
      <c r="C211" s="37"/>
      <c r="E211" s="31">
        <v>6</v>
      </c>
      <c r="F211" s="31" t="str">
        <f t="shared" si="43"/>
        <v>Strength 8</v>
      </c>
      <c r="L211" s="31">
        <f t="shared" si="44"/>
        <v>5.6999999999999993</v>
      </c>
      <c r="BR211" s="33"/>
      <c r="BS211" s="34"/>
      <c r="CA211" s="31" t="s">
        <v>152</v>
      </c>
      <c r="CC211" s="24"/>
      <c r="CD211" s="24"/>
      <c r="CE211" s="24"/>
      <c r="CF211" s="24"/>
      <c r="CV211" s="49" t="s">
        <v>743</v>
      </c>
      <c r="CZ211" s="31" t="s">
        <v>152</v>
      </c>
      <c r="DA211" s="31">
        <v>1</v>
      </c>
      <c r="DB211" s="31">
        <v>1</v>
      </c>
      <c r="DC211" s="31">
        <v>1</v>
      </c>
    </row>
    <row r="212" spans="1:109">
      <c r="A212" s="31" t="s">
        <v>690</v>
      </c>
      <c r="B212" s="31" t="s">
        <v>149</v>
      </c>
      <c r="C212" s="37"/>
      <c r="E212" s="31">
        <v>7</v>
      </c>
      <c r="F212" s="31" t="str">
        <f t="shared" si="43"/>
        <v>Strength 8</v>
      </c>
      <c r="L212" s="31">
        <f t="shared" si="44"/>
        <v>3.9000000000000004</v>
      </c>
      <c r="BR212" s="33"/>
      <c r="BS212" s="34"/>
      <c r="CA212" s="31" t="s">
        <v>152</v>
      </c>
      <c r="CC212" s="24"/>
      <c r="CD212" s="24"/>
      <c r="CE212" s="24"/>
      <c r="CF212" s="24"/>
      <c r="CV212" s="49" t="s">
        <v>1861</v>
      </c>
      <c r="CZ212" s="31" t="s">
        <v>152</v>
      </c>
      <c r="DA212" s="31">
        <v>1</v>
      </c>
      <c r="DB212" s="31">
        <v>1</v>
      </c>
      <c r="DC212" s="31">
        <v>1</v>
      </c>
    </row>
    <row r="213" spans="1:109">
      <c r="A213" s="31" t="s">
        <v>1113</v>
      </c>
      <c r="B213" s="31" t="s">
        <v>149</v>
      </c>
      <c r="C213" s="37"/>
      <c r="E213" s="31">
        <v>8</v>
      </c>
      <c r="F213" s="31" t="str">
        <f>CONCATENATE("Strength ",MIN(MAX(ROUND(SQRT((IF(J213="",Axe2HDamage,J213)+IF(J213="",Axe2HDamage,J213)+IF(K213="",Axe2HDamageRange,K213))*(E213/1.4))+1,0),5),15))</f>
        <v>Strength 9</v>
      </c>
      <c r="L213" s="31">
        <f>-E213*1.8+16.5</f>
        <v>2.0999999999999996</v>
      </c>
      <c r="BR213" s="33"/>
      <c r="BS213" s="34"/>
      <c r="CA213" s="31" t="s">
        <v>152</v>
      </c>
      <c r="CC213" s="24"/>
      <c r="CD213" s="24"/>
      <c r="CE213" s="24"/>
      <c r="CF213" s="24"/>
      <c r="CV213" s="49" t="s">
        <v>1862</v>
      </c>
      <c r="CZ213" s="31" t="s">
        <v>152</v>
      </c>
      <c r="DA213" s="31">
        <v>1</v>
      </c>
      <c r="DB213" s="31">
        <v>1</v>
      </c>
      <c r="DC213" s="31">
        <v>1</v>
      </c>
    </row>
    <row r="214" spans="1:109">
      <c r="A214" s="113" t="s">
        <v>159</v>
      </c>
      <c r="B214" s="31" t="s">
        <v>149</v>
      </c>
      <c r="E214" s="31">
        <v>9</v>
      </c>
      <c r="F214" s="31" t="str">
        <f t="shared" si="43"/>
        <v>Strength 9</v>
      </c>
      <c r="L214" s="31">
        <f t="shared" si="44"/>
        <v>0.30000000000000071</v>
      </c>
      <c r="BR214" s="33"/>
      <c r="BS214" s="34"/>
      <c r="CA214" s="31" t="s">
        <v>152</v>
      </c>
      <c r="CC214" s="24"/>
      <c r="CD214" s="24"/>
      <c r="CE214" s="24"/>
      <c r="CF214" s="24"/>
      <c r="CV214" s="36" t="s">
        <v>440</v>
      </c>
      <c r="CZ214" s="31" t="s">
        <v>152</v>
      </c>
      <c r="DA214" s="31">
        <v>1</v>
      </c>
      <c r="DB214" s="31">
        <v>1</v>
      </c>
      <c r="DC214" s="31">
        <v>1</v>
      </c>
    </row>
    <row r="215" spans="1:109">
      <c r="A215" s="31" t="s">
        <v>702</v>
      </c>
      <c r="B215" s="31" t="s">
        <v>149</v>
      </c>
      <c r="C215" s="37"/>
      <c r="E215" s="31">
        <v>10</v>
      </c>
      <c r="F215" s="31" t="str">
        <f t="shared" si="43"/>
        <v>Strength 10</v>
      </c>
      <c r="L215" s="31">
        <f t="shared" si="44"/>
        <v>-1.5</v>
      </c>
      <c r="BR215" s="33"/>
      <c r="BS215" s="34"/>
      <c r="CA215" s="31" t="s">
        <v>152</v>
      </c>
      <c r="CC215" s="24"/>
      <c r="CD215" s="24"/>
      <c r="CE215" s="24"/>
      <c r="CF215" s="24"/>
      <c r="CV215" s="49" t="s">
        <v>1863</v>
      </c>
      <c r="CW215" s="33"/>
      <c r="CX215" s="33"/>
      <c r="CY215" s="33"/>
      <c r="CZ215" s="31" t="s">
        <v>152</v>
      </c>
      <c r="DA215" s="31">
        <v>1</v>
      </c>
      <c r="DB215" s="31">
        <v>1</v>
      </c>
      <c r="DC215" s="31">
        <v>1</v>
      </c>
    </row>
    <row r="216" spans="1:109">
      <c r="A216" s="31" t="s">
        <v>1110</v>
      </c>
      <c r="B216" s="31" t="s">
        <v>149</v>
      </c>
      <c r="C216" s="37"/>
      <c r="E216" s="31">
        <v>11</v>
      </c>
      <c r="F216" s="31" t="str">
        <f>CONCATENATE("Strength ",MIN(MAX(ROUND(SQRT((IF(J216="",Axe2HDamage,J216)+IF(J216="",Axe2HDamage,J216)+IF(K216="",Axe2HDamageRange,K216))*(E216/1.4))+1,0),5),15))</f>
        <v>Strength 10</v>
      </c>
      <c r="L216" s="31">
        <f>-E216*1.8+16.5</f>
        <v>-3.3000000000000007</v>
      </c>
      <c r="BR216" s="33"/>
      <c r="BS216" s="34"/>
      <c r="CA216" s="31" t="s">
        <v>152</v>
      </c>
      <c r="CC216" s="24"/>
      <c r="CD216" s="24"/>
      <c r="CE216" s="24"/>
      <c r="CF216" s="24"/>
      <c r="CV216" s="49" t="s">
        <v>1864</v>
      </c>
      <c r="CZ216" s="31" t="s">
        <v>152</v>
      </c>
      <c r="DA216" s="31">
        <v>1</v>
      </c>
      <c r="DB216" s="31">
        <v>1</v>
      </c>
      <c r="DC216" s="31">
        <v>1</v>
      </c>
    </row>
    <row r="217" spans="1:109">
      <c r="A217" s="31" t="s">
        <v>160</v>
      </c>
      <c r="B217" s="31" t="s">
        <v>149</v>
      </c>
      <c r="C217" s="37"/>
      <c r="E217" s="31">
        <v>12</v>
      </c>
      <c r="F217" s="31" t="str">
        <f t="shared" si="43"/>
        <v>Strength 11</v>
      </c>
      <c r="L217" s="31">
        <f t="shared" si="44"/>
        <v>-5.1000000000000014</v>
      </c>
      <c r="BR217" s="33"/>
      <c r="BS217" s="34"/>
      <c r="CA217" s="31" t="s">
        <v>152</v>
      </c>
      <c r="CC217" s="24"/>
      <c r="CD217" s="24"/>
      <c r="CE217" s="24"/>
      <c r="CF217" s="24"/>
      <c r="CV217" s="36" t="s">
        <v>815</v>
      </c>
      <c r="CW217" s="33"/>
      <c r="CX217" s="33"/>
      <c r="CY217" s="33"/>
      <c r="CZ217" s="31" t="s">
        <v>152</v>
      </c>
      <c r="DA217" s="31">
        <v>1</v>
      </c>
      <c r="DB217" s="31">
        <v>1</v>
      </c>
      <c r="DC217" s="31">
        <v>1</v>
      </c>
    </row>
    <row r="218" spans="1:109">
      <c r="A218" s="31" t="s">
        <v>668</v>
      </c>
      <c r="B218" s="31" t="s">
        <v>149</v>
      </c>
      <c r="E218" s="31">
        <v>13</v>
      </c>
      <c r="F218" s="31" t="str">
        <f t="shared" si="43"/>
        <v>Strength 11</v>
      </c>
      <c r="L218" s="31">
        <f t="shared" si="44"/>
        <v>-6.9000000000000021</v>
      </c>
      <c r="BR218" s="33"/>
      <c r="BS218" s="34"/>
      <c r="CA218" s="31" t="s">
        <v>152</v>
      </c>
      <c r="CC218" s="24"/>
      <c r="CD218" s="24"/>
      <c r="CE218" s="24"/>
      <c r="CF218" s="24"/>
      <c r="CV218" s="49" t="s">
        <v>1865</v>
      </c>
      <c r="CZ218" s="31" t="s">
        <v>152</v>
      </c>
      <c r="DA218" s="31">
        <v>1</v>
      </c>
      <c r="DB218" s="31">
        <v>1</v>
      </c>
      <c r="DC218" s="31">
        <v>1</v>
      </c>
    </row>
    <row r="219" spans="1:109">
      <c r="A219" s="31" t="s">
        <v>1111</v>
      </c>
      <c r="B219" s="31" t="s">
        <v>149</v>
      </c>
      <c r="C219" s="37"/>
      <c r="E219" s="31">
        <v>14</v>
      </c>
      <c r="F219" s="31" t="str">
        <f>CONCATENATE("Strength ",MIN(MAX(ROUND(SQRT((IF(J219="",Axe2HDamage,J219)+IF(J219="",Axe2HDamage,J219)+IF(K219="",Axe2HDamageRange,K219))*(E219/1.4))+1,0),5),15))</f>
        <v>Strength 11</v>
      </c>
      <c r="L219" s="31">
        <f>-E219*1.8+16.5</f>
        <v>-8.6999999999999993</v>
      </c>
      <c r="BR219" s="33"/>
      <c r="BS219" s="34"/>
      <c r="CA219" s="31" t="s">
        <v>152</v>
      </c>
      <c r="CC219" s="24"/>
      <c r="CD219" s="24"/>
      <c r="CE219" s="24"/>
      <c r="CF219" s="24"/>
      <c r="CV219" s="49" t="s">
        <v>1866</v>
      </c>
      <c r="CZ219" s="31" t="s">
        <v>152</v>
      </c>
      <c r="DA219" s="31">
        <v>1</v>
      </c>
      <c r="DB219" s="31">
        <v>1</v>
      </c>
      <c r="DC219" s="31">
        <v>1</v>
      </c>
    </row>
    <row r="220" spans="1:109">
      <c r="A220" s="31" t="s">
        <v>157</v>
      </c>
      <c r="B220" s="31" t="s">
        <v>149</v>
      </c>
      <c r="E220" s="31">
        <v>15</v>
      </c>
      <c r="F220" s="31" t="str">
        <f>CONCATENATE("Strength ",MIN(MAX(ROUND(SQRT((IF(J220="",Axe2HDamage,J220)+IF(J220="",Axe2HDamage,J220)+IF(K220="",Axe2HDamageRange,K220))*(E220/1.4))+1,0),5),15))</f>
        <v>Strength 12</v>
      </c>
      <c r="L220" s="31">
        <f>-E220*1.8+16.5</f>
        <v>-10.5</v>
      </c>
      <c r="BR220" s="33"/>
      <c r="BS220" s="34"/>
      <c r="CA220" s="31" t="s">
        <v>152</v>
      </c>
      <c r="CC220" s="24"/>
      <c r="CD220" s="24"/>
      <c r="CE220" s="24"/>
      <c r="CF220" s="24"/>
      <c r="CV220" s="49" t="s">
        <v>814</v>
      </c>
      <c r="CZ220" s="31" t="s">
        <v>152</v>
      </c>
      <c r="DA220" s="31">
        <v>1</v>
      </c>
      <c r="DB220" s="31">
        <v>1</v>
      </c>
      <c r="DC220" s="31">
        <v>1</v>
      </c>
    </row>
    <row r="221" spans="1:109">
      <c r="A221" s="31" t="s">
        <v>161</v>
      </c>
      <c r="B221" s="31" t="s">
        <v>149</v>
      </c>
      <c r="E221" s="31">
        <v>16</v>
      </c>
      <c r="F221" s="31" t="str">
        <f t="shared" si="43"/>
        <v>Strength 12</v>
      </c>
      <c r="L221" s="31">
        <f t="shared" si="44"/>
        <v>-12.3</v>
      </c>
      <c r="BR221" s="33"/>
      <c r="BS221" s="34"/>
      <c r="CA221" s="31" t="s">
        <v>152</v>
      </c>
      <c r="CC221" s="24"/>
      <c r="CD221" s="24"/>
      <c r="CE221" s="24"/>
      <c r="CF221" s="24"/>
      <c r="CV221" s="49" t="s">
        <v>1867</v>
      </c>
      <c r="CZ221" s="31" t="s">
        <v>152</v>
      </c>
      <c r="DA221" s="31">
        <v>1</v>
      </c>
      <c r="DB221" s="31">
        <v>1</v>
      </c>
      <c r="DC221" s="31">
        <v>1</v>
      </c>
    </row>
    <row r="222" spans="1:109" s="27" customFormat="1">
      <c r="A222" s="31" t="s">
        <v>162</v>
      </c>
      <c r="B222" s="31" t="s">
        <v>149</v>
      </c>
      <c r="C222" s="31"/>
      <c r="D222" s="31"/>
      <c r="E222" s="31">
        <v>17</v>
      </c>
      <c r="F222" s="31" t="str">
        <f t="shared" si="43"/>
        <v>Strength 13</v>
      </c>
      <c r="G222" s="31"/>
      <c r="H222" s="31"/>
      <c r="I222" s="31"/>
      <c r="J222" s="31"/>
      <c r="K222" s="31"/>
      <c r="L222" s="31">
        <f t="shared" si="44"/>
        <v>-14.100000000000001</v>
      </c>
      <c r="M222" s="31"/>
      <c r="N222" s="31"/>
      <c r="O222" s="31"/>
      <c r="P222" s="31"/>
      <c r="Q222" s="31"/>
      <c r="R222" s="31"/>
      <c r="S222" s="31"/>
      <c r="T222" s="31"/>
      <c r="U222" s="31"/>
      <c r="V222" s="31"/>
      <c r="W222" s="31"/>
      <c r="X222" s="31"/>
      <c r="Y222" s="31"/>
      <c r="Z222" s="31"/>
      <c r="AA222" s="31"/>
      <c r="AB222" s="31"/>
      <c r="AC222" s="31"/>
      <c r="AD222" s="31"/>
      <c r="AE222" s="31"/>
      <c r="AF222" s="31"/>
      <c r="AG222" s="31"/>
      <c r="AH222" s="31"/>
      <c r="AI222" s="31"/>
      <c r="AJ222" s="31"/>
      <c r="AK222" s="31"/>
      <c r="AL222" s="31"/>
      <c r="AM222" s="31"/>
      <c r="AN222" s="31"/>
      <c r="AO222" s="31"/>
      <c r="AP222" s="31"/>
      <c r="AQ222" s="31"/>
      <c r="AR222" s="31"/>
      <c r="AS222" s="31"/>
      <c r="AT222" s="31"/>
      <c r="AU222" s="31"/>
      <c r="AV222" s="31"/>
      <c r="AW222" s="31"/>
      <c r="AX222" s="31"/>
      <c r="AY222" s="31"/>
      <c r="AZ222" s="31"/>
      <c r="BA222" s="31"/>
      <c r="BB222" s="31"/>
      <c r="BC222" s="31"/>
      <c r="BD222" s="31"/>
      <c r="BE222" s="31"/>
      <c r="BF222" s="31"/>
      <c r="BG222" s="31"/>
      <c r="BH222" s="31"/>
      <c r="BI222" s="31"/>
      <c r="BJ222" s="31"/>
      <c r="BK222" s="31"/>
      <c r="BL222" s="31"/>
      <c r="BM222" s="31"/>
      <c r="BN222" s="31"/>
      <c r="BO222" s="31"/>
      <c r="BP222" s="31"/>
      <c r="BQ222" s="31"/>
      <c r="BR222" s="33"/>
      <c r="BS222" s="34"/>
      <c r="BT222" s="31"/>
      <c r="BU222" s="31"/>
      <c r="BV222" s="31"/>
      <c r="BW222" s="31"/>
      <c r="BX222" s="31"/>
      <c r="BY222" s="31"/>
      <c r="BZ222" s="31"/>
      <c r="CA222" s="31" t="s">
        <v>152</v>
      </c>
      <c r="CB222" s="31"/>
      <c r="CC222" s="24"/>
      <c r="CD222" s="24"/>
      <c r="CE222" s="24"/>
      <c r="CF222" s="24"/>
      <c r="CG222" s="31"/>
      <c r="CH222" s="31"/>
      <c r="CI222" s="31"/>
      <c r="CJ222" s="31"/>
      <c r="CK222" s="31"/>
      <c r="CL222" s="31"/>
      <c r="CM222" s="31"/>
      <c r="CN222" s="31"/>
      <c r="CO222" s="31"/>
      <c r="CP222" s="31"/>
      <c r="CQ222" s="31"/>
      <c r="CR222" s="31"/>
      <c r="CS222" s="31"/>
      <c r="CT222" s="31"/>
      <c r="CU222" s="31"/>
      <c r="CV222" s="36" t="s">
        <v>1868</v>
      </c>
      <c r="CW222" s="31"/>
      <c r="CX222" s="31"/>
      <c r="CY222" s="31"/>
      <c r="CZ222" s="31" t="s">
        <v>152</v>
      </c>
      <c r="DA222" s="31">
        <v>1</v>
      </c>
      <c r="DB222" s="31">
        <v>1</v>
      </c>
      <c r="DC222" s="31">
        <v>1</v>
      </c>
      <c r="DD222" s="31"/>
      <c r="DE222" s="31"/>
    </row>
    <row r="223" spans="1:109">
      <c r="A223" s="31" t="s">
        <v>1112</v>
      </c>
      <c r="B223" s="31" t="s">
        <v>149</v>
      </c>
      <c r="C223" s="37"/>
      <c r="E223" s="31">
        <v>18</v>
      </c>
      <c r="F223" s="31" t="str">
        <f>CONCATENATE("Strength ",MIN(MAX(ROUND(SQRT((IF(J223="",Axe2HDamage,J223)+IF(J223="",Axe2HDamage,J223)+IF(K223="",Axe2HDamageRange,K223))*(E223/1.4))+1,0),5),15))</f>
        <v>Strength 13</v>
      </c>
      <c r="L223" s="31">
        <f>-E223*1.8+16.5</f>
        <v>-15.899999999999999</v>
      </c>
      <c r="BR223" s="33"/>
      <c r="BS223" s="34"/>
      <c r="CA223" s="31" t="s">
        <v>152</v>
      </c>
      <c r="CC223" s="24"/>
      <c r="CD223" s="24"/>
      <c r="CE223" s="24"/>
      <c r="CF223" s="24"/>
      <c r="CV223" s="49" t="s">
        <v>1868</v>
      </c>
      <c r="CZ223" s="31" t="s">
        <v>152</v>
      </c>
      <c r="DA223" s="31">
        <v>1</v>
      </c>
      <c r="DB223" s="31">
        <v>1</v>
      </c>
      <c r="DC223" s="31">
        <v>1</v>
      </c>
    </row>
    <row r="224" spans="1:109">
      <c r="A224" s="31" t="s">
        <v>163</v>
      </c>
      <c r="B224" s="31" t="s">
        <v>149</v>
      </c>
      <c r="C224" s="37"/>
      <c r="E224" s="31">
        <v>19</v>
      </c>
      <c r="F224" s="31" t="str">
        <f t="shared" si="43"/>
        <v>Strength 13</v>
      </c>
      <c r="L224" s="31">
        <f t="shared" si="44"/>
        <v>-17.700000000000003</v>
      </c>
      <c r="BR224" s="33"/>
      <c r="BS224" s="34"/>
      <c r="CA224" s="31" t="s">
        <v>152</v>
      </c>
      <c r="CC224" s="24"/>
      <c r="CD224" s="24"/>
      <c r="CE224" s="24"/>
      <c r="CF224" s="24"/>
      <c r="CV224" s="49" t="s">
        <v>1109</v>
      </c>
      <c r="CZ224" s="31" t="s">
        <v>152</v>
      </c>
      <c r="DA224" s="31">
        <v>1</v>
      </c>
      <c r="DB224" s="31">
        <v>1</v>
      </c>
      <c r="DC224" s="31">
        <v>1</v>
      </c>
    </row>
    <row r="225" spans="1:108">
      <c r="A225" s="31" t="s">
        <v>1114</v>
      </c>
      <c r="B225" s="31" t="s">
        <v>149</v>
      </c>
      <c r="C225" s="37"/>
      <c r="E225" s="31">
        <v>20</v>
      </c>
      <c r="F225" s="31" t="str">
        <f t="shared" si="43"/>
        <v>Strength 14</v>
      </c>
      <c r="L225" s="31">
        <f t="shared" si="44"/>
        <v>-19.5</v>
      </c>
      <c r="BR225" s="33"/>
      <c r="BS225" s="34"/>
      <c r="CA225" s="31" t="s">
        <v>152</v>
      </c>
      <c r="CC225" s="24"/>
      <c r="CD225" s="24"/>
      <c r="CE225" s="24"/>
      <c r="CF225" s="24"/>
      <c r="CV225" s="49" t="s">
        <v>1109</v>
      </c>
      <c r="CZ225" s="31" t="s">
        <v>152</v>
      </c>
      <c r="DA225" s="31">
        <v>1</v>
      </c>
      <c r="DB225" s="31">
        <v>1</v>
      </c>
      <c r="DC225" s="31">
        <v>1</v>
      </c>
    </row>
    <row r="226" spans="1:108">
      <c r="A226" s="31" t="s">
        <v>1329</v>
      </c>
      <c r="B226" s="31" t="s">
        <v>149</v>
      </c>
      <c r="C226" s="37"/>
      <c r="E226" s="31">
        <v>14</v>
      </c>
      <c r="F226" s="31" t="str">
        <f>CONCATENATE("Strength ",MIN(MAX(ROUND(SQRT((IF(J226="",Axe2HDamage,J226)+IF(J226="",Axe2HDamage,J226)+IF(K226="",Axe2HDamageRange,K226))*(E226/1.4))+1,0),5),15),";Blackrock 1")</f>
        <v>Strength 11;Blackrock 1</v>
      </c>
      <c r="L226" s="31">
        <f t="shared" si="44"/>
        <v>-8.6999999999999993</v>
      </c>
      <c r="Q226" s="31">
        <v>9</v>
      </c>
      <c r="S226" s="31">
        <v>6</v>
      </c>
      <c r="T226" s="31">
        <v>3500</v>
      </c>
      <c r="BR226" s="33"/>
      <c r="BS226" s="34"/>
      <c r="CA226" s="44"/>
      <c r="CB226" s="44"/>
      <c r="CF226" s="35" t="s">
        <v>1296</v>
      </c>
      <c r="CH226" s="44"/>
      <c r="CV226" s="36" t="s">
        <v>1328</v>
      </c>
      <c r="CW226" s="33"/>
      <c r="CX226" s="33"/>
      <c r="CY226" s="33"/>
      <c r="CZ226" s="113" t="s">
        <v>1423</v>
      </c>
      <c r="DA226" s="31">
        <v>1</v>
      </c>
      <c r="DB226" s="31">
        <v>1</v>
      </c>
      <c r="DC226" s="31">
        <v>1</v>
      </c>
    </row>
    <row r="227" spans="1:108">
      <c r="A227" s="113" t="s">
        <v>1330</v>
      </c>
      <c r="B227" s="31" t="s">
        <v>149</v>
      </c>
      <c r="C227" s="37"/>
      <c r="E227" s="31">
        <v>15</v>
      </c>
      <c r="F227" s="31" t="str">
        <f>CONCATENATE("Strength ",MIN(MAX(ROUND(SQRT((IF(J227="",Axe2HDamage,J227)+IF(J227="",Axe2HDamage,J227)+IF(K227="",Axe2HDamageRange,K227))*(E227/1.4))+1,0),5),15),";Blackrock 1")</f>
        <v>Strength 12;Blackrock 1</v>
      </c>
      <c r="L227" s="31">
        <f t="shared" si="44"/>
        <v>-10.5</v>
      </c>
      <c r="Q227" s="31">
        <v>9</v>
      </c>
      <c r="S227" s="31">
        <v>6</v>
      </c>
      <c r="T227" s="31">
        <v>3500</v>
      </c>
      <c r="BR227" s="33"/>
      <c r="BS227" s="34"/>
      <c r="CA227" s="44"/>
      <c r="CB227" s="44"/>
      <c r="CF227" s="35" t="s">
        <v>1296</v>
      </c>
      <c r="CH227" s="44"/>
      <c r="CV227" s="36" t="s">
        <v>1328</v>
      </c>
      <c r="CW227" s="33"/>
      <c r="CX227" s="33"/>
      <c r="CY227" s="33"/>
      <c r="CZ227" s="113" t="s">
        <v>1423</v>
      </c>
      <c r="DA227" s="31">
        <v>1</v>
      </c>
      <c r="DB227" s="31">
        <v>1</v>
      </c>
      <c r="DC227" s="31">
        <v>1</v>
      </c>
    </row>
    <row r="228" spans="1:108">
      <c r="A228" s="113" t="s">
        <v>1331</v>
      </c>
      <c r="B228" s="31" t="s">
        <v>149</v>
      </c>
      <c r="C228" s="37"/>
      <c r="E228" s="31">
        <v>16</v>
      </c>
      <c r="F228" s="31" t="str">
        <f>CONCATENATE("Strength ",MIN(MAX(ROUND(SQRT((IF(J228="",Axe2HDamage,J228)+IF(J228="",Axe2HDamage,J228)+IF(K228="",Axe2HDamageRange,K228))*(E228/1.4))+1,0),5),15),";Blackrock 1")</f>
        <v>Strength 12;Blackrock 1</v>
      </c>
      <c r="L228" s="31">
        <f t="shared" si="44"/>
        <v>-12.3</v>
      </c>
      <c r="Q228" s="31">
        <v>9</v>
      </c>
      <c r="S228" s="31">
        <v>6</v>
      </c>
      <c r="T228" s="31">
        <v>3500</v>
      </c>
      <c r="BR228" s="33"/>
      <c r="BS228" s="34"/>
      <c r="CA228" s="44"/>
      <c r="CB228" s="44"/>
      <c r="CF228" s="35" t="s">
        <v>1296</v>
      </c>
      <c r="CH228" s="44"/>
      <c r="CV228" s="36" t="s">
        <v>1328</v>
      </c>
      <c r="CW228" s="33"/>
      <c r="CX228" s="33"/>
      <c r="CY228" s="33"/>
      <c r="CZ228" s="113" t="s">
        <v>1423</v>
      </c>
      <c r="DA228" s="31">
        <v>1</v>
      </c>
      <c r="DB228" s="31">
        <v>1</v>
      </c>
      <c r="DC228" s="31">
        <v>1</v>
      </c>
    </row>
    <row r="229" spans="1:108">
      <c r="A229" s="31" t="s">
        <v>1342</v>
      </c>
      <c r="B229" s="31" t="s">
        <v>149</v>
      </c>
      <c r="C229" s="37"/>
      <c r="E229" s="31">
        <v>17</v>
      </c>
      <c r="F229" s="31" t="str">
        <f>CONCATENATE("Strength ",MIN(MAX(ROUND(SQRT((IF(J229="",Axe2HDamage,J229)+IF(J229="",Axe2HDamage,J229)+IF(K229="",Axe2HDamageRange,K229))*(E229/1.4))+1,0),5),15),";Blackrock 1")</f>
        <v>Strength 13;Blackrock 1</v>
      </c>
      <c r="L229" s="31">
        <f t="shared" si="44"/>
        <v>-14.100000000000001</v>
      </c>
      <c r="Q229" s="31">
        <v>10</v>
      </c>
      <c r="S229" s="31">
        <v>7.1</v>
      </c>
      <c r="T229" s="31">
        <v>3000</v>
      </c>
      <c r="BR229" s="33"/>
      <c r="BS229" s="34"/>
      <c r="CA229" s="44"/>
      <c r="CB229" s="44"/>
      <c r="CF229" s="35" t="s">
        <v>1296</v>
      </c>
      <c r="CH229" s="44"/>
      <c r="CV229" s="36" t="s">
        <v>1341</v>
      </c>
      <c r="CW229" s="33"/>
      <c r="CX229" s="33"/>
      <c r="CY229" s="33"/>
      <c r="CZ229" s="113" t="s">
        <v>1423</v>
      </c>
      <c r="DA229" s="31">
        <v>1</v>
      </c>
      <c r="DB229" s="31">
        <v>1</v>
      </c>
      <c r="DC229" s="31">
        <v>1</v>
      </c>
    </row>
    <row r="230" spans="1:108">
      <c r="A230" s="113" t="s">
        <v>1343</v>
      </c>
      <c r="B230" s="31" t="s">
        <v>149</v>
      </c>
      <c r="C230" s="37"/>
      <c r="E230" s="31">
        <v>18</v>
      </c>
      <c r="F230" s="31" t="str">
        <f>CONCATENATE("Strength ",MIN(MAX(ROUND(SQRT((IF(J230="",Axe2HDamage,J230)+IF(J230="",Axe2HDamage,J230)+IF(K230="",Axe2HDamageRange,K230))*(E230/1.4))+1,0),5),15),";Blackrock 1")</f>
        <v>Strength 13;Blackrock 1</v>
      </c>
      <c r="L230" s="31">
        <f t="shared" si="44"/>
        <v>-15.899999999999999</v>
      </c>
      <c r="Q230" s="31">
        <v>10</v>
      </c>
      <c r="S230" s="31">
        <v>7.1</v>
      </c>
      <c r="T230" s="31">
        <v>3000</v>
      </c>
      <c r="BR230" s="33"/>
      <c r="BS230" s="34"/>
      <c r="CA230" s="44"/>
      <c r="CB230" s="44"/>
      <c r="CF230" s="35" t="s">
        <v>1296</v>
      </c>
      <c r="CH230" s="44"/>
      <c r="CV230" s="36" t="s">
        <v>1341</v>
      </c>
      <c r="CW230" s="33"/>
      <c r="CX230" s="33"/>
      <c r="CY230" s="33"/>
      <c r="CZ230" s="113" t="s">
        <v>1423</v>
      </c>
      <c r="DA230" s="31">
        <v>1</v>
      </c>
      <c r="DB230" s="31">
        <v>1</v>
      </c>
      <c r="DC230" s="31">
        <v>1</v>
      </c>
    </row>
    <row r="231" spans="1:108">
      <c r="A231" s="113" t="s">
        <v>1344</v>
      </c>
      <c r="B231" s="31" t="s">
        <v>149</v>
      </c>
      <c r="C231" s="37"/>
      <c r="E231" s="31">
        <v>19</v>
      </c>
      <c r="F231" s="31" t="str">
        <f>CONCATENATE("Strength ",MIN(MAX(ROUND(SQRT((IF(J231="",Axe2HDamage,J231)+IF(J231="",Axe2HDamage,J231)+IF(K231="",Axe2HDamageRange,K231))*(E231/1.4))+1,0),5),15),";Blackrock 2")</f>
        <v>Strength 13;Blackrock 2</v>
      </c>
      <c r="L231" s="31">
        <f t="shared" si="44"/>
        <v>-17.700000000000003</v>
      </c>
      <c r="Q231" s="31">
        <v>10</v>
      </c>
      <c r="S231" s="31">
        <v>7.1</v>
      </c>
      <c r="T231" s="31">
        <v>3000</v>
      </c>
      <c r="BR231" s="33"/>
      <c r="BS231" s="34"/>
      <c r="CA231" s="44"/>
      <c r="CB231" s="44"/>
      <c r="CF231" s="35" t="s">
        <v>1296</v>
      </c>
      <c r="CH231" s="44"/>
      <c r="CV231" s="36" t="s">
        <v>1341</v>
      </c>
      <c r="CW231" s="33"/>
      <c r="CX231" s="33"/>
      <c r="CY231" s="33"/>
      <c r="CZ231" s="113" t="s">
        <v>1423</v>
      </c>
      <c r="DA231" s="31">
        <v>1</v>
      </c>
      <c r="DB231" s="31">
        <v>1</v>
      </c>
      <c r="DC231" s="31">
        <v>1</v>
      </c>
    </row>
    <row r="232" spans="1:108">
      <c r="A232" s="113" t="s">
        <v>1345</v>
      </c>
      <c r="B232" s="31" t="s">
        <v>149</v>
      </c>
      <c r="C232" s="37"/>
      <c r="E232" s="31">
        <v>20</v>
      </c>
      <c r="F232" s="31" t="str">
        <f>CONCATENATE("Strength ",MIN(MAX(ROUND(SQRT((IF(J232="",Axe2HDamage,J232)+IF(J232="",Axe2HDamage,J232)+IF(K232="",Axe2HDamageRange,K232))*(E232/1.4))+1,0),5),15),";Blackrock 2")</f>
        <v>Strength 14;Blackrock 2</v>
      </c>
      <c r="L232" s="31">
        <f t="shared" ref="L232" si="45">-E232*1.8+16.5</f>
        <v>-19.5</v>
      </c>
      <c r="Q232" s="31">
        <v>10</v>
      </c>
      <c r="S232" s="31">
        <v>7.1</v>
      </c>
      <c r="T232" s="31">
        <v>3000</v>
      </c>
      <c r="BR232" s="33"/>
      <c r="BS232" s="34"/>
      <c r="CA232" s="44"/>
      <c r="CB232" s="44"/>
      <c r="CF232" s="35" t="s">
        <v>1296</v>
      </c>
      <c r="CH232" s="44"/>
      <c r="CV232" s="36" t="s">
        <v>1341</v>
      </c>
      <c r="CW232" s="33"/>
      <c r="CX232" s="33"/>
      <c r="CY232" s="33"/>
      <c r="CZ232" s="113" t="s">
        <v>1423</v>
      </c>
      <c r="DA232" s="31">
        <v>1</v>
      </c>
      <c r="DB232" s="31">
        <v>1</v>
      </c>
      <c r="DC232" s="31">
        <v>1</v>
      </c>
    </row>
    <row r="233" spans="1:108">
      <c r="A233" s="31" t="s">
        <v>1369</v>
      </c>
      <c r="B233" s="31" t="s">
        <v>149</v>
      </c>
      <c r="C233" s="37"/>
      <c r="E233" s="31">
        <v>16</v>
      </c>
      <c r="F233" s="31" t="str">
        <f>CONCATENATE("Strength ",MIN(MAX(ROUND(SQRT((IF(J233="",Axe2HDamage,J233)+IF(J233="",Axe2HDamage,J233)+IF(K233="",Axe2HDamageRange,K233))*(E233/1.4))+1,0),5),15),";Blackrock 1")</f>
        <v>Strength 12;Blackrock 1</v>
      </c>
      <c r="I233" s="113" t="s">
        <v>74</v>
      </c>
      <c r="J233" s="31">
        <v>5</v>
      </c>
      <c r="K233" s="31">
        <v>1</v>
      </c>
      <c r="L233" s="31">
        <f t="shared" ref="L233:L241" si="46">-E233*1.8+16.5</f>
        <v>-12.3</v>
      </c>
      <c r="Q233" s="31">
        <v>10</v>
      </c>
      <c r="S233" s="31">
        <v>7.2</v>
      </c>
      <c r="T233" s="31">
        <v>4000</v>
      </c>
      <c r="BR233" s="33"/>
      <c r="BS233" s="34"/>
      <c r="CA233" s="44"/>
      <c r="CB233" s="44"/>
      <c r="CF233" s="35" t="s">
        <v>1296</v>
      </c>
      <c r="CH233" s="44"/>
      <c r="CV233" s="36" t="s">
        <v>1370</v>
      </c>
      <c r="CW233" s="33"/>
      <c r="CX233" s="33"/>
      <c r="CY233" s="33"/>
      <c r="CZ233" s="113" t="s">
        <v>1424</v>
      </c>
      <c r="DA233" s="31">
        <v>1</v>
      </c>
      <c r="DB233" s="31">
        <v>1</v>
      </c>
      <c r="DC233" s="31">
        <v>1</v>
      </c>
    </row>
    <row r="234" spans="1:108">
      <c r="A234" s="113" t="s">
        <v>1371</v>
      </c>
      <c r="B234" s="31" t="s">
        <v>149</v>
      </c>
      <c r="C234" s="37"/>
      <c r="E234" s="31">
        <v>17</v>
      </c>
      <c r="F234" s="31" t="str">
        <f>CONCATENATE("Strength ",MIN(MAX(ROUND(SQRT((IF(J234="",Axe2HDamage,J234)+IF(J234="",Axe2HDamage,J234)+IF(K234="",Axe2HDamageRange,K234))*(E234/1.4))+1,0),5),15),";Blackrock 2")</f>
        <v>Strength 13;Blackrock 2</v>
      </c>
      <c r="I234" s="113" t="s">
        <v>74</v>
      </c>
      <c r="J234" s="31">
        <v>5</v>
      </c>
      <c r="K234" s="31">
        <v>1</v>
      </c>
      <c r="L234" s="31">
        <f t="shared" si="46"/>
        <v>-14.100000000000001</v>
      </c>
      <c r="Q234" s="31">
        <v>10</v>
      </c>
      <c r="S234" s="31">
        <v>7.2</v>
      </c>
      <c r="T234" s="31">
        <v>4000</v>
      </c>
      <c r="BR234" s="33"/>
      <c r="BS234" s="34"/>
      <c r="CA234" s="44"/>
      <c r="CB234" s="44"/>
      <c r="CF234" s="35" t="s">
        <v>1296</v>
      </c>
      <c r="CH234" s="44"/>
      <c r="CV234" s="36" t="s">
        <v>1370</v>
      </c>
      <c r="CW234" s="33"/>
      <c r="CX234" s="33"/>
      <c r="CY234" s="33"/>
      <c r="CZ234" s="113" t="s">
        <v>1424</v>
      </c>
      <c r="DA234" s="31">
        <v>1</v>
      </c>
      <c r="DB234" s="31">
        <v>1</v>
      </c>
      <c r="DC234" s="31">
        <v>1</v>
      </c>
    </row>
    <row r="235" spans="1:108">
      <c r="A235" s="113" t="s">
        <v>1372</v>
      </c>
      <c r="B235" s="31" t="s">
        <v>149</v>
      </c>
      <c r="C235" s="37"/>
      <c r="E235" s="31">
        <v>18</v>
      </c>
      <c r="F235" s="31" t="str">
        <f>CONCATENATE("Strength ",MIN(MAX(ROUND(SQRT((IF(J235="",Axe2HDamage,J235)+IF(J235="",Axe2HDamage,J235)+IF(K235="",Axe2HDamageRange,K235))*(E235/1.4))+1,0),5),15),";Blackrock 3")</f>
        <v>Strength 13;Blackrock 3</v>
      </c>
      <c r="I235" s="113" t="s">
        <v>74</v>
      </c>
      <c r="J235" s="31">
        <v>5</v>
      </c>
      <c r="K235" s="31">
        <v>1</v>
      </c>
      <c r="L235" s="31">
        <f t="shared" si="46"/>
        <v>-15.899999999999999</v>
      </c>
      <c r="Q235" s="31">
        <v>10</v>
      </c>
      <c r="S235" s="31">
        <v>7.2</v>
      </c>
      <c r="T235" s="31">
        <v>4000</v>
      </c>
      <c r="BR235" s="33"/>
      <c r="BS235" s="34"/>
      <c r="CA235" s="44"/>
      <c r="CB235" s="44"/>
      <c r="CF235" s="35" t="s">
        <v>1296</v>
      </c>
      <c r="CH235" s="44"/>
      <c r="CV235" s="36" t="s">
        <v>1370</v>
      </c>
      <c r="CW235" s="33"/>
      <c r="CX235" s="33"/>
      <c r="CY235" s="33"/>
      <c r="CZ235" s="113" t="s">
        <v>1424</v>
      </c>
      <c r="DA235" s="31">
        <v>1</v>
      </c>
      <c r="DB235" s="31">
        <v>1</v>
      </c>
      <c r="DC235" s="31">
        <v>1</v>
      </c>
    </row>
    <row r="236" spans="1:108">
      <c r="A236" s="113" t="s">
        <v>1373</v>
      </c>
      <c r="B236" s="31" t="s">
        <v>149</v>
      </c>
      <c r="C236" s="37"/>
      <c r="E236" s="31">
        <v>19</v>
      </c>
      <c r="F236" s="31" t="str">
        <f>CONCATENATE("Strength ",MIN(MAX(ROUND(SQRT((IF(J236="",Axe2HDamage,J236)+IF(J236="",Axe2HDamage,J236)+IF(K236="",Axe2HDamageRange,K236))*(E236/1.4))+1,0),5),15),";Blackrock 3")</f>
        <v>Strength 13;Blackrock 3</v>
      </c>
      <c r="I236" s="113" t="s">
        <v>74</v>
      </c>
      <c r="J236" s="31">
        <v>5</v>
      </c>
      <c r="K236" s="31">
        <v>1</v>
      </c>
      <c r="L236" s="31">
        <f t="shared" si="46"/>
        <v>-17.700000000000003</v>
      </c>
      <c r="Q236" s="31">
        <v>10</v>
      </c>
      <c r="S236" s="31">
        <v>7.2</v>
      </c>
      <c r="T236" s="31">
        <v>4000</v>
      </c>
      <c r="BR236" s="33"/>
      <c r="BS236" s="34"/>
      <c r="CA236" s="44"/>
      <c r="CB236" s="44"/>
      <c r="CF236" s="35" t="s">
        <v>1296</v>
      </c>
      <c r="CH236" s="44"/>
      <c r="CV236" s="36" t="s">
        <v>1370</v>
      </c>
      <c r="CW236" s="33"/>
      <c r="CX236" s="33"/>
      <c r="CY236" s="33"/>
      <c r="CZ236" s="113" t="s">
        <v>1424</v>
      </c>
      <c r="DA236" s="31">
        <v>1</v>
      </c>
      <c r="DB236" s="31">
        <v>1</v>
      </c>
      <c r="DC236" s="31">
        <v>1</v>
      </c>
    </row>
    <row r="237" spans="1:108">
      <c r="A237" s="113" t="s">
        <v>1374</v>
      </c>
      <c r="B237" s="31" t="s">
        <v>149</v>
      </c>
      <c r="C237" s="37"/>
      <c r="E237" s="31">
        <v>20</v>
      </c>
      <c r="F237" s="31" t="str">
        <f>CONCATENATE("Strength ",MIN(MAX(ROUND(SQRT((IF(J237="",Axe2HDamage,J237)+IF(J237="",Axe2HDamage,J237)+IF(K237="",Axe2HDamageRange,K237))*(E237/1.4))+1,0),5),15),";Blackrock 4")</f>
        <v>Strength 14;Blackrock 4</v>
      </c>
      <c r="I237" s="113" t="s">
        <v>74</v>
      </c>
      <c r="J237" s="31">
        <v>5</v>
      </c>
      <c r="K237" s="31">
        <v>1</v>
      </c>
      <c r="L237" s="31">
        <f t="shared" si="46"/>
        <v>-19.5</v>
      </c>
      <c r="Q237" s="31">
        <v>10</v>
      </c>
      <c r="S237" s="31">
        <v>7.2</v>
      </c>
      <c r="T237" s="31">
        <v>4000</v>
      </c>
      <c r="BR237" s="33"/>
      <c r="BS237" s="34"/>
      <c r="CA237" s="44"/>
      <c r="CB237" s="44"/>
      <c r="CF237" s="35" t="s">
        <v>1296</v>
      </c>
      <c r="CH237" s="44"/>
      <c r="CV237" s="36" t="s">
        <v>1370</v>
      </c>
      <c r="CW237" s="33"/>
      <c r="CX237" s="33"/>
      <c r="CY237" s="33"/>
      <c r="CZ237" s="113" t="s">
        <v>1424</v>
      </c>
      <c r="DA237" s="31">
        <v>1</v>
      </c>
      <c r="DB237" s="31">
        <v>1</v>
      </c>
      <c r="DC237" s="31">
        <v>1</v>
      </c>
    </row>
    <row r="238" spans="1:108" s="137" customFormat="1" ht="15">
      <c r="A238" s="137" t="s">
        <v>1518</v>
      </c>
      <c r="B238" s="137" t="s">
        <v>149</v>
      </c>
      <c r="E238" s="137">
        <v>5</v>
      </c>
      <c r="F238" s="31" t="str">
        <f>CONCATENATE("Strength ",MIN(MAX(ROUND(SQRT((IF(J238="",Axe2HDamage,J238)+IF(J238="",Axe2HDamage,J238)+IF(K238="",Axe2HDamageRange,K238))*(E238/1.4))+1,0),5),15))</f>
        <v>Strength 8</v>
      </c>
      <c r="J238" s="137">
        <v>5</v>
      </c>
      <c r="K238" s="137">
        <v>2</v>
      </c>
      <c r="L238" s="31">
        <f t="shared" si="46"/>
        <v>7.5</v>
      </c>
      <c r="S238" s="137">
        <v>1.7</v>
      </c>
      <c r="BR238" s="138"/>
      <c r="BS238" s="139"/>
      <c r="CA238" s="138"/>
      <c r="CB238" s="138"/>
      <c r="CC238" s="140"/>
      <c r="CD238" s="140"/>
      <c r="CE238" s="140"/>
      <c r="CF238" s="140"/>
      <c r="CH238" s="138"/>
      <c r="CV238" s="141" t="s">
        <v>1522</v>
      </c>
      <c r="CW238" s="138"/>
      <c r="CX238" s="138"/>
      <c r="CY238" s="138"/>
      <c r="DD238" s="137">
        <v>1</v>
      </c>
    </row>
    <row r="239" spans="1:108" s="137" customFormat="1" ht="15">
      <c r="A239" s="137" t="s">
        <v>1519</v>
      </c>
      <c r="B239" s="137" t="s">
        <v>149</v>
      </c>
      <c r="E239" s="137">
        <v>10</v>
      </c>
      <c r="F239" s="31" t="str">
        <f>CONCATENATE("Strength ",MIN(MAX(ROUND(SQRT((IF(J239="",Axe2HDamage,J239)+IF(J239="",Axe2HDamage,J239)+IF(K239="",Axe2HDamageRange,K239))*(E239/1.4))+1,0),5),15))</f>
        <v>Strength 10</v>
      </c>
      <c r="J239" s="137">
        <v>5</v>
      </c>
      <c r="K239" s="137">
        <v>2</v>
      </c>
      <c r="L239" s="31">
        <f t="shared" si="46"/>
        <v>-1.5</v>
      </c>
      <c r="S239" s="137">
        <v>1.9</v>
      </c>
      <c r="BR239" s="138"/>
      <c r="BS239" s="139"/>
      <c r="CA239" s="138"/>
      <c r="CB239" s="138"/>
      <c r="CC239" s="140"/>
      <c r="CD239" s="140" t="s">
        <v>1069</v>
      </c>
      <c r="CE239" s="140"/>
      <c r="CF239" s="140"/>
      <c r="CH239" s="138"/>
      <c r="CV239" s="141" t="s">
        <v>1523</v>
      </c>
      <c r="CW239" s="138"/>
      <c r="CX239" s="138"/>
      <c r="CY239" s="138"/>
      <c r="DD239" s="137">
        <v>1</v>
      </c>
    </row>
    <row r="240" spans="1:108" s="137" customFormat="1" ht="15">
      <c r="A240" s="137" t="s">
        <v>1520</v>
      </c>
      <c r="B240" s="137" t="s">
        <v>149</v>
      </c>
      <c r="E240" s="137">
        <v>15</v>
      </c>
      <c r="F240" s="31" t="str">
        <f>CONCATENATE("Strength ",MIN(MAX(ROUND(SQRT((IF(J240="",Axe2HDamage,J240)+IF(J240="",Axe2HDamage,J240)+IF(K240="",Axe2HDamageRange,K240))*(E240/1.4))+1,0),5),15))</f>
        <v>Strength 13</v>
      </c>
      <c r="J240" s="137">
        <v>5</v>
      </c>
      <c r="K240" s="137">
        <v>3</v>
      </c>
      <c r="L240" s="31">
        <f t="shared" si="46"/>
        <v>-10.5</v>
      </c>
      <c r="S240" s="137">
        <v>2.1</v>
      </c>
      <c r="AA240" s="137">
        <v>1</v>
      </c>
      <c r="BR240" s="138"/>
      <c r="BS240" s="139"/>
      <c r="CA240" s="138"/>
      <c r="CB240" s="138"/>
      <c r="CC240" s="140"/>
      <c r="CD240" s="140" t="s">
        <v>1059</v>
      </c>
      <c r="CE240" s="140"/>
      <c r="CF240" s="140"/>
      <c r="CH240" s="138"/>
      <c r="CV240" s="141" t="s">
        <v>1524</v>
      </c>
      <c r="CW240" s="138"/>
      <c r="CX240" s="138"/>
      <c r="CY240" s="138"/>
      <c r="DD240" s="137">
        <v>1</v>
      </c>
    </row>
    <row r="241" spans="1:110" s="137" customFormat="1" ht="15">
      <c r="A241" s="137" t="s">
        <v>1521</v>
      </c>
      <c r="B241" s="137" t="s">
        <v>149</v>
      </c>
      <c r="E241" s="137">
        <v>20</v>
      </c>
      <c r="F241" s="113" t="s">
        <v>1723</v>
      </c>
      <c r="J241" s="137">
        <v>6</v>
      </c>
      <c r="K241" s="137">
        <v>2</v>
      </c>
      <c r="L241" s="31">
        <f t="shared" si="46"/>
        <v>-19.5</v>
      </c>
      <c r="S241" s="137">
        <v>2.2999999999999998</v>
      </c>
      <c r="AA241" s="137">
        <v>1</v>
      </c>
      <c r="AD241" s="137">
        <v>1</v>
      </c>
      <c r="BR241" s="138"/>
      <c r="BS241" s="139"/>
      <c r="CA241" s="138"/>
      <c r="CB241" s="138"/>
      <c r="CC241" s="140"/>
      <c r="CD241" s="140" t="s">
        <v>1432</v>
      </c>
      <c r="CE241" s="140"/>
      <c r="CF241" s="140"/>
      <c r="CH241" s="138"/>
      <c r="CV241" s="141" t="s">
        <v>1525</v>
      </c>
      <c r="CW241" s="138"/>
      <c r="CX241" s="138"/>
      <c r="CY241" s="138"/>
      <c r="DD241" s="137">
        <v>1</v>
      </c>
    </row>
    <row r="242" spans="1:110">
      <c r="A242" s="27" t="s">
        <v>165</v>
      </c>
      <c r="B242" s="27"/>
      <c r="C242" s="28" t="s">
        <v>73</v>
      </c>
      <c r="D242" s="27">
        <v>1</v>
      </c>
      <c r="E242" s="27"/>
      <c r="F242" s="27" t="s">
        <v>704</v>
      </c>
      <c r="G242" s="27" t="s">
        <v>606</v>
      </c>
      <c r="H242" s="27">
        <v>4</v>
      </c>
      <c r="I242" s="27" t="s">
        <v>99</v>
      </c>
      <c r="J242" s="27">
        <v>5</v>
      </c>
      <c r="K242" s="27">
        <v>1</v>
      </c>
      <c r="L242" s="27"/>
      <c r="M242" s="27"/>
      <c r="N242" s="27">
        <v>2</v>
      </c>
      <c r="O242" s="27">
        <v>0</v>
      </c>
      <c r="P242" s="27">
        <v>2</v>
      </c>
      <c r="Q242" s="27">
        <v>6</v>
      </c>
      <c r="R242" s="27">
        <v>6</v>
      </c>
      <c r="S242" s="27">
        <v>4.4000000000000004</v>
      </c>
      <c r="T242" s="27">
        <v>4000</v>
      </c>
      <c r="U242" s="27">
        <v>0</v>
      </c>
      <c r="V242" s="27"/>
      <c r="W242" s="27" t="s">
        <v>100</v>
      </c>
      <c r="X242" s="27"/>
      <c r="Y242" s="27" t="s">
        <v>76</v>
      </c>
      <c r="Z242" s="27"/>
      <c r="AA242" s="27"/>
      <c r="AB242" s="27"/>
      <c r="AC242" s="27"/>
      <c r="AD242" s="27"/>
      <c r="AE242" s="27"/>
      <c r="AF242" s="27"/>
      <c r="AG242" s="27"/>
      <c r="AH242" s="27"/>
      <c r="AI242" s="27"/>
      <c r="AJ242" s="27"/>
      <c r="AK242" s="27"/>
      <c r="AL242" s="27"/>
      <c r="AM242" s="27"/>
      <c r="AN242" s="27"/>
      <c r="AO242" s="27"/>
      <c r="AP242" s="27"/>
      <c r="AQ242" s="27"/>
      <c r="AR242" s="27"/>
      <c r="AS242" s="27"/>
      <c r="AT242" s="27"/>
      <c r="AU242" s="27"/>
      <c r="AV242" s="27"/>
      <c r="AW242" s="27"/>
      <c r="AX242" s="27"/>
      <c r="AY242" s="27"/>
      <c r="AZ242" s="27"/>
      <c r="BA242" s="27"/>
      <c r="BB242" s="27"/>
      <c r="BC242" s="27"/>
      <c r="BD242" s="27"/>
      <c r="BE242" s="27"/>
      <c r="BF242" s="27"/>
      <c r="BG242" s="27"/>
      <c r="BH242" s="27"/>
      <c r="BI242" s="27"/>
      <c r="BJ242" s="27"/>
      <c r="BK242" s="27"/>
      <c r="BL242" s="27"/>
      <c r="BM242" s="27"/>
      <c r="BN242" s="27"/>
      <c r="BO242" s="27"/>
      <c r="BP242" s="27"/>
      <c r="BQ242" s="32"/>
      <c r="BR242" s="32"/>
      <c r="BS242" s="32"/>
      <c r="BT242" s="32"/>
      <c r="BU242" s="32"/>
      <c r="BV242" s="32"/>
      <c r="BW242" s="32"/>
      <c r="BX242" s="32"/>
      <c r="BY242" s="32"/>
      <c r="BZ242" s="32"/>
      <c r="CA242" s="32"/>
      <c r="CB242" s="32"/>
      <c r="CC242" s="32"/>
      <c r="CD242" s="32"/>
      <c r="CE242" s="32"/>
      <c r="CF242" s="32"/>
      <c r="CG242" s="32" t="s">
        <v>730</v>
      </c>
      <c r="CH242" s="32" t="s">
        <v>1736</v>
      </c>
      <c r="CI242" s="32"/>
      <c r="CJ242" s="32"/>
      <c r="CK242" s="32"/>
      <c r="CL242" s="32"/>
      <c r="CM242" s="32"/>
      <c r="CN242" s="32"/>
      <c r="CO242" s="27"/>
      <c r="CP242" s="27"/>
      <c r="CQ242" s="27"/>
      <c r="CR242" s="27"/>
      <c r="CS242" s="27"/>
      <c r="CT242" s="27"/>
      <c r="CU242" s="27"/>
      <c r="CV242" s="32"/>
      <c r="CW242" s="27"/>
      <c r="CX242" s="27"/>
      <c r="CY242" s="27"/>
      <c r="CZ242" s="27"/>
      <c r="DA242" s="52"/>
      <c r="DB242" s="52"/>
      <c r="DC242" s="27">
        <v>0</v>
      </c>
      <c r="DD242" s="27">
        <v>0</v>
      </c>
    </row>
    <row r="243" spans="1:110">
      <c r="A243" s="31" t="s">
        <v>874</v>
      </c>
      <c r="B243" s="31" t="s">
        <v>165</v>
      </c>
      <c r="E243" s="31">
        <v>1</v>
      </c>
      <c r="F243" s="31" t="s">
        <v>698</v>
      </c>
      <c r="Q243" s="31">
        <v>7</v>
      </c>
      <c r="S243" s="31">
        <v>4.3</v>
      </c>
      <c r="BY243" s="27"/>
      <c r="BZ243" s="27"/>
      <c r="CA243" s="31" t="s">
        <v>167</v>
      </c>
      <c r="CC243" s="24"/>
      <c r="CD243" s="24"/>
      <c r="CE243" s="24"/>
      <c r="CF243" s="24"/>
      <c r="CO243" s="27"/>
      <c r="CP243" s="27"/>
      <c r="CQ243" s="27"/>
      <c r="CR243" s="27"/>
      <c r="CS243" s="27"/>
      <c r="CT243" s="27"/>
      <c r="CU243" s="27"/>
      <c r="CV243" s="49" t="s">
        <v>442</v>
      </c>
      <c r="CW243" s="27"/>
      <c r="CX243" s="27"/>
      <c r="CY243" s="27"/>
    </row>
    <row r="244" spans="1:110">
      <c r="A244" s="31" t="s">
        <v>875</v>
      </c>
      <c r="B244" s="31" t="s">
        <v>165</v>
      </c>
      <c r="E244" s="31">
        <v>1</v>
      </c>
      <c r="F244" s="31" t="s">
        <v>698</v>
      </c>
      <c r="Q244" s="31">
        <v>7</v>
      </c>
      <c r="S244" s="31">
        <v>4.4000000000000004</v>
      </c>
      <c r="BY244" s="27"/>
      <c r="BZ244" s="27"/>
      <c r="CA244" s="31" t="s">
        <v>167</v>
      </c>
      <c r="CC244" s="24"/>
      <c r="CD244" s="24"/>
      <c r="CE244" s="24"/>
      <c r="CF244" s="24"/>
      <c r="CO244" s="27"/>
      <c r="CP244" s="27"/>
      <c r="CQ244" s="27"/>
      <c r="CR244" s="27"/>
      <c r="CS244" s="27"/>
      <c r="CT244" s="27"/>
      <c r="CU244" s="27"/>
      <c r="CV244" s="49" t="s">
        <v>442</v>
      </c>
      <c r="CW244" s="27"/>
      <c r="CX244" s="27"/>
      <c r="CY244" s="27"/>
    </row>
    <row r="245" spans="1:110">
      <c r="A245" s="31" t="s">
        <v>876</v>
      </c>
      <c r="B245" s="31" t="s">
        <v>165</v>
      </c>
      <c r="E245" s="31">
        <v>1</v>
      </c>
      <c r="F245" s="31" t="s">
        <v>698</v>
      </c>
      <c r="Q245" s="31">
        <v>7</v>
      </c>
      <c r="S245" s="31">
        <v>4.4000000000000004</v>
      </c>
      <c r="BY245" s="27"/>
      <c r="BZ245" s="27"/>
      <c r="CA245" s="31" t="s">
        <v>167</v>
      </c>
      <c r="CC245" s="24"/>
      <c r="CD245" s="24"/>
      <c r="CE245" s="24"/>
      <c r="CF245" s="24"/>
      <c r="CO245" s="27"/>
      <c r="CP245" s="27"/>
      <c r="CQ245" s="27"/>
      <c r="CR245" s="27"/>
      <c r="CS245" s="27"/>
      <c r="CT245" s="27"/>
      <c r="CU245" s="27"/>
      <c r="CV245" s="49" t="s">
        <v>806</v>
      </c>
      <c r="CW245" s="27"/>
      <c r="CX245" s="27"/>
      <c r="CY245" s="27"/>
    </row>
    <row r="246" spans="1:110">
      <c r="A246" s="31" t="s">
        <v>877</v>
      </c>
      <c r="B246" s="31" t="s">
        <v>165</v>
      </c>
      <c r="E246" s="31">
        <v>1</v>
      </c>
      <c r="F246" s="31" t="s">
        <v>698</v>
      </c>
      <c r="Q246" s="31">
        <v>8</v>
      </c>
      <c r="S246" s="31">
        <v>4.5</v>
      </c>
      <c r="BY246" s="27"/>
      <c r="BZ246" s="27"/>
      <c r="CA246" s="31" t="s">
        <v>167</v>
      </c>
      <c r="CC246" s="24"/>
      <c r="CD246" s="24"/>
      <c r="CE246" s="24"/>
      <c r="CF246" s="24"/>
      <c r="CO246" s="27"/>
      <c r="CP246" s="27"/>
      <c r="CQ246" s="27"/>
      <c r="CR246" s="27"/>
      <c r="CS246" s="27"/>
      <c r="CT246" s="27"/>
      <c r="CU246" s="27"/>
      <c r="CV246" s="49" t="s">
        <v>806</v>
      </c>
      <c r="CW246" s="27"/>
      <c r="CX246" s="27"/>
      <c r="CY246" s="27"/>
    </row>
    <row r="247" spans="1:110" s="38" customFormat="1">
      <c r="A247" s="38" t="s">
        <v>878</v>
      </c>
      <c r="B247" s="38" t="s">
        <v>165</v>
      </c>
      <c r="E247" s="38">
        <v>1</v>
      </c>
      <c r="F247" s="38" t="s">
        <v>698</v>
      </c>
      <c r="J247" s="38">
        <v>6</v>
      </c>
      <c r="K247" s="38">
        <v>2</v>
      </c>
      <c r="L247" s="31"/>
      <c r="Q247" s="38">
        <v>10</v>
      </c>
      <c r="S247" s="38">
        <v>4.5</v>
      </c>
      <c r="BY247" s="53"/>
      <c r="BZ247" s="53"/>
      <c r="CA247" s="38" t="s">
        <v>167</v>
      </c>
      <c r="CC247" s="50"/>
      <c r="CD247" s="50"/>
      <c r="CE247" s="50"/>
      <c r="CF247" s="50"/>
      <c r="CO247" s="53"/>
      <c r="CP247" s="53"/>
      <c r="CQ247" s="53"/>
      <c r="CR247" s="53"/>
      <c r="CS247" s="53"/>
      <c r="CT247" s="53"/>
      <c r="CU247" s="53"/>
      <c r="CV247" s="42" t="s">
        <v>807</v>
      </c>
      <c r="CW247" s="53"/>
      <c r="CX247" s="53"/>
      <c r="CY247" s="53"/>
    </row>
    <row r="248" spans="1:110">
      <c r="A248" s="31" t="s">
        <v>487</v>
      </c>
      <c r="B248" s="31" t="s">
        <v>165</v>
      </c>
      <c r="E248" s="31">
        <v>1</v>
      </c>
      <c r="F248" s="113" t="s">
        <v>1085</v>
      </c>
      <c r="L248" s="31">
        <f t="shared" ref="L248:L270" si="47">-E248*1.8+16.5</f>
        <v>14.7</v>
      </c>
      <c r="Q248" s="31">
        <v>8</v>
      </c>
      <c r="BY248" s="27"/>
      <c r="BZ248" s="27"/>
      <c r="CA248" s="31" t="s">
        <v>167</v>
      </c>
      <c r="CC248" s="24"/>
      <c r="CD248" s="24"/>
      <c r="CE248" s="24"/>
      <c r="CF248" s="24"/>
      <c r="CO248" s="27"/>
      <c r="CP248" s="27"/>
      <c r="CQ248" s="27"/>
      <c r="CR248" s="27"/>
      <c r="CS248" s="27"/>
      <c r="CT248" s="27"/>
      <c r="CU248" s="27"/>
      <c r="CV248" s="49" t="s">
        <v>442</v>
      </c>
      <c r="CW248" s="27"/>
      <c r="CX248" s="27"/>
      <c r="CY248" s="27"/>
    </row>
    <row r="249" spans="1:110" s="81" customFormat="1">
      <c r="A249" s="81" t="s">
        <v>1469</v>
      </c>
      <c r="B249" s="81" t="s">
        <v>165</v>
      </c>
      <c r="E249" s="81">
        <v>13</v>
      </c>
      <c r="F249" s="31" t="str">
        <f t="shared" ref="F249:F270" si="48">CONCATENATE("Strength ",MIN(MAX(ROUND(SQRT((IF(J249="",Sword2HDamage,J249)+IF(J249="",Sword2HDamage,J249)+IF(K249="",Sword2HDamageRange,K249))*(E249/1.4))+1,0),5),15))</f>
        <v>Strength 12</v>
      </c>
      <c r="J249" s="81">
        <v>6</v>
      </c>
      <c r="K249" s="81">
        <v>2</v>
      </c>
      <c r="L249" s="31">
        <f t="shared" si="47"/>
        <v>-6.9000000000000021</v>
      </c>
      <c r="Q249" s="81">
        <v>10</v>
      </c>
      <c r="S249" s="81">
        <v>6</v>
      </c>
      <c r="T249" s="81">
        <v>3000</v>
      </c>
      <c r="U249" s="81">
        <v>1</v>
      </c>
      <c r="AD249" s="81">
        <v>1</v>
      </c>
      <c r="AV249" s="81">
        <v>1</v>
      </c>
      <c r="BK249" s="81">
        <v>5</v>
      </c>
      <c r="BT249" s="81">
        <v>4</v>
      </c>
      <c r="CA249" s="81" t="s">
        <v>167</v>
      </c>
      <c r="CC249" s="82"/>
      <c r="CD249" s="82"/>
      <c r="CE249" s="83"/>
      <c r="CF249" s="81" t="s">
        <v>482</v>
      </c>
      <c r="CV249" s="84" t="s">
        <v>1470</v>
      </c>
      <c r="CZ249" s="81" t="s">
        <v>1724</v>
      </c>
      <c r="DA249" s="81">
        <v>1</v>
      </c>
      <c r="DB249" s="81">
        <v>1</v>
      </c>
      <c r="DC249" s="81">
        <v>1</v>
      </c>
      <c r="DD249" s="81">
        <v>1</v>
      </c>
      <c r="DE249" s="81">
        <v>12</v>
      </c>
      <c r="DF249" s="81">
        <v>20</v>
      </c>
    </row>
    <row r="250" spans="1:110" s="81" customFormat="1">
      <c r="A250" s="81" t="s">
        <v>684</v>
      </c>
      <c r="B250" s="81" t="s">
        <v>165</v>
      </c>
      <c r="E250" s="81">
        <v>3</v>
      </c>
      <c r="F250" s="31" t="str">
        <f t="shared" si="48"/>
        <v>Strength 6</v>
      </c>
      <c r="L250" s="31">
        <f t="shared" si="47"/>
        <v>11.1</v>
      </c>
      <c r="Q250" s="81">
        <v>6</v>
      </c>
      <c r="S250" s="81">
        <v>4.3</v>
      </c>
      <c r="CA250" s="81" t="s">
        <v>167</v>
      </c>
      <c r="CC250" s="82"/>
      <c r="CD250" s="82"/>
      <c r="CE250" s="83"/>
      <c r="CF250" s="83"/>
      <c r="CV250" s="84" t="s">
        <v>696</v>
      </c>
      <c r="DD250" s="81">
        <v>1</v>
      </c>
    </row>
    <row r="251" spans="1:110">
      <c r="A251" s="31" t="s">
        <v>166</v>
      </c>
      <c r="B251" s="31" t="s">
        <v>165</v>
      </c>
      <c r="E251" s="31">
        <v>1</v>
      </c>
      <c r="F251" s="31" t="str">
        <f t="shared" si="48"/>
        <v>Strength 5</v>
      </c>
      <c r="L251" s="31">
        <f t="shared" si="47"/>
        <v>14.7</v>
      </c>
      <c r="BY251" s="27"/>
      <c r="BZ251" s="27"/>
      <c r="CA251" s="31" t="s">
        <v>167</v>
      </c>
      <c r="CC251" s="24"/>
      <c r="CD251" s="24"/>
      <c r="CE251" s="24"/>
      <c r="CF251" s="24"/>
      <c r="CO251" s="27"/>
      <c r="CP251" s="27"/>
      <c r="CQ251" s="27"/>
      <c r="CR251" s="27"/>
      <c r="CS251" s="27"/>
      <c r="CT251" s="27"/>
      <c r="CU251" s="27"/>
      <c r="CV251" s="49" t="s">
        <v>442</v>
      </c>
      <c r="CW251" s="27"/>
      <c r="CX251" s="27"/>
      <c r="CY251" s="27"/>
      <c r="CZ251" s="31" t="s">
        <v>167</v>
      </c>
      <c r="DA251" s="31">
        <v>1</v>
      </c>
      <c r="DB251" s="31">
        <v>1</v>
      </c>
      <c r="DC251" s="31">
        <v>1</v>
      </c>
    </row>
    <row r="252" spans="1:110">
      <c r="A252" s="103" t="s">
        <v>169</v>
      </c>
      <c r="B252" s="31" t="s">
        <v>165</v>
      </c>
      <c r="E252" s="31">
        <v>2</v>
      </c>
      <c r="F252" s="31" t="str">
        <f>CONCATENATE("Strength ",MIN(MAX(ROUND(SQRT((IF(J252="",Sword2HDamage,J252)+IF(J252="",Sword2HDamage,J252)+IF(K252="",Sword2HDamageRange,K252))*(E252/1.4))+1,0),5),15))</f>
        <v>Strength 5</v>
      </c>
      <c r="L252" s="31">
        <f>-E252*1.8+16.5</f>
        <v>12.9</v>
      </c>
      <c r="BY252" s="27"/>
      <c r="BZ252" s="27"/>
      <c r="CA252" s="31" t="s">
        <v>167</v>
      </c>
      <c r="CC252" s="24"/>
      <c r="CD252" s="24"/>
      <c r="CE252" s="24"/>
      <c r="CF252" s="24"/>
      <c r="CO252" s="27"/>
      <c r="CP252" s="27"/>
      <c r="CQ252" s="27"/>
      <c r="CR252" s="27"/>
      <c r="CS252" s="27"/>
      <c r="CT252" s="27"/>
      <c r="CU252" s="27"/>
      <c r="CV252" s="49" t="s">
        <v>1872</v>
      </c>
      <c r="CW252" s="27"/>
      <c r="CX252" s="27"/>
      <c r="CY252" s="27"/>
      <c r="CZ252" s="31" t="s">
        <v>167</v>
      </c>
      <c r="DA252" s="31">
        <v>1</v>
      </c>
      <c r="DB252" s="31">
        <v>1</v>
      </c>
      <c r="DC252" s="31">
        <v>1</v>
      </c>
    </row>
    <row r="253" spans="1:110">
      <c r="A253" s="103" t="s">
        <v>670</v>
      </c>
      <c r="B253" s="31" t="s">
        <v>165</v>
      </c>
      <c r="E253" s="31">
        <v>3</v>
      </c>
      <c r="F253" s="31" t="str">
        <f>CONCATENATE("Strength ",MIN(MAX(ROUND(SQRT((IF(J253="",Sword2HDamage,J253)+IF(J253="",Sword2HDamage,J253)+IF(K253="",Sword2HDamageRange,K253))*(E253/1.4))+1,0),5),15))</f>
        <v>Strength 6</v>
      </c>
      <c r="L253" s="31">
        <f>-E253*1.8+16.5</f>
        <v>11.1</v>
      </c>
      <c r="BY253" s="27"/>
      <c r="BZ253" s="27"/>
      <c r="CA253" s="31" t="s">
        <v>167</v>
      </c>
      <c r="CC253" s="24"/>
      <c r="CD253" s="24"/>
      <c r="CE253" s="24"/>
      <c r="CF253" s="24"/>
      <c r="CO253" s="27"/>
      <c r="CP253" s="27"/>
      <c r="CQ253" s="27"/>
      <c r="CR253" s="27"/>
      <c r="CS253" s="27"/>
      <c r="CT253" s="27"/>
      <c r="CU253" s="27"/>
      <c r="CV253" s="49" t="s">
        <v>1872</v>
      </c>
      <c r="CW253" s="27"/>
      <c r="CX253" s="27"/>
      <c r="CY253" s="27"/>
      <c r="CZ253" s="31" t="s">
        <v>167</v>
      </c>
      <c r="DA253" s="31">
        <v>1</v>
      </c>
      <c r="DB253" s="31">
        <v>1</v>
      </c>
      <c r="DC253" s="31">
        <v>1</v>
      </c>
    </row>
    <row r="254" spans="1:110">
      <c r="A254" s="31" t="s">
        <v>170</v>
      </c>
      <c r="B254" s="31" t="s">
        <v>165</v>
      </c>
      <c r="E254" s="31">
        <v>4</v>
      </c>
      <c r="F254" s="31" t="str">
        <f>CONCATENATE("Strength ",MIN(MAX(ROUND(SQRT((IF(J254="",Sword2HDamage,J254)+IF(J254="",Sword2HDamage,J254)+IF(K254="",Sword2HDamageRange,K254))*(E254/1.4))+1,0),5),15))</f>
        <v>Strength 7</v>
      </c>
      <c r="L254" s="31">
        <f>-E254*1.8+16.5</f>
        <v>9.3000000000000007</v>
      </c>
      <c r="BY254" s="27"/>
      <c r="BZ254" s="27"/>
      <c r="CA254" s="31" t="s">
        <v>167</v>
      </c>
      <c r="CC254" s="24"/>
      <c r="CD254" s="24"/>
      <c r="CE254" s="24"/>
      <c r="CF254" s="24"/>
      <c r="CO254" s="27"/>
      <c r="CP254" s="27"/>
      <c r="CQ254" s="27"/>
      <c r="CR254" s="27"/>
      <c r="CS254" s="27"/>
      <c r="CT254" s="27"/>
      <c r="CU254" s="27"/>
      <c r="CV254" s="49" t="s">
        <v>1873</v>
      </c>
      <c r="CW254" s="27"/>
      <c r="CX254" s="27"/>
      <c r="CY254" s="27"/>
      <c r="CZ254" s="31" t="s">
        <v>167</v>
      </c>
      <c r="DA254" s="31">
        <v>1</v>
      </c>
      <c r="DB254" s="31">
        <v>1</v>
      </c>
      <c r="DC254" s="31">
        <v>1</v>
      </c>
    </row>
    <row r="255" spans="1:110">
      <c r="A255" s="31" t="s">
        <v>671</v>
      </c>
      <c r="B255" s="31" t="s">
        <v>165</v>
      </c>
      <c r="E255" s="31">
        <v>5</v>
      </c>
      <c r="F255" s="31" t="str">
        <f>CONCATENATE("Strength ",MIN(MAX(ROUND(SQRT((IF(J255="",Sword2HDamage,J255)+IF(J255="",Sword2HDamage,J255)+IF(K255="",Sword2HDamageRange,K255))*(E255/1.4))+1,0),5),15))</f>
        <v>Strength 7</v>
      </c>
      <c r="L255" s="31">
        <f>-E255*1.8+16.5</f>
        <v>7.5</v>
      </c>
      <c r="BY255" s="27"/>
      <c r="BZ255" s="27"/>
      <c r="CA255" s="31" t="s">
        <v>167</v>
      </c>
      <c r="CC255" s="24"/>
      <c r="CD255" s="24"/>
      <c r="CE255" s="24"/>
      <c r="CF255" s="24"/>
      <c r="CO255" s="27"/>
      <c r="CP255" s="27"/>
      <c r="CQ255" s="27"/>
      <c r="CR255" s="27"/>
      <c r="CS255" s="27"/>
      <c r="CT255" s="27"/>
      <c r="CU255" s="27"/>
      <c r="CV255" s="49" t="s">
        <v>1875</v>
      </c>
      <c r="CW255" s="27"/>
      <c r="CX255" s="27"/>
      <c r="CY255" s="27"/>
      <c r="CZ255" s="31" t="s">
        <v>167</v>
      </c>
      <c r="DA255" s="31">
        <v>1</v>
      </c>
      <c r="DB255" s="31">
        <v>1</v>
      </c>
      <c r="DC255" s="31">
        <v>1</v>
      </c>
    </row>
    <row r="256" spans="1:110">
      <c r="A256" s="31" t="s">
        <v>168</v>
      </c>
      <c r="B256" s="31" t="s">
        <v>165</v>
      </c>
      <c r="E256" s="31">
        <v>6</v>
      </c>
      <c r="F256" s="31" t="str">
        <f t="shared" si="48"/>
        <v>Strength 8</v>
      </c>
      <c r="L256" s="31">
        <f t="shared" si="47"/>
        <v>5.6999999999999993</v>
      </c>
      <c r="BY256" s="27"/>
      <c r="BZ256" s="27"/>
      <c r="CA256" s="31" t="s">
        <v>167</v>
      </c>
      <c r="CC256" s="24"/>
      <c r="CD256" s="24"/>
      <c r="CE256" s="24"/>
      <c r="CF256" s="24"/>
      <c r="CO256" s="27"/>
      <c r="CP256" s="27"/>
      <c r="CQ256" s="27"/>
      <c r="CR256" s="27"/>
      <c r="CS256" s="27"/>
      <c r="CT256" s="27"/>
      <c r="CU256" s="27"/>
      <c r="CV256" s="49" t="s">
        <v>1871</v>
      </c>
      <c r="CW256" s="27"/>
      <c r="CX256" s="27"/>
      <c r="CY256" s="27"/>
      <c r="CZ256" s="31" t="s">
        <v>167</v>
      </c>
      <c r="DA256" s="31">
        <v>1</v>
      </c>
      <c r="DB256" s="31">
        <v>1</v>
      </c>
      <c r="DC256" s="31">
        <v>1</v>
      </c>
    </row>
    <row r="257" spans="1:107">
      <c r="A257" s="31" t="s">
        <v>669</v>
      </c>
      <c r="B257" s="31" t="s">
        <v>165</v>
      </c>
      <c r="E257" s="31">
        <v>7</v>
      </c>
      <c r="F257" s="31" t="str">
        <f t="shared" si="48"/>
        <v>Strength 8</v>
      </c>
      <c r="L257" s="31">
        <f t="shared" si="47"/>
        <v>3.9000000000000004</v>
      </c>
      <c r="BY257" s="27"/>
      <c r="BZ257" s="27"/>
      <c r="CA257" s="31" t="s">
        <v>167</v>
      </c>
      <c r="CC257" s="24"/>
      <c r="CD257" s="24"/>
      <c r="CE257" s="24"/>
      <c r="CF257" s="24"/>
      <c r="CO257" s="27"/>
      <c r="CP257" s="27"/>
      <c r="CQ257" s="27"/>
      <c r="CR257" s="27"/>
      <c r="CS257" s="27"/>
      <c r="CT257" s="27"/>
      <c r="CU257" s="27"/>
      <c r="CV257" s="49" t="s">
        <v>1871</v>
      </c>
      <c r="CW257" s="27"/>
      <c r="CX257" s="27"/>
      <c r="CY257" s="27"/>
      <c r="CZ257" s="31" t="s">
        <v>167</v>
      </c>
      <c r="DA257" s="31">
        <v>1</v>
      </c>
      <c r="DB257" s="31">
        <v>1</v>
      </c>
      <c r="DC257" s="31">
        <v>1</v>
      </c>
    </row>
    <row r="258" spans="1:107">
      <c r="A258" s="31" t="s">
        <v>1117</v>
      </c>
      <c r="B258" s="31" t="s">
        <v>165</v>
      </c>
      <c r="E258" s="31">
        <v>8</v>
      </c>
      <c r="F258" s="31" t="str">
        <f>CONCATENATE("Strength ",MIN(MAX(ROUND(SQRT((IF(J258="",Sword2HDamage,J258)+IF(J258="",Sword2HDamage,J258)+IF(K258="",Sword2HDamageRange,K258))*(E258/1.4))+1,0),5),15))</f>
        <v>Strength 9</v>
      </c>
      <c r="L258" s="31">
        <f>-E258*1.8+16.5</f>
        <v>2.0999999999999996</v>
      </c>
      <c r="BY258" s="27"/>
      <c r="BZ258" s="27"/>
      <c r="CA258" s="31" t="s">
        <v>167</v>
      </c>
      <c r="CC258" s="24"/>
      <c r="CD258" s="24"/>
      <c r="CE258" s="24"/>
      <c r="CF258" s="24"/>
      <c r="CO258" s="27"/>
      <c r="CP258" s="27"/>
      <c r="CQ258" s="27"/>
      <c r="CR258" s="27"/>
      <c r="CS258" s="27"/>
      <c r="CT258" s="27"/>
      <c r="CU258" s="27"/>
      <c r="CV258" s="49" t="s">
        <v>1874</v>
      </c>
      <c r="CW258" s="27"/>
      <c r="CX258" s="27"/>
      <c r="CY258" s="27"/>
      <c r="CZ258" s="31" t="s">
        <v>167</v>
      </c>
      <c r="DA258" s="31">
        <v>1</v>
      </c>
      <c r="DB258" s="31">
        <v>1</v>
      </c>
      <c r="DC258" s="31">
        <v>1</v>
      </c>
    </row>
    <row r="259" spans="1:107">
      <c r="A259" s="103" t="s">
        <v>172</v>
      </c>
      <c r="B259" s="31" t="s">
        <v>165</v>
      </c>
      <c r="E259" s="31">
        <v>9</v>
      </c>
      <c r="F259" s="31" t="str">
        <f t="shared" si="48"/>
        <v>Strength 9</v>
      </c>
      <c r="L259" s="31">
        <f t="shared" si="47"/>
        <v>0.30000000000000071</v>
      </c>
      <c r="BY259" s="27"/>
      <c r="BZ259" s="27"/>
      <c r="CA259" s="31" t="s">
        <v>167</v>
      </c>
      <c r="CC259" s="24"/>
      <c r="CD259" s="24"/>
      <c r="CE259" s="24"/>
      <c r="CF259" s="24"/>
      <c r="CO259" s="27"/>
      <c r="CP259" s="27"/>
      <c r="CQ259" s="27"/>
      <c r="CR259" s="27"/>
      <c r="CS259" s="27"/>
      <c r="CT259" s="27"/>
      <c r="CU259" s="27"/>
      <c r="CV259" s="49" t="s">
        <v>807</v>
      </c>
      <c r="CW259" s="27"/>
      <c r="CX259" s="27"/>
      <c r="CY259" s="27"/>
      <c r="CZ259" s="31" t="s">
        <v>167</v>
      </c>
      <c r="DA259" s="31">
        <v>1</v>
      </c>
      <c r="DB259" s="31">
        <v>1</v>
      </c>
      <c r="DC259" s="31">
        <v>1</v>
      </c>
    </row>
    <row r="260" spans="1:107">
      <c r="A260" s="103" t="s">
        <v>495</v>
      </c>
      <c r="B260" s="31" t="s">
        <v>165</v>
      </c>
      <c r="E260" s="31">
        <v>10</v>
      </c>
      <c r="F260" s="31" t="str">
        <f t="shared" si="48"/>
        <v>Strength 10</v>
      </c>
      <c r="L260" s="31">
        <f t="shared" si="47"/>
        <v>-1.5</v>
      </c>
      <c r="BY260" s="27"/>
      <c r="BZ260" s="27"/>
      <c r="CA260" s="31" t="s">
        <v>167</v>
      </c>
      <c r="CC260" s="24"/>
      <c r="CD260" s="24"/>
      <c r="CE260" s="24"/>
      <c r="CF260" s="24"/>
      <c r="CO260" s="27"/>
      <c r="CP260" s="27"/>
      <c r="CQ260" s="27"/>
      <c r="CR260" s="27"/>
      <c r="CS260" s="27"/>
      <c r="CT260" s="27"/>
      <c r="CU260" s="27"/>
      <c r="CV260" s="49" t="s">
        <v>807</v>
      </c>
      <c r="CW260" s="27"/>
      <c r="CX260" s="27"/>
      <c r="CY260" s="27"/>
      <c r="CZ260" s="31" t="s">
        <v>167</v>
      </c>
      <c r="DA260" s="31">
        <v>1</v>
      </c>
      <c r="DB260" s="31">
        <v>1</v>
      </c>
      <c r="DC260" s="31">
        <v>1</v>
      </c>
    </row>
    <row r="261" spans="1:107">
      <c r="A261" s="103" t="s">
        <v>672</v>
      </c>
      <c r="B261" s="31" t="s">
        <v>165</v>
      </c>
      <c r="E261" s="31">
        <v>11</v>
      </c>
      <c r="F261" s="31" t="str">
        <f t="shared" si="48"/>
        <v>Strength 10</v>
      </c>
      <c r="L261" s="31">
        <f t="shared" si="47"/>
        <v>-3.3000000000000007</v>
      </c>
      <c r="BY261" s="27"/>
      <c r="BZ261" s="27"/>
      <c r="CA261" s="31" t="s">
        <v>167</v>
      </c>
      <c r="CC261" s="24"/>
      <c r="CD261" s="24"/>
      <c r="CE261" s="24"/>
      <c r="CF261" s="24"/>
      <c r="CO261" s="27"/>
      <c r="CP261" s="27"/>
      <c r="CQ261" s="27"/>
      <c r="CR261" s="27"/>
      <c r="CS261" s="27"/>
      <c r="CT261" s="27"/>
      <c r="CU261" s="27"/>
      <c r="CV261" s="49" t="s">
        <v>1876</v>
      </c>
      <c r="CW261" s="27"/>
      <c r="CX261" s="27"/>
      <c r="CY261" s="27"/>
      <c r="CZ261" s="31" t="s">
        <v>167</v>
      </c>
      <c r="DA261" s="31">
        <v>1</v>
      </c>
      <c r="DB261" s="31">
        <v>1</v>
      </c>
      <c r="DC261" s="31">
        <v>1</v>
      </c>
    </row>
    <row r="262" spans="1:107">
      <c r="A262" s="103" t="s">
        <v>673</v>
      </c>
      <c r="B262" s="31" t="s">
        <v>165</v>
      </c>
      <c r="E262" s="31">
        <v>12</v>
      </c>
      <c r="F262" s="31" t="str">
        <f t="shared" si="48"/>
        <v>Strength 11</v>
      </c>
      <c r="L262" s="31">
        <f t="shared" si="47"/>
        <v>-5.1000000000000014</v>
      </c>
      <c r="BY262" s="27"/>
      <c r="BZ262" s="27"/>
      <c r="CA262" s="31" t="s">
        <v>167</v>
      </c>
      <c r="CC262" s="24"/>
      <c r="CD262" s="24"/>
      <c r="CE262" s="24"/>
      <c r="CF262" s="24"/>
      <c r="CO262" s="27"/>
      <c r="CP262" s="27"/>
      <c r="CQ262" s="27"/>
      <c r="CR262" s="27"/>
      <c r="CS262" s="27"/>
      <c r="CT262" s="27"/>
      <c r="CU262" s="27"/>
      <c r="CV262" s="49" t="s">
        <v>1876</v>
      </c>
      <c r="CW262" s="27"/>
      <c r="CX262" s="27"/>
      <c r="CY262" s="27"/>
      <c r="CZ262" s="31" t="s">
        <v>167</v>
      </c>
      <c r="DA262" s="31">
        <v>1</v>
      </c>
      <c r="DB262" s="31">
        <v>1</v>
      </c>
      <c r="DC262" s="31">
        <v>1</v>
      </c>
    </row>
    <row r="263" spans="1:107">
      <c r="A263" s="103" t="s">
        <v>674</v>
      </c>
      <c r="B263" s="31" t="s">
        <v>165</v>
      </c>
      <c r="E263" s="31">
        <v>13</v>
      </c>
      <c r="F263" s="31" t="str">
        <f t="shared" si="48"/>
        <v>Strength 11</v>
      </c>
      <c r="L263" s="31">
        <f t="shared" si="47"/>
        <v>-6.9000000000000021</v>
      </c>
      <c r="BY263" s="27"/>
      <c r="BZ263" s="27"/>
      <c r="CA263" s="31" t="s">
        <v>167</v>
      </c>
      <c r="CC263" s="24"/>
      <c r="CD263" s="24"/>
      <c r="CE263" s="24"/>
      <c r="CF263" s="24"/>
      <c r="CO263" s="27"/>
      <c r="CP263" s="27"/>
      <c r="CQ263" s="27"/>
      <c r="CR263" s="27"/>
      <c r="CS263" s="27"/>
      <c r="CT263" s="27"/>
      <c r="CU263" s="27"/>
      <c r="CV263" s="49" t="s">
        <v>1876</v>
      </c>
      <c r="CW263" s="27"/>
      <c r="CX263" s="27"/>
      <c r="CY263" s="27"/>
      <c r="CZ263" s="31" t="s">
        <v>167</v>
      </c>
      <c r="DA263" s="31">
        <v>1</v>
      </c>
      <c r="DB263" s="31">
        <v>1</v>
      </c>
      <c r="DC263" s="31">
        <v>1</v>
      </c>
    </row>
    <row r="264" spans="1:107">
      <c r="A264" s="103" t="s">
        <v>675</v>
      </c>
      <c r="B264" s="31" t="s">
        <v>165</v>
      </c>
      <c r="E264" s="31">
        <v>14</v>
      </c>
      <c r="F264" s="31" t="str">
        <f t="shared" si="48"/>
        <v>Strength 11</v>
      </c>
      <c r="L264" s="31">
        <f t="shared" si="47"/>
        <v>-8.6999999999999993</v>
      </c>
      <c r="BY264" s="27"/>
      <c r="BZ264" s="27"/>
      <c r="CA264" s="31" t="s">
        <v>167</v>
      </c>
      <c r="CC264" s="24"/>
      <c r="CD264" s="24"/>
      <c r="CE264" s="24"/>
      <c r="CF264" s="24"/>
      <c r="CO264" s="27"/>
      <c r="CP264" s="27"/>
      <c r="CQ264" s="27"/>
      <c r="CR264" s="27"/>
      <c r="CS264" s="27"/>
      <c r="CT264" s="27"/>
      <c r="CU264" s="27"/>
      <c r="CV264" s="49" t="s">
        <v>1877</v>
      </c>
      <c r="CW264" s="27"/>
      <c r="CX264" s="27"/>
      <c r="CY264" s="27"/>
      <c r="CZ264" s="31" t="s">
        <v>167</v>
      </c>
      <c r="DA264" s="31">
        <v>1</v>
      </c>
      <c r="DB264" s="31">
        <v>1</v>
      </c>
      <c r="DC264" s="31">
        <v>1</v>
      </c>
    </row>
    <row r="265" spans="1:107">
      <c r="A265" s="103" t="s">
        <v>676</v>
      </c>
      <c r="B265" s="31" t="s">
        <v>165</v>
      </c>
      <c r="E265" s="31">
        <v>15</v>
      </c>
      <c r="F265" s="31" t="str">
        <f t="shared" si="48"/>
        <v>Strength 12</v>
      </c>
      <c r="L265" s="31">
        <f t="shared" si="47"/>
        <v>-10.5</v>
      </c>
      <c r="Q265" s="31">
        <v>8</v>
      </c>
      <c r="S265" s="31">
        <v>4.5</v>
      </c>
      <c r="BY265" s="27"/>
      <c r="BZ265" s="27"/>
      <c r="CA265" s="31" t="s">
        <v>167</v>
      </c>
      <c r="CC265" s="24"/>
      <c r="CD265" s="24"/>
      <c r="CE265" s="24"/>
      <c r="CF265" s="24"/>
      <c r="CO265" s="27"/>
      <c r="CP265" s="27"/>
      <c r="CQ265" s="27"/>
      <c r="CR265" s="27"/>
      <c r="CS265" s="27"/>
      <c r="CT265" s="27"/>
      <c r="CU265" s="27"/>
      <c r="CV265" s="49" t="s">
        <v>1877</v>
      </c>
      <c r="CW265" s="27"/>
      <c r="CX265" s="27"/>
      <c r="CY265" s="27"/>
      <c r="CZ265" s="31" t="s">
        <v>167</v>
      </c>
      <c r="DA265" s="31">
        <v>1</v>
      </c>
      <c r="DB265" s="31">
        <v>1</v>
      </c>
      <c r="DC265" s="31">
        <v>1</v>
      </c>
    </row>
    <row r="266" spans="1:107">
      <c r="A266" s="103" t="s">
        <v>1118</v>
      </c>
      <c r="B266" s="31" t="s">
        <v>165</v>
      </c>
      <c r="E266" s="31">
        <v>16</v>
      </c>
      <c r="F266" s="31" t="str">
        <f>CONCATENATE("Strength ",MIN(MAX(ROUND(SQRT((IF(J266="",Sword2HDamage,J266)+IF(J266="",Sword2HDamage,J266)+IF(K266="",Sword2HDamageRange,K266))*(E266/1.4))+1,0),5),15))</f>
        <v>Strength 12</v>
      </c>
      <c r="L266" s="31">
        <f>-E266*1.8+16.5</f>
        <v>-12.3</v>
      </c>
      <c r="BY266" s="27"/>
      <c r="BZ266" s="27"/>
      <c r="CA266" s="31" t="s">
        <v>167</v>
      </c>
      <c r="CC266" s="24"/>
      <c r="CD266" s="24"/>
      <c r="CE266" s="24"/>
      <c r="CF266" s="24"/>
      <c r="CO266" s="27"/>
      <c r="CP266" s="27"/>
      <c r="CQ266" s="27"/>
      <c r="CR266" s="27"/>
      <c r="CS266" s="27"/>
      <c r="CT266" s="27"/>
      <c r="CU266" s="27"/>
      <c r="CV266" s="49" t="s">
        <v>1877</v>
      </c>
      <c r="CW266" s="27"/>
      <c r="CX266" s="27"/>
      <c r="CY266" s="27"/>
      <c r="CZ266" s="31" t="s">
        <v>167</v>
      </c>
      <c r="DA266" s="31">
        <v>1</v>
      </c>
      <c r="DB266" s="31">
        <v>1</v>
      </c>
      <c r="DC266" s="31">
        <v>1</v>
      </c>
    </row>
    <row r="267" spans="1:107">
      <c r="A267" s="103" t="s">
        <v>171</v>
      </c>
      <c r="B267" s="31" t="s">
        <v>165</v>
      </c>
      <c r="E267" s="31">
        <v>17</v>
      </c>
      <c r="F267" s="31" t="str">
        <f>CONCATENATE("Strength ",MIN(MAX(ROUND(SQRT((IF(J267="",Sword2HDamage,J267)+IF(J267="",Sword2HDamage,J267)+IF(K267="",Sword2HDamageRange,K267))*(E267/1.4))+1,0),5),15))</f>
        <v>Strength 13</v>
      </c>
      <c r="L267" s="31">
        <f>-E267*1.8+16.5</f>
        <v>-14.100000000000001</v>
      </c>
      <c r="BY267" s="27"/>
      <c r="BZ267" s="27"/>
      <c r="CA267" s="31" t="s">
        <v>167</v>
      </c>
      <c r="CC267" s="24"/>
      <c r="CD267" s="24"/>
      <c r="CE267" s="24"/>
      <c r="CF267" s="24"/>
      <c r="CO267" s="27"/>
      <c r="CP267" s="27"/>
      <c r="CQ267" s="27"/>
      <c r="CR267" s="27"/>
      <c r="CS267" s="27"/>
      <c r="CT267" s="27"/>
      <c r="CU267" s="27"/>
      <c r="CV267" s="49" t="s">
        <v>806</v>
      </c>
      <c r="CW267" s="27"/>
      <c r="CX267" s="27"/>
      <c r="CY267" s="27"/>
      <c r="CZ267" s="31" t="s">
        <v>167</v>
      </c>
      <c r="DA267" s="31">
        <v>1</v>
      </c>
      <c r="DB267" s="31">
        <v>1</v>
      </c>
      <c r="DC267" s="31">
        <v>1</v>
      </c>
    </row>
    <row r="268" spans="1:107">
      <c r="A268" s="103" t="s">
        <v>494</v>
      </c>
      <c r="B268" s="31" t="s">
        <v>165</v>
      </c>
      <c r="E268" s="31">
        <v>18</v>
      </c>
      <c r="F268" s="31" t="str">
        <f>CONCATENATE("Strength ",MIN(MAX(ROUND(SQRT((IF(J268="",Sword2HDamage,J268)+IF(J268="",Sword2HDamage,J268)+IF(K268="",Sword2HDamageRange,K268))*(E268/1.4))+1,0),5),15))</f>
        <v>Strength 13</v>
      </c>
      <c r="L268" s="31">
        <f>-E268*1.8+16.5</f>
        <v>-15.899999999999999</v>
      </c>
      <c r="BY268" s="27"/>
      <c r="BZ268" s="27"/>
      <c r="CA268" s="31" t="s">
        <v>167</v>
      </c>
      <c r="CC268" s="24"/>
      <c r="CD268" s="24"/>
      <c r="CE268" s="24"/>
      <c r="CF268" s="24"/>
      <c r="CO268" s="27"/>
      <c r="CP268" s="27"/>
      <c r="CQ268" s="27"/>
      <c r="CR268" s="27"/>
      <c r="CS268" s="27"/>
      <c r="CT268" s="27"/>
      <c r="CU268" s="27"/>
      <c r="CV268" s="49" t="s">
        <v>1878</v>
      </c>
      <c r="CW268" s="27"/>
      <c r="CX268" s="27"/>
      <c r="CY268" s="27"/>
      <c r="CZ268" s="31" t="s">
        <v>167</v>
      </c>
      <c r="DA268" s="31">
        <v>1</v>
      </c>
      <c r="DB268" s="31">
        <v>1</v>
      </c>
      <c r="DC268" s="31">
        <v>1</v>
      </c>
    </row>
    <row r="269" spans="1:107">
      <c r="A269" s="103" t="s">
        <v>1115</v>
      </c>
      <c r="B269" s="31" t="s">
        <v>165</v>
      </c>
      <c r="E269" s="31">
        <v>19</v>
      </c>
      <c r="F269" s="31" t="str">
        <f t="shared" si="48"/>
        <v>Strength 13</v>
      </c>
      <c r="L269" s="31">
        <f t="shared" si="47"/>
        <v>-17.700000000000003</v>
      </c>
      <c r="BY269" s="27"/>
      <c r="BZ269" s="27"/>
      <c r="CA269" s="31" t="s">
        <v>167</v>
      </c>
      <c r="CC269" s="24"/>
      <c r="CD269" s="24"/>
      <c r="CE269" s="24"/>
      <c r="CF269" s="24"/>
      <c r="CO269" s="27"/>
      <c r="CP269" s="27"/>
      <c r="CQ269" s="27"/>
      <c r="CR269" s="27"/>
      <c r="CS269" s="27"/>
      <c r="CT269" s="27"/>
      <c r="CU269" s="27"/>
      <c r="CV269" s="49" t="s">
        <v>1879</v>
      </c>
      <c r="CW269" s="27"/>
      <c r="CX269" s="27"/>
      <c r="CY269" s="27"/>
      <c r="CZ269" s="31" t="s">
        <v>167</v>
      </c>
      <c r="DA269" s="31">
        <v>1</v>
      </c>
      <c r="DB269" s="31">
        <v>1</v>
      </c>
      <c r="DC269" s="31">
        <v>1</v>
      </c>
    </row>
    <row r="270" spans="1:107">
      <c r="A270" s="103" t="s">
        <v>1116</v>
      </c>
      <c r="B270" s="31" t="s">
        <v>165</v>
      </c>
      <c r="E270" s="31">
        <v>20</v>
      </c>
      <c r="F270" s="31" t="str">
        <f t="shared" si="48"/>
        <v>Strength 14</v>
      </c>
      <c r="L270" s="31">
        <f t="shared" si="47"/>
        <v>-19.5</v>
      </c>
      <c r="BY270" s="27"/>
      <c r="BZ270" s="27"/>
      <c r="CA270" s="31" t="s">
        <v>167</v>
      </c>
      <c r="CC270" s="24"/>
      <c r="CD270" s="24"/>
      <c r="CE270" s="24"/>
      <c r="CF270" s="24"/>
      <c r="CO270" s="27"/>
      <c r="CP270" s="27"/>
      <c r="CQ270" s="27"/>
      <c r="CR270" s="27"/>
      <c r="CS270" s="27"/>
      <c r="CT270" s="27"/>
      <c r="CU270" s="27"/>
      <c r="CV270" s="49" t="s">
        <v>1879</v>
      </c>
      <c r="CW270" s="27"/>
      <c r="CX270" s="27"/>
      <c r="CY270" s="27"/>
      <c r="CZ270" s="31" t="s">
        <v>167</v>
      </c>
      <c r="DA270" s="31">
        <v>1</v>
      </c>
      <c r="DB270" s="31">
        <v>1</v>
      </c>
      <c r="DC270" s="31">
        <v>1</v>
      </c>
    </row>
    <row r="271" spans="1:107">
      <c r="A271" s="31" t="s">
        <v>1346</v>
      </c>
      <c r="B271" s="31" t="s">
        <v>165</v>
      </c>
      <c r="C271" s="37"/>
      <c r="E271" s="31">
        <v>14</v>
      </c>
      <c r="F271" s="31" t="str">
        <f>CONCATENATE("Strength ",ROUND(5+(((IF(J271="",Sword2HDamage,J271)+IF(J271="",Sword2HDamage,J271)+IF(K271="",Sword2HDamageRange,K271))/2-3)/(10-3))*5+($E271/3),0),";Blackrock 1")</f>
        <v>Strength 12;Blackrock 1</v>
      </c>
      <c r="K271" s="31">
        <v>2</v>
      </c>
      <c r="L271" s="31">
        <f t="shared" ref="L271:L277" si="49">-E271*1.8+16.5</f>
        <v>-8.6999999999999993</v>
      </c>
      <c r="Q271" s="31">
        <v>8</v>
      </c>
      <c r="S271" s="31">
        <v>5.5</v>
      </c>
      <c r="T271" s="31">
        <v>2500</v>
      </c>
      <c r="BR271" s="33"/>
      <c r="BS271" s="34"/>
      <c r="CA271" s="44"/>
      <c r="CB271" s="44"/>
      <c r="CF271" s="35" t="s">
        <v>1296</v>
      </c>
      <c r="CH271" s="44"/>
      <c r="CV271" s="36" t="s">
        <v>1332</v>
      </c>
      <c r="CW271" s="33"/>
      <c r="CX271" s="33"/>
      <c r="CY271" s="33"/>
      <c r="CZ271" s="113" t="s">
        <v>1425</v>
      </c>
      <c r="DA271" s="31">
        <v>1</v>
      </c>
      <c r="DB271" s="31">
        <v>1</v>
      </c>
      <c r="DC271" s="31">
        <v>1</v>
      </c>
    </row>
    <row r="272" spans="1:107">
      <c r="A272" s="113" t="s">
        <v>1347</v>
      </c>
      <c r="B272" s="31" t="s">
        <v>165</v>
      </c>
      <c r="C272" s="37"/>
      <c r="E272" s="31">
        <v>15</v>
      </c>
      <c r="F272" s="31" t="str">
        <f>CONCATENATE("Strength ",ROUND(5+(((IF(J272="",Sword2HDamage,J272)+IF(J272="",Sword2HDamage,J272)+IF(K272="",Sword2HDamageRange,K272))/2-3)/(10-3))*5+($E272/3),0),";Blackrock 1")</f>
        <v>Strength 12;Blackrock 1</v>
      </c>
      <c r="K272" s="31">
        <v>2</v>
      </c>
      <c r="L272" s="31">
        <f t="shared" si="49"/>
        <v>-10.5</v>
      </c>
      <c r="Q272" s="31">
        <v>8</v>
      </c>
      <c r="S272" s="31">
        <v>5.5</v>
      </c>
      <c r="T272" s="31">
        <v>2500</v>
      </c>
      <c r="BR272" s="33"/>
      <c r="BS272" s="34"/>
      <c r="CA272" s="44"/>
      <c r="CB272" s="44"/>
      <c r="CF272" s="35" t="s">
        <v>1296</v>
      </c>
      <c r="CH272" s="44"/>
      <c r="CV272" s="36" t="s">
        <v>1332</v>
      </c>
      <c r="CW272" s="33"/>
      <c r="CX272" s="33"/>
      <c r="CY272" s="33"/>
      <c r="CZ272" s="113" t="s">
        <v>1425</v>
      </c>
      <c r="DA272" s="31">
        <v>1</v>
      </c>
      <c r="DB272" s="31">
        <v>1</v>
      </c>
      <c r="DC272" s="31">
        <v>1</v>
      </c>
    </row>
    <row r="273" spans="1:110">
      <c r="A273" s="113" t="s">
        <v>1348</v>
      </c>
      <c r="B273" s="31" t="s">
        <v>165</v>
      </c>
      <c r="C273" s="37"/>
      <c r="E273" s="31">
        <v>16</v>
      </c>
      <c r="F273" s="31" t="str">
        <f>CONCATENATE("Strength ",ROUND(5+(((IF(J273="",Sword2HDamage,J273)+IF(J273="",Sword2HDamage,J273)+IF(K273="",Sword2HDamageRange,K273))/2-3)/(10-3))*5+($E273/3),0),";Blackrock 2")</f>
        <v>Strength 12;Blackrock 2</v>
      </c>
      <c r="K273" s="31">
        <v>2</v>
      </c>
      <c r="L273" s="31">
        <f t="shared" si="49"/>
        <v>-12.3</v>
      </c>
      <c r="Q273" s="31">
        <v>8</v>
      </c>
      <c r="S273" s="31">
        <v>5.5</v>
      </c>
      <c r="T273" s="31">
        <v>2500</v>
      </c>
      <c r="BR273" s="33"/>
      <c r="BS273" s="34"/>
      <c r="CA273" s="44"/>
      <c r="CB273" s="44"/>
      <c r="CF273" s="35" t="s">
        <v>1296</v>
      </c>
      <c r="CH273" s="44"/>
      <c r="CV273" s="36" t="s">
        <v>1332</v>
      </c>
      <c r="CW273" s="33"/>
      <c r="CX273" s="33"/>
      <c r="CY273" s="33"/>
      <c r="CZ273" s="113" t="s">
        <v>1425</v>
      </c>
      <c r="DA273" s="31">
        <v>1</v>
      </c>
      <c r="DB273" s="31">
        <v>1</v>
      </c>
      <c r="DC273" s="31">
        <v>1</v>
      </c>
    </row>
    <row r="274" spans="1:110">
      <c r="A274" s="113" t="s">
        <v>1349</v>
      </c>
      <c r="B274" s="31" t="s">
        <v>165</v>
      </c>
      <c r="C274" s="37"/>
      <c r="E274" s="31">
        <v>17</v>
      </c>
      <c r="F274" s="31" t="str">
        <f>CONCATENATE("Strength ",ROUND(5+(((IF(J274="",Sword2HDamage,J274)+IF(J274="",Sword2HDamage,J274)+IF(K274="",Sword2HDamageRange,K274))/2-3)/(10-3))*5+($E274/3),0),";Blackrock 2")</f>
        <v>Strength 13;Blackrock 2</v>
      </c>
      <c r="K274" s="31">
        <v>2</v>
      </c>
      <c r="L274" s="31">
        <f t="shared" si="49"/>
        <v>-14.100000000000001</v>
      </c>
      <c r="Q274" s="31">
        <v>8</v>
      </c>
      <c r="S274" s="31">
        <v>5.5</v>
      </c>
      <c r="T274" s="31">
        <v>2500</v>
      </c>
      <c r="BR274" s="33"/>
      <c r="BS274" s="34"/>
      <c r="CA274" s="44"/>
      <c r="CB274" s="44"/>
      <c r="CF274" s="35" t="s">
        <v>1296</v>
      </c>
      <c r="CH274" s="44"/>
      <c r="CV274" s="36" t="s">
        <v>1332</v>
      </c>
      <c r="CW274" s="33"/>
      <c r="CX274" s="33"/>
      <c r="CY274" s="33"/>
      <c r="CZ274" s="113" t="s">
        <v>1425</v>
      </c>
      <c r="DA274" s="31">
        <v>1</v>
      </c>
      <c r="DB274" s="31">
        <v>1</v>
      </c>
      <c r="DC274" s="31">
        <v>1</v>
      </c>
    </row>
    <row r="275" spans="1:110">
      <c r="A275" s="113" t="s">
        <v>1350</v>
      </c>
      <c r="B275" s="31" t="s">
        <v>165</v>
      </c>
      <c r="C275" s="37"/>
      <c r="E275" s="31">
        <v>18</v>
      </c>
      <c r="F275" s="31" t="str">
        <f>CONCATENATE("Strength ",ROUND(5+(((IF(J275="",Sword2HDamage,J275)+IF(J275="",Sword2HDamage,J275)+IF(K275="",Sword2HDamageRange,K275))/2-3)/(10-3))*5+($E275/3),0),";Blackrock 2")</f>
        <v>Strength 13;Blackrock 2</v>
      </c>
      <c r="K275" s="31">
        <v>2</v>
      </c>
      <c r="L275" s="31">
        <f t="shared" si="49"/>
        <v>-15.899999999999999</v>
      </c>
      <c r="Q275" s="31">
        <v>8</v>
      </c>
      <c r="S275" s="31">
        <v>5.5</v>
      </c>
      <c r="T275" s="31">
        <v>2500</v>
      </c>
      <c r="BR275" s="33"/>
      <c r="BS275" s="34"/>
      <c r="CA275" s="44"/>
      <c r="CB275" s="44"/>
      <c r="CF275" s="35" t="s">
        <v>1296</v>
      </c>
      <c r="CH275" s="44"/>
      <c r="CV275" s="36" t="s">
        <v>1332</v>
      </c>
      <c r="CW275" s="33"/>
      <c r="CX275" s="33"/>
      <c r="CY275" s="33"/>
      <c r="CZ275" s="113" t="s">
        <v>1425</v>
      </c>
      <c r="DA275" s="31">
        <v>1</v>
      </c>
      <c r="DB275" s="31">
        <v>1</v>
      </c>
      <c r="DC275" s="31">
        <v>1</v>
      </c>
    </row>
    <row r="276" spans="1:110">
      <c r="A276" s="113" t="s">
        <v>1351</v>
      </c>
      <c r="B276" s="31" t="s">
        <v>165</v>
      </c>
      <c r="C276" s="37"/>
      <c r="E276" s="31">
        <v>19</v>
      </c>
      <c r="F276" s="31" t="str">
        <f>CONCATENATE("Strength ",ROUND(5+(((IF(J276="",Sword2HDamage,J276)+IF(J276="",Sword2HDamage,J276)+IF(K276="",Sword2HDamageRange,K276))/2-3)/(10-3))*5+($E276/3),0),";Blackrock 2")</f>
        <v>Strength 14;Blackrock 2</v>
      </c>
      <c r="K276" s="31">
        <v>3</v>
      </c>
      <c r="L276" s="31">
        <f t="shared" si="49"/>
        <v>-17.700000000000003</v>
      </c>
      <c r="Q276" s="31">
        <v>8</v>
      </c>
      <c r="S276" s="31">
        <v>5.5</v>
      </c>
      <c r="T276" s="31">
        <v>2500</v>
      </c>
      <c r="BR276" s="33"/>
      <c r="BS276" s="34"/>
      <c r="CA276" s="44"/>
      <c r="CB276" s="44"/>
      <c r="CF276" s="35" t="s">
        <v>1296</v>
      </c>
      <c r="CH276" s="44"/>
      <c r="CV276" s="36" t="s">
        <v>1332</v>
      </c>
      <c r="CW276" s="33"/>
      <c r="CX276" s="33"/>
      <c r="CY276" s="33"/>
      <c r="CZ276" s="113" t="s">
        <v>1425</v>
      </c>
      <c r="DA276" s="31">
        <v>1</v>
      </c>
      <c r="DB276" s="31">
        <v>1</v>
      </c>
      <c r="DC276" s="31">
        <v>1</v>
      </c>
    </row>
    <row r="277" spans="1:110">
      <c r="A277" s="113" t="s">
        <v>1352</v>
      </c>
      <c r="B277" s="31" t="s">
        <v>165</v>
      </c>
      <c r="C277" s="37"/>
      <c r="E277" s="31">
        <v>20</v>
      </c>
      <c r="F277" s="31" t="str">
        <f>CONCATENATE("Strength ",ROUND(5+(((IF(J277="",Sword2HDamage,J277)+IF(J277="",Sword2HDamage,J277)+IF(K277="",Sword2HDamageRange,K277))/2-3)/(10-3))*5+($E277/3),0),";Blackrock 3")</f>
        <v>Strength 14;Blackrock 3</v>
      </c>
      <c r="K277" s="31">
        <v>3</v>
      </c>
      <c r="L277" s="31">
        <f t="shared" si="49"/>
        <v>-19.5</v>
      </c>
      <c r="Q277" s="31">
        <v>8</v>
      </c>
      <c r="S277" s="31">
        <v>5.5</v>
      </c>
      <c r="T277" s="31">
        <v>2500</v>
      </c>
      <c r="BR277" s="33"/>
      <c r="BS277" s="34"/>
      <c r="CA277" s="44"/>
      <c r="CB277" s="44"/>
      <c r="CF277" s="35" t="s">
        <v>1296</v>
      </c>
      <c r="CH277" s="44"/>
      <c r="CV277" s="36" t="s">
        <v>1332</v>
      </c>
      <c r="CW277" s="33"/>
      <c r="CX277" s="33"/>
      <c r="CY277" s="33"/>
      <c r="CZ277" s="113" t="s">
        <v>1425</v>
      </c>
      <c r="DA277" s="31">
        <v>1</v>
      </c>
      <c r="DB277" s="31">
        <v>1</v>
      </c>
      <c r="DC277" s="31">
        <v>1</v>
      </c>
    </row>
    <row r="278" spans="1:110">
      <c r="A278" s="27" t="s">
        <v>173</v>
      </c>
      <c r="B278" s="27"/>
      <c r="C278" s="28" t="s">
        <v>73</v>
      </c>
      <c r="D278" s="27">
        <v>1</v>
      </c>
      <c r="E278" s="27"/>
      <c r="F278" s="27" t="s">
        <v>704</v>
      </c>
      <c r="G278" s="27" t="s">
        <v>606</v>
      </c>
      <c r="H278" s="27">
        <v>4</v>
      </c>
      <c r="I278" s="27" t="s">
        <v>78</v>
      </c>
      <c r="J278" s="27">
        <v>4</v>
      </c>
      <c r="K278" s="27">
        <v>2</v>
      </c>
      <c r="L278" s="27"/>
      <c r="M278" s="27"/>
      <c r="N278" s="27">
        <v>2</v>
      </c>
      <c r="O278" s="27">
        <v>0</v>
      </c>
      <c r="P278" s="27">
        <v>3</v>
      </c>
      <c r="Q278" s="27">
        <v>5</v>
      </c>
      <c r="R278" s="27">
        <v>6</v>
      </c>
      <c r="S278" s="27">
        <v>3.3</v>
      </c>
      <c r="T278" s="27">
        <v>1000</v>
      </c>
      <c r="U278" s="27">
        <v>0</v>
      </c>
      <c r="V278" s="27"/>
      <c r="W278" s="27" t="s">
        <v>174</v>
      </c>
      <c r="X278" s="27"/>
      <c r="Y278" s="27" t="s">
        <v>76</v>
      </c>
      <c r="Z278" s="27"/>
      <c r="AA278" s="27"/>
      <c r="AB278" s="27"/>
      <c r="AC278" s="27"/>
      <c r="AD278" s="27"/>
      <c r="AE278" s="27"/>
      <c r="AF278" s="27"/>
      <c r="AG278" s="27"/>
      <c r="AH278" s="27"/>
      <c r="AI278" s="27"/>
      <c r="AJ278" s="27"/>
      <c r="AK278" s="27"/>
      <c r="AL278" s="27"/>
      <c r="AM278" s="27"/>
      <c r="AN278" s="27"/>
      <c r="AO278" s="27"/>
      <c r="AP278" s="27"/>
      <c r="AQ278" s="27"/>
      <c r="AR278" s="27"/>
      <c r="AS278" s="27"/>
      <c r="AT278" s="27"/>
      <c r="AU278" s="27"/>
      <c r="AV278" s="27"/>
      <c r="AW278" s="27"/>
      <c r="AX278" s="27"/>
      <c r="AY278" s="27"/>
      <c r="AZ278" s="27"/>
      <c r="BA278" s="27"/>
      <c r="BB278" s="27"/>
      <c r="BC278" s="27"/>
      <c r="BD278" s="27"/>
      <c r="BE278" s="27"/>
      <c r="BF278" s="27"/>
      <c r="BG278" s="27"/>
      <c r="BH278" s="27"/>
      <c r="BI278" s="27"/>
      <c r="BJ278" s="27"/>
      <c r="BK278" s="27"/>
      <c r="BL278" s="27"/>
      <c r="BM278" s="27"/>
      <c r="BN278" s="27"/>
      <c r="BO278" s="27"/>
      <c r="BP278" s="27"/>
      <c r="BQ278" s="27"/>
      <c r="BR278" s="29"/>
      <c r="BS278" s="30"/>
      <c r="BT278" s="27"/>
      <c r="BU278" s="27"/>
      <c r="BV278" s="27"/>
      <c r="BW278" s="27"/>
      <c r="BX278" s="27"/>
      <c r="BY278" s="27"/>
      <c r="BZ278" s="27"/>
      <c r="CA278" s="27"/>
      <c r="CB278" s="27"/>
      <c r="CC278" s="24"/>
      <c r="CD278" s="24"/>
      <c r="CE278" s="24"/>
      <c r="CF278" s="24"/>
      <c r="CG278" s="31" t="s">
        <v>730</v>
      </c>
      <c r="CH278" s="27">
        <v>0</v>
      </c>
      <c r="CO278" s="27"/>
      <c r="CP278" s="27"/>
      <c r="CQ278" s="27"/>
      <c r="CR278" s="27"/>
      <c r="CS278" s="27"/>
      <c r="CT278" s="27"/>
      <c r="CU278" s="27"/>
      <c r="CV278" s="32"/>
      <c r="CW278" s="27"/>
      <c r="CX278" s="27"/>
      <c r="CY278" s="27"/>
      <c r="CZ278" s="27"/>
      <c r="DA278" s="27"/>
      <c r="DB278" s="27"/>
      <c r="DC278" s="27">
        <v>0</v>
      </c>
      <c r="DD278" s="27">
        <v>0</v>
      </c>
    </row>
    <row r="279" spans="1:110">
      <c r="A279" s="31" t="s">
        <v>879</v>
      </c>
      <c r="B279" s="31" t="s">
        <v>173</v>
      </c>
      <c r="E279" s="31">
        <v>1</v>
      </c>
      <c r="F279" s="113" t="s">
        <v>1292</v>
      </c>
      <c r="Q279" s="31">
        <v>6</v>
      </c>
      <c r="S279" s="31">
        <v>3.2</v>
      </c>
      <c r="CA279" s="31" t="s">
        <v>174</v>
      </c>
      <c r="CC279" s="31"/>
      <c r="CD279" s="31"/>
      <c r="CE279" s="31"/>
      <c r="CF279" s="31"/>
      <c r="CV279" s="31" t="s">
        <v>443</v>
      </c>
    </row>
    <row r="280" spans="1:110">
      <c r="A280" s="31" t="s">
        <v>880</v>
      </c>
      <c r="B280" s="31" t="s">
        <v>173</v>
      </c>
      <c r="E280" s="31">
        <v>1</v>
      </c>
      <c r="F280" s="113" t="s">
        <v>1292</v>
      </c>
      <c r="Q280" s="31">
        <v>6</v>
      </c>
      <c r="S280" s="31">
        <v>3.2</v>
      </c>
      <c r="CA280" s="31" t="s">
        <v>174</v>
      </c>
      <c r="CC280" s="31"/>
      <c r="CD280" s="31"/>
      <c r="CE280" s="31"/>
      <c r="CF280" s="31"/>
      <c r="CV280" s="31" t="s">
        <v>443</v>
      </c>
    </row>
    <row r="281" spans="1:110">
      <c r="A281" s="31" t="s">
        <v>881</v>
      </c>
      <c r="B281" s="31" t="s">
        <v>173</v>
      </c>
      <c r="E281" s="31">
        <v>1</v>
      </c>
      <c r="F281" s="113" t="s">
        <v>1292</v>
      </c>
      <c r="K281" s="31">
        <v>3</v>
      </c>
      <c r="Q281" s="31">
        <v>6</v>
      </c>
      <c r="S281" s="31">
        <v>3.3</v>
      </c>
      <c r="CA281" s="31" t="s">
        <v>174</v>
      </c>
      <c r="CC281" s="31"/>
      <c r="CD281" s="31"/>
      <c r="CE281" s="31"/>
      <c r="CF281" s="31"/>
      <c r="CV281" s="31" t="s">
        <v>443</v>
      </c>
    </row>
    <row r="282" spans="1:110">
      <c r="A282" s="31" t="s">
        <v>882</v>
      </c>
      <c r="B282" s="31" t="s">
        <v>173</v>
      </c>
      <c r="E282" s="31">
        <v>1</v>
      </c>
      <c r="F282" s="113" t="s">
        <v>1292</v>
      </c>
      <c r="K282" s="31">
        <v>3</v>
      </c>
      <c r="Q282" s="31">
        <v>7</v>
      </c>
      <c r="S282" s="31">
        <v>3.3</v>
      </c>
      <c r="CA282" s="31" t="s">
        <v>174</v>
      </c>
      <c r="CC282" s="31"/>
      <c r="CD282" s="31"/>
      <c r="CE282" s="31"/>
      <c r="CF282" s="31"/>
      <c r="CV282" s="31" t="s">
        <v>816</v>
      </c>
    </row>
    <row r="283" spans="1:110" s="38" customFormat="1">
      <c r="A283" s="38" t="s">
        <v>883</v>
      </c>
      <c r="B283" s="38" t="s">
        <v>173</v>
      </c>
      <c r="E283" s="38">
        <v>1</v>
      </c>
      <c r="F283" s="113" t="s">
        <v>1292</v>
      </c>
      <c r="K283" s="38">
        <v>3</v>
      </c>
      <c r="L283" s="31"/>
      <c r="Q283" s="38">
        <v>8</v>
      </c>
      <c r="S283" s="38">
        <v>3.4</v>
      </c>
      <c r="CA283" s="38" t="s">
        <v>174</v>
      </c>
      <c r="CV283" s="38" t="s">
        <v>816</v>
      </c>
    </row>
    <row r="284" spans="1:110" s="99" customFormat="1">
      <c r="A284" s="99" t="s">
        <v>182</v>
      </c>
      <c r="B284" s="99" t="s">
        <v>173</v>
      </c>
      <c r="E284" s="99">
        <v>11</v>
      </c>
      <c r="F284" s="31" t="str">
        <f>CONCATENATE("Strength ",MIN(MAX(ROUND(SQRT((IF(J284="",SpearDamage,J284)+IF(J284="",SpearDamage,J284)+IF(K284="",SpearDamageRange,K284))*(E284/1.4))+1,0),5),15))</f>
        <v>Strength 11</v>
      </c>
      <c r="J284" s="99">
        <v>5</v>
      </c>
      <c r="K284" s="99">
        <v>3</v>
      </c>
      <c r="L284" s="31"/>
      <c r="O284" s="99">
        <v>1</v>
      </c>
      <c r="Q284" s="99">
        <v>10</v>
      </c>
      <c r="S284" s="99">
        <v>6</v>
      </c>
      <c r="AE284" s="99">
        <v>1</v>
      </c>
      <c r="AV284" s="99">
        <v>1</v>
      </c>
      <c r="BS284" s="100"/>
      <c r="CA284" s="99" t="s">
        <v>174</v>
      </c>
      <c r="CC284" s="104"/>
      <c r="CD284" s="104"/>
      <c r="CE284" s="104"/>
      <c r="CF284" s="99" t="s">
        <v>466</v>
      </c>
      <c r="CV284" s="99" t="s">
        <v>1702</v>
      </c>
      <c r="DD284" s="99">
        <v>1</v>
      </c>
    </row>
    <row r="285" spans="1:110" s="81" customFormat="1">
      <c r="A285" s="81" t="s">
        <v>486</v>
      </c>
      <c r="B285" s="81" t="s">
        <v>173</v>
      </c>
      <c r="E285" s="81">
        <v>6</v>
      </c>
      <c r="F285" s="31" t="str">
        <f>CONCATENATE("Strength ",MIN(MAX(ROUND(SQRT((IF(J285="",SpearDamage,J285)+IF(J285="",SpearDamage,J285)+IF(K285="",SpearDamageRange,K285))*(E285/1.4))+1,0),5),15))</f>
        <v>Strength 8</v>
      </c>
      <c r="S285" s="81">
        <v>6.3</v>
      </c>
      <c r="AC285" s="81">
        <v>1</v>
      </c>
      <c r="BR285" s="83"/>
      <c r="BS285" s="92"/>
      <c r="CA285" s="81" t="s">
        <v>174</v>
      </c>
      <c r="CC285" s="82"/>
      <c r="CD285" s="82"/>
      <c r="CE285" s="82"/>
      <c r="CF285" s="82"/>
      <c r="CV285" s="84" t="s">
        <v>1119</v>
      </c>
      <c r="CW285" s="83"/>
      <c r="CX285" s="83"/>
      <c r="CY285" s="83"/>
      <c r="DD285" s="81">
        <v>1</v>
      </c>
    </row>
    <row r="286" spans="1:110" s="94" customFormat="1">
      <c r="A286" s="94" t="s">
        <v>175</v>
      </c>
      <c r="B286" s="94" t="s">
        <v>173</v>
      </c>
      <c r="E286" s="94">
        <v>13</v>
      </c>
      <c r="F286" s="31" t="str">
        <f>CONCATENATE("Strength ",MIN(MAX(ROUND(SQRT((IF(J286="",SpearDamage,J286)+IF(J286="",SpearDamage,J286)+IF(K286="",SpearDamageRange,K286))*(E286/1.4))+1,0),5),15))</f>
        <v>Strength 11</v>
      </c>
      <c r="L286" s="31"/>
      <c r="BS286" s="95"/>
      <c r="CA286" s="94" t="s">
        <v>174</v>
      </c>
      <c r="CC286" s="102"/>
      <c r="CD286" s="102"/>
      <c r="CE286" s="102"/>
      <c r="CF286" s="102"/>
      <c r="CV286" s="97" t="s">
        <v>176</v>
      </c>
    </row>
    <row r="287" spans="1:110">
      <c r="A287" s="54" t="s">
        <v>185</v>
      </c>
      <c r="B287" s="31" t="s">
        <v>173</v>
      </c>
      <c r="C287" s="55"/>
      <c r="D287" s="54"/>
      <c r="E287" s="54">
        <v>1</v>
      </c>
      <c r="G287" s="54"/>
      <c r="H287" s="54"/>
      <c r="I287" s="54"/>
      <c r="J287" s="54">
        <v>0</v>
      </c>
      <c r="K287" s="54">
        <v>1</v>
      </c>
      <c r="L287" s="54"/>
      <c r="M287" s="54"/>
      <c r="N287" s="54"/>
      <c r="O287" s="54"/>
      <c r="P287" s="54"/>
      <c r="Q287" s="54"/>
      <c r="R287" s="54"/>
      <c r="S287" s="54">
        <v>0.3</v>
      </c>
      <c r="T287" s="54"/>
      <c r="U287" s="54"/>
      <c r="V287" s="54"/>
      <c r="W287" s="54"/>
      <c r="X287" s="54"/>
      <c r="Y287" s="54"/>
      <c r="Z287" s="54"/>
      <c r="AA287" s="54"/>
      <c r="AB287" s="54"/>
      <c r="AC287" s="54"/>
      <c r="AD287" s="54"/>
      <c r="AE287" s="54"/>
      <c r="AF287" s="54"/>
      <c r="AG287" s="54"/>
      <c r="AH287" s="54"/>
      <c r="AI287" s="54"/>
      <c r="AJ287" s="54"/>
      <c r="AK287" s="54"/>
      <c r="AL287" s="54"/>
      <c r="AM287" s="54"/>
      <c r="AN287" s="54"/>
      <c r="AO287" s="54"/>
      <c r="AP287" s="54"/>
      <c r="AQ287" s="54"/>
      <c r="AR287" s="54"/>
      <c r="AS287" s="54"/>
      <c r="AT287" s="54"/>
      <c r="AU287" s="54"/>
      <c r="AV287" s="54"/>
      <c r="AW287" s="54"/>
      <c r="AX287" s="54"/>
      <c r="AY287" s="54"/>
      <c r="AZ287" s="54"/>
      <c r="BA287" s="54"/>
      <c r="BB287" s="54"/>
      <c r="BC287" s="54"/>
      <c r="BD287" s="54"/>
      <c r="BE287" s="54"/>
      <c r="BF287" s="54"/>
      <c r="BG287" s="54"/>
      <c r="BH287" s="54"/>
      <c r="BI287" s="54"/>
      <c r="BJ287" s="54"/>
      <c r="BK287" s="54"/>
      <c r="BL287" s="54"/>
      <c r="BM287" s="54"/>
      <c r="BN287" s="54"/>
      <c r="BO287" s="54"/>
      <c r="BP287" s="54"/>
      <c r="BQ287" s="54"/>
      <c r="BR287" s="56"/>
      <c r="BS287" s="57"/>
      <c r="BT287" s="58"/>
      <c r="BU287" s="54"/>
      <c r="BV287" s="54"/>
      <c r="BW287" s="54"/>
      <c r="BX287" s="54"/>
      <c r="BY287" s="54"/>
      <c r="BZ287" s="54"/>
      <c r="CA287" s="54" t="s">
        <v>327</v>
      </c>
      <c r="CB287" s="54"/>
      <c r="CC287" s="54"/>
      <c r="CD287" s="54"/>
      <c r="CE287" s="54"/>
      <c r="CF287" s="54"/>
      <c r="CG287" s="54"/>
      <c r="CH287" s="54"/>
      <c r="CI287" s="54"/>
      <c r="CJ287" s="54"/>
      <c r="CK287" s="54"/>
      <c r="CL287" s="54"/>
      <c r="CM287" s="54"/>
      <c r="CN287" s="54"/>
      <c r="CO287" s="54"/>
      <c r="CP287" s="54"/>
      <c r="CQ287" s="54"/>
      <c r="CR287" s="54"/>
      <c r="CS287" s="54"/>
      <c r="CT287" s="54"/>
      <c r="CU287" s="54"/>
      <c r="CV287" s="59" t="s">
        <v>186</v>
      </c>
      <c r="CW287" s="54"/>
      <c r="CX287" s="54"/>
      <c r="CY287" s="54"/>
      <c r="CZ287" s="31" t="s">
        <v>520</v>
      </c>
      <c r="DA287" s="54">
        <v>1</v>
      </c>
      <c r="DB287" s="54">
        <v>1</v>
      </c>
      <c r="DC287" s="31">
        <v>1</v>
      </c>
      <c r="DD287" s="54"/>
      <c r="DF287" s="31">
        <v>20</v>
      </c>
    </row>
    <row r="288" spans="1:110">
      <c r="A288" s="54" t="s">
        <v>187</v>
      </c>
      <c r="B288" s="31" t="s">
        <v>173</v>
      </c>
      <c r="C288" s="55"/>
      <c r="D288" s="54"/>
      <c r="E288" s="54">
        <v>1</v>
      </c>
      <c r="G288" s="54"/>
      <c r="H288" s="54"/>
      <c r="I288" s="54"/>
      <c r="J288" s="54">
        <v>0</v>
      </c>
      <c r="K288" s="54">
        <v>1</v>
      </c>
      <c r="L288" s="54"/>
      <c r="M288" s="54"/>
      <c r="N288" s="54"/>
      <c r="O288" s="54"/>
      <c r="P288" s="54"/>
      <c r="Q288" s="54"/>
      <c r="R288" s="54"/>
      <c r="S288" s="54">
        <v>0.3</v>
      </c>
      <c r="T288" s="54"/>
      <c r="U288" s="54"/>
      <c r="V288" s="54"/>
      <c r="W288" s="54"/>
      <c r="X288" s="54"/>
      <c r="Y288" s="54"/>
      <c r="Z288" s="54"/>
      <c r="AA288" s="54"/>
      <c r="AB288" s="54"/>
      <c r="AC288" s="54"/>
      <c r="AD288" s="54"/>
      <c r="AE288" s="54"/>
      <c r="AF288" s="54"/>
      <c r="AG288" s="54"/>
      <c r="AH288" s="54"/>
      <c r="AI288" s="54"/>
      <c r="AJ288" s="54"/>
      <c r="AK288" s="54"/>
      <c r="AL288" s="54"/>
      <c r="AM288" s="54"/>
      <c r="AN288" s="54"/>
      <c r="AO288" s="54"/>
      <c r="AP288" s="54"/>
      <c r="AQ288" s="54"/>
      <c r="AR288" s="54"/>
      <c r="AS288" s="54"/>
      <c r="AT288" s="54"/>
      <c r="AU288" s="54"/>
      <c r="AV288" s="54"/>
      <c r="AW288" s="54"/>
      <c r="AX288" s="54"/>
      <c r="AY288" s="54"/>
      <c r="AZ288" s="54"/>
      <c r="BA288" s="54"/>
      <c r="BB288" s="54"/>
      <c r="BC288" s="54"/>
      <c r="BD288" s="54"/>
      <c r="BE288" s="54"/>
      <c r="BF288" s="54"/>
      <c r="BG288" s="54"/>
      <c r="BH288" s="54"/>
      <c r="BI288" s="54"/>
      <c r="BJ288" s="54"/>
      <c r="BK288" s="54"/>
      <c r="BL288" s="54"/>
      <c r="BM288" s="54"/>
      <c r="BN288" s="54"/>
      <c r="BO288" s="54"/>
      <c r="BP288" s="54"/>
      <c r="BQ288" s="54"/>
      <c r="BR288" s="56"/>
      <c r="BS288" s="57"/>
      <c r="BT288" s="58"/>
      <c r="BU288" s="54"/>
      <c r="BV288" s="54"/>
      <c r="BW288" s="54"/>
      <c r="BX288" s="54"/>
      <c r="BY288" s="54"/>
      <c r="BZ288" s="54"/>
      <c r="CA288" s="54" t="s">
        <v>327</v>
      </c>
      <c r="CB288" s="54"/>
      <c r="CC288" s="54"/>
      <c r="CD288" s="54"/>
      <c r="CE288" s="54"/>
      <c r="CF288" s="54"/>
      <c r="CG288" s="54"/>
      <c r="CH288" s="54"/>
      <c r="CI288" s="54"/>
      <c r="CJ288" s="54"/>
      <c r="CK288" s="54"/>
      <c r="CL288" s="54"/>
      <c r="CM288" s="54"/>
      <c r="CN288" s="54"/>
      <c r="CO288" s="54"/>
      <c r="CP288" s="54"/>
      <c r="CQ288" s="54"/>
      <c r="CR288" s="54"/>
      <c r="CS288" s="54"/>
      <c r="CT288" s="54"/>
      <c r="CU288" s="54"/>
      <c r="CV288" s="59" t="s">
        <v>188</v>
      </c>
      <c r="CW288" s="54"/>
      <c r="CX288" s="54"/>
      <c r="CY288" s="54"/>
      <c r="DA288" s="54"/>
      <c r="DB288" s="54"/>
      <c r="DD288" s="54"/>
    </row>
    <row r="289" spans="1:110">
      <c r="A289" s="54" t="s">
        <v>189</v>
      </c>
      <c r="B289" s="31" t="s">
        <v>173</v>
      </c>
      <c r="C289" s="55"/>
      <c r="D289" s="54"/>
      <c r="E289" s="54">
        <v>1</v>
      </c>
      <c r="G289" s="54"/>
      <c r="H289" s="54"/>
      <c r="I289" s="54"/>
      <c r="J289" s="54">
        <v>0</v>
      </c>
      <c r="K289" s="54">
        <v>1</v>
      </c>
      <c r="L289" s="54"/>
      <c r="M289" s="54"/>
      <c r="N289" s="54"/>
      <c r="O289" s="54"/>
      <c r="P289" s="54"/>
      <c r="Q289" s="54"/>
      <c r="R289" s="54"/>
      <c r="S289" s="54">
        <v>0.3</v>
      </c>
      <c r="T289" s="54"/>
      <c r="U289" s="54"/>
      <c r="V289" s="54"/>
      <c r="W289" s="54"/>
      <c r="X289" s="54"/>
      <c r="Y289" s="54"/>
      <c r="Z289" s="54"/>
      <c r="AA289" s="54"/>
      <c r="AB289" s="54"/>
      <c r="AC289" s="54"/>
      <c r="AD289" s="54"/>
      <c r="AE289" s="54"/>
      <c r="AF289" s="54"/>
      <c r="AG289" s="54"/>
      <c r="AH289" s="54"/>
      <c r="AI289" s="54"/>
      <c r="AJ289" s="54"/>
      <c r="AK289" s="54"/>
      <c r="AL289" s="54"/>
      <c r="AM289" s="54"/>
      <c r="AN289" s="54"/>
      <c r="AO289" s="54"/>
      <c r="AP289" s="54"/>
      <c r="AQ289" s="54"/>
      <c r="AR289" s="54"/>
      <c r="AS289" s="54"/>
      <c r="AT289" s="54"/>
      <c r="AU289" s="54"/>
      <c r="AV289" s="54"/>
      <c r="AW289" s="54"/>
      <c r="AX289" s="54"/>
      <c r="AY289" s="54"/>
      <c r="AZ289" s="54"/>
      <c r="BA289" s="54"/>
      <c r="BB289" s="54"/>
      <c r="BC289" s="54"/>
      <c r="BD289" s="54"/>
      <c r="BE289" s="54"/>
      <c r="BF289" s="54"/>
      <c r="BG289" s="54"/>
      <c r="BH289" s="54"/>
      <c r="BI289" s="54"/>
      <c r="BJ289" s="54"/>
      <c r="BK289" s="54"/>
      <c r="BL289" s="54"/>
      <c r="BM289" s="54"/>
      <c r="BN289" s="54"/>
      <c r="BO289" s="54"/>
      <c r="BP289" s="54"/>
      <c r="BQ289" s="54"/>
      <c r="BR289" s="56"/>
      <c r="BS289" s="57"/>
      <c r="BT289" s="58"/>
      <c r="BU289" s="54"/>
      <c r="BV289" s="54"/>
      <c r="BW289" s="54"/>
      <c r="BX289" s="54"/>
      <c r="BY289" s="54"/>
      <c r="BZ289" s="54"/>
      <c r="CA289" s="54" t="s">
        <v>327</v>
      </c>
      <c r="CB289" s="54"/>
      <c r="CC289" s="54"/>
      <c r="CD289" s="54"/>
      <c r="CE289" s="54"/>
      <c r="CF289" s="54"/>
      <c r="CG289" s="54"/>
      <c r="CH289" s="54"/>
      <c r="CI289" s="54"/>
      <c r="CJ289" s="54"/>
      <c r="CK289" s="54"/>
      <c r="CL289" s="54"/>
      <c r="CM289" s="54"/>
      <c r="CN289" s="54"/>
      <c r="CO289" s="54"/>
      <c r="CP289" s="54"/>
      <c r="CQ289" s="54"/>
      <c r="CR289" s="54"/>
      <c r="CS289" s="54"/>
      <c r="CT289" s="54"/>
      <c r="CU289" s="54"/>
      <c r="CV289" s="59" t="s">
        <v>190</v>
      </c>
      <c r="CW289" s="54"/>
      <c r="CX289" s="54"/>
      <c r="CY289" s="54"/>
      <c r="DA289" s="54"/>
      <c r="DB289" s="54"/>
      <c r="DD289" s="54"/>
    </row>
    <row r="290" spans="1:110">
      <c r="A290" s="31" t="s">
        <v>191</v>
      </c>
      <c r="B290" s="31" t="s">
        <v>173</v>
      </c>
      <c r="C290" s="37"/>
      <c r="E290" s="31">
        <v>1</v>
      </c>
      <c r="I290" s="31" t="s">
        <v>74</v>
      </c>
      <c r="J290" s="31">
        <v>0</v>
      </c>
      <c r="K290" s="31">
        <v>1</v>
      </c>
      <c r="S290" s="31">
        <v>0.2</v>
      </c>
      <c r="BR290" s="33"/>
      <c r="BS290" s="44"/>
      <c r="BT290" s="34"/>
      <c r="CV290" s="49" t="s">
        <v>192</v>
      </c>
      <c r="CZ290" s="31" t="s">
        <v>520</v>
      </c>
      <c r="DA290" s="31">
        <v>1</v>
      </c>
      <c r="DB290" s="31">
        <v>1</v>
      </c>
      <c r="DC290" s="31">
        <v>1</v>
      </c>
      <c r="DF290" s="31">
        <v>20</v>
      </c>
    </row>
    <row r="291" spans="1:110">
      <c r="A291" s="31" t="s">
        <v>177</v>
      </c>
      <c r="B291" s="31" t="s">
        <v>173</v>
      </c>
      <c r="E291" s="31">
        <v>1</v>
      </c>
      <c r="L291" s="31">
        <f t="shared" ref="L291:L307" si="50">-E291*1.8+16.5</f>
        <v>14.7</v>
      </c>
      <c r="S291" s="31">
        <v>0.4</v>
      </c>
      <c r="BR291" s="33"/>
      <c r="BS291" s="34"/>
      <c r="CA291" s="31" t="s">
        <v>174</v>
      </c>
      <c r="CV291" s="49" t="s">
        <v>817</v>
      </c>
      <c r="CZ291" s="31" t="s">
        <v>520</v>
      </c>
      <c r="DA291" s="31">
        <v>1</v>
      </c>
      <c r="DB291" s="31">
        <v>1</v>
      </c>
      <c r="DC291" s="31">
        <v>1</v>
      </c>
      <c r="DF291" s="31">
        <v>20</v>
      </c>
    </row>
    <row r="292" spans="1:110">
      <c r="A292" s="31" t="s">
        <v>178</v>
      </c>
      <c r="B292" s="31" t="s">
        <v>173</v>
      </c>
      <c r="E292" s="31">
        <v>2</v>
      </c>
      <c r="F292" s="31" t="str">
        <f t="shared" ref="F292:F308" si="51">CONCATENATE("Strength ",MIN(MAX(ROUND(SQRT((IF(J292="",SpearDamage,J292)+IF(J292="",SpearDamage,J292)+IF(K292="",SpearDamageRange,K292))*(E292/1.4))+1,0),5),15))</f>
        <v>Strength 5</v>
      </c>
      <c r="L292" s="31">
        <f t="shared" si="50"/>
        <v>12.9</v>
      </c>
      <c r="BR292" s="33"/>
      <c r="BS292" s="34"/>
      <c r="CA292" s="31" t="s">
        <v>174</v>
      </c>
      <c r="CV292" s="49" t="s">
        <v>443</v>
      </c>
      <c r="CW292" s="33"/>
      <c r="CX292" s="33"/>
      <c r="CY292" s="33"/>
      <c r="CZ292" s="31" t="s">
        <v>174</v>
      </c>
      <c r="DA292" s="31">
        <v>1</v>
      </c>
      <c r="DB292" s="31">
        <v>1</v>
      </c>
      <c r="DC292" s="31">
        <v>1</v>
      </c>
    </row>
    <row r="293" spans="1:110">
      <c r="A293" s="31" t="s">
        <v>496</v>
      </c>
      <c r="B293" s="31" t="s">
        <v>173</v>
      </c>
      <c r="E293" s="31">
        <v>3</v>
      </c>
      <c r="F293" s="31" t="str">
        <f t="shared" si="51"/>
        <v>Strength 6</v>
      </c>
      <c r="L293" s="31">
        <f t="shared" si="50"/>
        <v>11.1</v>
      </c>
      <c r="BR293" s="33"/>
      <c r="BS293" s="34"/>
      <c r="CA293" s="31" t="s">
        <v>174</v>
      </c>
      <c r="CV293" s="49" t="s">
        <v>443</v>
      </c>
      <c r="CW293" s="33"/>
      <c r="CX293" s="33"/>
      <c r="CY293" s="33"/>
      <c r="CZ293" s="31" t="s">
        <v>174</v>
      </c>
      <c r="DA293" s="31">
        <v>1</v>
      </c>
      <c r="DB293" s="31">
        <v>1</v>
      </c>
      <c r="DC293" s="31">
        <v>1</v>
      </c>
    </row>
    <row r="294" spans="1:110">
      <c r="A294" s="31" t="s">
        <v>497</v>
      </c>
      <c r="B294" s="31" t="s">
        <v>173</v>
      </c>
      <c r="E294" s="31">
        <v>4</v>
      </c>
      <c r="F294" s="31" t="str">
        <f t="shared" ref="F294:F301" si="52">CONCATENATE("Strength ",MIN(MAX(ROUND(SQRT((IF(J294="",SpearDamage,J294)+IF(J294="",SpearDamage,J294)+IF(K294="",SpearDamageRange,K294))*(E294/1.4))+1,0),5),15))</f>
        <v>Strength 6</v>
      </c>
      <c r="L294" s="31">
        <f t="shared" ref="L294:L301" si="53">-E294*1.8+16.5</f>
        <v>9.3000000000000007</v>
      </c>
      <c r="BR294" s="33"/>
      <c r="BS294" s="34"/>
      <c r="CA294" s="31" t="s">
        <v>174</v>
      </c>
      <c r="CV294" s="49" t="s">
        <v>1884</v>
      </c>
      <c r="CW294" s="33"/>
      <c r="CX294" s="33"/>
      <c r="CY294" s="33"/>
      <c r="CZ294" s="31" t="s">
        <v>174</v>
      </c>
      <c r="DA294" s="31">
        <v>1</v>
      </c>
      <c r="DB294" s="31">
        <v>1</v>
      </c>
      <c r="DC294" s="31">
        <v>1</v>
      </c>
    </row>
    <row r="295" spans="1:110">
      <c r="A295" s="31" t="s">
        <v>498</v>
      </c>
      <c r="B295" s="31" t="s">
        <v>173</v>
      </c>
      <c r="E295" s="31">
        <v>5</v>
      </c>
      <c r="F295" s="31" t="str">
        <f t="shared" si="52"/>
        <v>Strength 7</v>
      </c>
      <c r="L295" s="31">
        <f t="shared" si="53"/>
        <v>7.5</v>
      </c>
      <c r="BR295" s="33"/>
      <c r="BS295" s="34"/>
      <c r="CA295" s="31" t="s">
        <v>174</v>
      </c>
      <c r="CV295" s="49" t="s">
        <v>1885</v>
      </c>
      <c r="CW295" s="33"/>
      <c r="CX295" s="33"/>
      <c r="CY295" s="33"/>
      <c r="CZ295" s="31" t="s">
        <v>174</v>
      </c>
      <c r="DA295" s="31">
        <v>1</v>
      </c>
      <c r="DB295" s="31">
        <v>1</v>
      </c>
      <c r="DC295" s="31">
        <v>1</v>
      </c>
    </row>
    <row r="296" spans="1:110">
      <c r="A296" s="31" t="s">
        <v>499</v>
      </c>
      <c r="B296" s="31" t="s">
        <v>173</v>
      </c>
      <c r="E296" s="31">
        <v>6</v>
      </c>
      <c r="F296" s="31" t="str">
        <f t="shared" si="52"/>
        <v>Strength 8</v>
      </c>
      <c r="L296" s="31">
        <f t="shared" si="53"/>
        <v>5.6999999999999993</v>
      </c>
      <c r="BR296" s="33"/>
      <c r="BS296" s="34"/>
      <c r="CA296" s="31" t="s">
        <v>174</v>
      </c>
      <c r="CV296" s="49" t="s">
        <v>816</v>
      </c>
      <c r="CW296" s="33"/>
      <c r="CX296" s="33"/>
      <c r="CY296" s="33"/>
      <c r="CZ296" s="31" t="s">
        <v>174</v>
      </c>
      <c r="DA296" s="31">
        <v>1</v>
      </c>
      <c r="DB296" s="31">
        <v>1</v>
      </c>
      <c r="DC296" s="31">
        <v>1</v>
      </c>
    </row>
    <row r="297" spans="1:110">
      <c r="A297" s="31" t="s">
        <v>500</v>
      </c>
      <c r="B297" s="31" t="s">
        <v>173</v>
      </c>
      <c r="E297" s="31">
        <v>7</v>
      </c>
      <c r="F297" s="31" t="str">
        <f t="shared" si="52"/>
        <v>Strength 8</v>
      </c>
      <c r="L297" s="31">
        <f t="shared" si="53"/>
        <v>3.9000000000000004</v>
      </c>
      <c r="BR297" s="33"/>
      <c r="BS297" s="34"/>
      <c r="CA297" s="31" t="s">
        <v>174</v>
      </c>
      <c r="CV297" s="49" t="s">
        <v>816</v>
      </c>
      <c r="CW297" s="33"/>
      <c r="CX297" s="33"/>
      <c r="CY297" s="33"/>
      <c r="CZ297" s="31" t="s">
        <v>174</v>
      </c>
      <c r="DA297" s="31">
        <v>1</v>
      </c>
      <c r="DB297" s="31">
        <v>1</v>
      </c>
      <c r="DC297" s="31">
        <v>1</v>
      </c>
    </row>
    <row r="298" spans="1:110" s="27" customFormat="1">
      <c r="A298" s="31" t="s">
        <v>181</v>
      </c>
      <c r="B298" s="31" t="s">
        <v>173</v>
      </c>
      <c r="C298" s="31"/>
      <c r="D298" s="31"/>
      <c r="E298" s="31">
        <v>8</v>
      </c>
      <c r="F298" s="31" t="str">
        <f t="shared" si="52"/>
        <v>Strength 9</v>
      </c>
      <c r="G298" s="31"/>
      <c r="H298" s="31"/>
      <c r="I298" s="31"/>
      <c r="J298" s="31"/>
      <c r="K298" s="31"/>
      <c r="L298" s="31">
        <f t="shared" si="53"/>
        <v>2.0999999999999996</v>
      </c>
      <c r="M298" s="31"/>
      <c r="N298" s="31"/>
      <c r="O298" s="31"/>
      <c r="P298" s="31"/>
      <c r="Q298" s="31"/>
      <c r="R298" s="31"/>
      <c r="S298" s="31"/>
      <c r="T298" s="31"/>
      <c r="U298" s="31"/>
      <c r="V298" s="31"/>
      <c r="W298" s="31"/>
      <c r="X298" s="31"/>
      <c r="Y298" s="31"/>
      <c r="Z298" s="31"/>
      <c r="AA298" s="31"/>
      <c r="AB298" s="31"/>
      <c r="AC298" s="31"/>
      <c r="AD298" s="31"/>
      <c r="AE298" s="31"/>
      <c r="AF298" s="31"/>
      <c r="AG298" s="31"/>
      <c r="AH298" s="31"/>
      <c r="AI298" s="31"/>
      <c r="AJ298" s="31"/>
      <c r="AK298" s="31"/>
      <c r="AL298" s="31"/>
      <c r="AM298" s="31"/>
      <c r="AN298" s="31"/>
      <c r="AO298" s="31"/>
      <c r="AP298" s="31"/>
      <c r="AQ298" s="31"/>
      <c r="AR298" s="31"/>
      <c r="AS298" s="31"/>
      <c r="AT298" s="31"/>
      <c r="AU298" s="31"/>
      <c r="AV298" s="31"/>
      <c r="AW298" s="31"/>
      <c r="AX298" s="31"/>
      <c r="AY298" s="31"/>
      <c r="AZ298" s="31"/>
      <c r="BA298" s="31"/>
      <c r="BB298" s="31"/>
      <c r="BC298" s="31"/>
      <c r="BD298" s="31"/>
      <c r="BE298" s="31"/>
      <c r="BF298" s="31"/>
      <c r="BG298" s="31"/>
      <c r="BH298" s="31"/>
      <c r="BI298" s="31"/>
      <c r="BJ298" s="31"/>
      <c r="BK298" s="31"/>
      <c r="BL298" s="31"/>
      <c r="BM298" s="31"/>
      <c r="BN298" s="31"/>
      <c r="BO298" s="31"/>
      <c r="BP298" s="31"/>
      <c r="BQ298" s="31"/>
      <c r="BR298" s="33"/>
      <c r="BS298" s="34"/>
      <c r="BT298" s="31"/>
      <c r="BU298" s="31"/>
      <c r="BV298" s="31"/>
      <c r="BW298" s="31"/>
      <c r="BX298" s="31"/>
      <c r="BY298" s="31"/>
      <c r="BZ298" s="31"/>
      <c r="CA298" s="31" t="s">
        <v>174</v>
      </c>
      <c r="CB298" s="31"/>
      <c r="CC298" s="35"/>
      <c r="CD298" s="35"/>
      <c r="CE298" s="35"/>
      <c r="CF298" s="35"/>
      <c r="CG298" s="31"/>
      <c r="CH298" s="31"/>
      <c r="CI298" s="31"/>
      <c r="CJ298" s="31"/>
      <c r="CK298" s="31"/>
      <c r="CL298" s="31"/>
      <c r="CM298" s="31"/>
      <c r="CN298" s="31"/>
      <c r="CO298" s="31"/>
      <c r="CP298" s="31"/>
      <c r="CQ298" s="31"/>
      <c r="CR298" s="31"/>
      <c r="CS298" s="31"/>
      <c r="CT298" s="31"/>
      <c r="CU298" s="31"/>
      <c r="CV298" s="49" t="s">
        <v>1886</v>
      </c>
      <c r="CW298" s="33"/>
      <c r="CX298" s="33"/>
      <c r="CY298" s="33"/>
      <c r="CZ298" s="31" t="s">
        <v>174</v>
      </c>
      <c r="DA298" s="31">
        <v>1</v>
      </c>
      <c r="DB298" s="31">
        <v>1</v>
      </c>
      <c r="DC298" s="31">
        <v>1</v>
      </c>
      <c r="DD298" s="31"/>
      <c r="DE298" s="31"/>
    </row>
    <row r="299" spans="1:110">
      <c r="A299" s="31" t="s">
        <v>1120</v>
      </c>
      <c r="B299" s="31" t="s">
        <v>173</v>
      </c>
      <c r="E299" s="31">
        <v>9</v>
      </c>
      <c r="F299" s="31" t="str">
        <f t="shared" si="52"/>
        <v>Strength 9</v>
      </c>
      <c r="L299" s="31">
        <f t="shared" si="53"/>
        <v>0.30000000000000071</v>
      </c>
      <c r="BR299" s="33"/>
      <c r="BS299" s="34"/>
      <c r="CA299" s="31" t="s">
        <v>174</v>
      </c>
      <c r="CV299" s="49" t="s">
        <v>1886</v>
      </c>
      <c r="CW299" s="33"/>
      <c r="CX299" s="33"/>
      <c r="CY299" s="33"/>
      <c r="CZ299" s="31" t="s">
        <v>174</v>
      </c>
      <c r="DA299" s="31">
        <v>1</v>
      </c>
      <c r="DB299" s="31">
        <v>1</v>
      </c>
      <c r="DC299" s="31">
        <v>1</v>
      </c>
    </row>
    <row r="300" spans="1:110">
      <c r="A300" s="31" t="s">
        <v>1123</v>
      </c>
      <c r="B300" s="31" t="s">
        <v>173</v>
      </c>
      <c r="E300" s="31">
        <v>10</v>
      </c>
      <c r="F300" s="31" t="str">
        <f t="shared" si="52"/>
        <v>Strength 9</v>
      </c>
      <c r="L300" s="31">
        <f t="shared" si="53"/>
        <v>-1.5</v>
      </c>
      <c r="BR300" s="33"/>
      <c r="BS300" s="34"/>
      <c r="CA300" s="31" t="s">
        <v>174</v>
      </c>
      <c r="CV300" s="49" t="s">
        <v>1887</v>
      </c>
      <c r="CW300" s="33"/>
      <c r="CX300" s="33"/>
      <c r="CY300" s="33"/>
      <c r="CZ300" s="31" t="s">
        <v>174</v>
      </c>
      <c r="DA300" s="31">
        <v>1</v>
      </c>
      <c r="DB300" s="31">
        <v>1</v>
      </c>
      <c r="DC300" s="31">
        <v>1</v>
      </c>
    </row>
    <row r="301" spans="1:110">
      <c r="A301" s="31" t="s">
        <v>180</v>
      </c>
      <c r="B301" s="31" t="s">
        <v>173</v>
      </c>
      <c r="E301" s="31">
        <v>11</v>
      </c>
      <c r="F301" s="31" t="str">
        <f t="shared" si="52"/>
        <v>Strength 10</v>
      </c>
      <c r="L301" s="31">
        <f t="shared" si="53"/>
        <v>-3.3000000000000007</v>
      </c>
      <c r="BR301" s="33"/>
      <c r="BS301" s="34"/>
      <c r="CA301" s="31" t="s">
        <v>174</v>
      </c>
      <c r="CV301" s="49" t="s">
        <v>1119</v>
      </c>
      <c r="CW301" s="33"/>
      <c r="CX301" s="33"/>
      <c r="CY301" s="33"/>
      <c r="CZ301" s="31" t="s">
        <v>174</v>
      </c>
      <c r="DA301" s="31">
        <v>1</v>
      </c>
      <c r="DB301" s="31">
        <v>1</v>
      </c>
      <c r="DC301" s="31">
        <v>1</v>
      </c>
    </row>
    <row r="302" spans="1:110">
      <c r="A302" s="31" t="s">
        <v>448</v>
      </c>
      <c r="B302" s="31" t="s">
        <v>173</v>
      </c>
      <c r="E302" s="31">
        <v>12</v>
      </c>
      <c r="F302" s="31" t="str">
        <f t="shared" si="51"/>
        <v>Strength 10</v>
      </c>
      <c r="L302" s="31">
        <f t="shared" si="50"/>
        <v>-5.1000000000000014</v>
      </c>
      <c r="BR302" s="33"/>
      <c r="BS302" s="34"/>
      <c r="CA302" s="31" t="s">
        <v>174</v>
      </c>
      <c r="CV302" s="49" t="s">
        <v>1119</v>
      </c>
      <c r="CW302" s="33"/>
      <c r="CX302" s="33"/>
      <c r="CY302" s="33"/>
      <c r="CZ302" s="31" t="s">
        <v>174</v>
      </c>
      <c r="DA302" s="31">
        <v>1</v>
      </c>
      <c r="DB302" s="31">
        <v>1</v>
      </c>
      <c r="DC302" s="31">
        <v>1</v>
      </c>
    </row>
    <row r="303" spans="1:110">
      <c r="A303" s="31" t="s">
        <v>1121</v>
      </c>
      <c r="B303" s="31" t="s">
        <v>173</v>
      </c>
      <c r="E303" s="31">
        <v>13</v>
      </c>
      <c r="F303" s="31" t="str">
        <f t="shared" si="51"/>
        <v>Strength 11</v>
      </c>
      <c r="L303" s="31">
        <f t="shared" si="50"/>
        <v>-6.9000000000000021</v>
      </c>
      <c r="BR303" s="33"/>
      <c r="BS303" s="34"/>
      <c r="CA303" s="31" t="s">
        <v>174</v>
      </c>
      <c r="CV303" s="49" t="s">
        <v>1888</v>
      </c>
      <c r="CW303" s="33"/>
      <c r="CX303" s="33"/>
      <c r="CY303" s="33"/>
      <c r="CZ303" s="31" t="s">
        <v>174</v>
      </c>
      <c r="DA303" s="31">
        <v>1</v>
      </c>
      <c r="DB303" s="31">
        <v>1</v>
      </c>
      <c r="DC303" s="31">
        <v>1</v>
      </c>
    </row>
    <row r="304" spans="1:110">
      <c r="A304" s="113" t="s">
        <v>1880</v>
      </c>
      <c r="B304" s="31" t="s">
        <v>173</v>
      </c>
      <c r="E304" s="31">
        <v>14</v>
      </c>
      <c r="F304" s="31" t="str">
        <f t="shared" ref="F304" si="54">CONCATENATE("Strength ",MIN(MAX(ROUND(SQRT((IF(J304="",SpearDamage,J304)+IF(J304="",SpearDamage,J304)+IF(K304="",SpearDamageRange,K304))*(E304/1.4))+1,0),5),15))</f>
        <v>Strength 11</v>
      </c>
      <c r="L304" s="31">
        <f t="shared" ref="L304" si="55">-E304*1.8+16.5</f>
        <v>-8.6999999999999993</v>
      </c>
      <c r="BR304" s="33"/>
      <c r="BS304" s="34"/>
      <c r="CA304" s="31" t="s">
        <v>174</v>
      </c>
      <c r="CV304" s="49" t="s">
        <v>1888</v>
      </c>
      <c r="CW304" s="33"/>
      <c r="CX304" s="33"/>
      <c r="CY304" s="33"/>
      <c r="CZ304" s="31" t="s">
        <v>174</v>
      </c>
      <c r="DA304" s="31">
        <v>1</v>
      </c>
      <c r="DB304" s="31">
        <v>1</v>
      </c>
      <c r="DC304" s="31">
        <v>1</v>
      </c>
    </row>
    <row r="305" spans="1:108">
      <c r="A305" s="113" t="s">
        <v>1883</v>
      </c>
      <c r="B305" s="31" t="s">
        <v>173</v>
      </c>
      <c r="E305" s="31">
        <v>15</v>
      </c>
      <c r="F305" s="31" t="str">
        <f t="shared" ref="F305" si="56">CONCATENATE("Strength ",MIN(MAX(ROUND(SQRT((IF(J305="",SpearDamage,J305)+IF(J305="",SpearDamage,J305)+IF(K305="",SpearDamageRange,K305))*(E305/1.4))+1,0),5),15))</f>
        <v>Strength 11</v>
      </c>
      <c r="L305" s="31">
        <f t="shared" ref="L305" si="57">-E305*1.8+16.5</f>
        <v>-10.5</v>
      </c>
      <c r="BR305" s="33"/>
      <c r="BS305" s="34"/>
      <c r="CA305" s="31" t="s">
        <v>174</v>
      </c>
      <c r="CV305" s="49" t="s">
        <v>1889</v>
      </c>
      <c r="CW305" s="33"/>
      <c r="CX305" s="33"/>
      <c r="CY305" s="33"/>
      <c r="CZ305" s="31" t="s">
        <v>174</v>
      </c>
      <c r="DA305" s="31">
        <v>1</v>
      </c>
      <c r="DB305" s="31">
        <v>1</v>
      </c>
      <c r="DC305" s="31">
        <v>1</v>
      </c>
    </row>
    <row r="306" spans="1:108">
      <c r="A306" s="31" t="s">
        <v>179</v>
      </c>
      <c r="B306" s="31" t="s">
        <v>173</v>
      </c>
      <c r="E306" s="31">
        <v>16</v>
      </c>
      <c r="F306" s="31" t="str">
        <f>CONCATENATE("Strength ",MIN(MAX(ROUND(SQRT((IF(J306="",SpearDamage,J306)+IF(J306="",SpearDamage,J306)+IF(K306="",SpearDamageRange,K306))*(E306/1.4))+1,0),5),15))</f>
        <v>Strength 12</v>
      </c>
      <c r="L306" s="31">
        <f>-E306*1.8+16.5</f>
        <v>-12.3</v>
      </c>
      <c r="BR306" s="33"/>
      <c r="BS306" s="34"/>
      <c r="CA306" s="31" t="s">
        <v>174</v>
      </c>
      <c r="CV306" s="49" t="s">
        <v>805</v>
      </c>
      <c r="CW306" s="33"/>
      <c r="CX306" s="33"/>
      <c r="CY306" s="33"/>
      <c r="CZ306" s="31" t="s">
        <v>174</v>
      </c>
      <c r="DA306" s="31">
        <v>1</v>
      </c>
      <c r="DB306" s="31">
        <v>1</v>
      </c>
      <c r="DC306" s="31">
        <v>1</v>
      </c>
    </row>
    <row r="307" spans="1:108">
      <c r="A307" s="31" t="s">
        <v>1122</v>
      </c>
      <c r="B307" s="31" t="s">
        <v>173</v>
      </c>
      <c r="E307" s="31">
        <v>17</v>
      </c>
      <c r="F307" s="31" t="str">
        <f t="shared" si="51"/>
        <v>Strength 12</v>
      </c>
      <c r="L307" s="31">
        <f t="shared" si="50"/>
        <v>-14.100000000000001</v>
      </c>
      <c r="BR307" s="33"/>
      <c r="BS307" s="34"/>
      <c r="CA307" s="31" t="s">
        <v>174</v>
      </c>
      <c r="CV307" s="49" t="s">
        <v>805</v>
      </c>
      <c r="CW307" s="33"/>
      <c r="CX307" s="33"/>
      <c r="CY307" s="33"/>
      <c r="CZ307" s="31" t="s">
        <v>174</v>
      </c>
      <c r="DA307" s="31">
        <v>1</v>
      </c>
      <c r="DB307" s="31">
        <v>1</v>
      </c>
      <c r="DC307" s="31">
        <v>1</v>
      </c>
    </row>
    <row r="308" spans="1:108">
      <c r="A308" s="31" t="s">
        <v>1124</v>
      </c>
      <c r="B308" s="31" t="s">
        <v>173</v>
      </c>
      <c r="E308" s="31">
        <v>18</v>
      </c>
      <c r="F308" s="31" t="str">
        <f t="shared" si="51"/>
        <v>Strength 12</v>
      </c>
      <c r="L308" s="31">
        <f t="shared" ref="L308:L317" si="58">-E308*1.8+16.5</f>
        <v>-15.899999999999999</v>
      </c>
      <c r="BR308" s="33"/>
      <c r="BS308" s="34"/>
      <c r="CA308" s="31" t="s">
        <v>174</v>
      </c>
      <c r="CV308" s="49" t="s">
        <v>1890</v>
      </c>
      <c r="CW308" s="33"/>
      <c r="CX308" s="33"/>
      <c r="CY308" s="33"/>
      <c r="CZ308" s="31" t="s">
        <v>174</v>
      </c>
      <c r="DA308" s="31">
        <v>1</v>
      </c>
      <c r="DB308" s="31">
        <v>1</v>
      </c>
      <c r="DC308" s="31">
        <v>1</v>
      </c>
    </row>
    <row r="309" spans="1:108">
      <c r="A309" s="113" t="s">
        <v>1881</v>
      </c>
      <c r="B309" s="31" t="s">
        <v>173</v>
      </c>
      <c r="E309" s="31">
        <v>19</v>
      </c>
      <c r="F309" s="31" t="str">
        <f t="shared" ref="F309" si="59">CONCATENATE("Strength ",MIN(MAX(ROUND(SQRT((IF(J309="",SpearDamage,J309)+IF(J309="",SpearDamage,J309)+IF(K309="",SpearDamageRange,K309))*(E309/1.4))+1,0),5),15))</f>
        <v>Strength 13</v>
      </c>
      <c r="L309" s="31">
        <f t="shared" ref="L309" si="60">-E309*1.8+16.5</f>
        <v>-17.700000000000003</v>
      </c>
      <c r="BR309" s="33"/>
      <c r="BS309" s="34"/>
      <c r="CA309" s="31" t="s">
        <v>174</v>
      </c>
      <c r="CV309" s="49" t="s">
        <v>1891</v>
      </c>
      <c r="CW309" s="33"/>
      <c r="CX309" s="33"/>
      <c r="CY309" s="33"/>
      <c r="CZ309" s="31" t="s">
        <v>174</v>
      </c>
      <c r="DA309" s="31">
        <v>1</v>
      </c>
      <c r="DB309" s="31">
        <v>1</v>
      </c>
      <c r="DC309" s="31">
        <v>1</v>
      </c>
    </row>
    <row r="310" spans="1:108">
      <c r="A310" s="113" t="s">
        <v>1882</v>
      </c>
      <c r="B310" s="31" t="s">
        <v>173</v>
      </c>
      <c r="E310" s="31">
        <v>20</v>
      </c>
      <c r="F310" s="31" t="str">
        <f t="shared" ref="F310" si="61">CONCATENATE("Strength ",MIN(MAX(ROUND(SQRT((IF(J310="",SpearDamage,J310)+IF(J310="",SpearDamage,J310)+IF(K310="",SpearDamageRange,K310))*(E310/1.4))+1,0),5),15))</f>
        <v>Strength 13</v>
      </c>
      <c r="L310" s="31">
        <f t="shared" ref="L310" si="62">-E310*1.8+16.5</f>
        <v>-19.5</v>
      </c>
      <c r="BR310" s="33"/>
      <c r="BS310" s="34"/>
      <c r="CA310" s="31" t="s">
        <v>174</v>
      </c>
      <c r="CV310" s="49" t="s">
        <v>1891</v>
      </c>
      <c r="CW310" s="33"/>
      <c r="CX310" s="33"/>
      <c r="CY310" s="33"/>
      <c r="CZ310" s="31" t="s">
        <v>174</v>
      </c>
      <c r="DA310" s="31">
        <v>1</v>
      </c>
      <c r="DB310" s="31">
        <v>1</v>
      </c>
      <c r="DC310" s="31">
        <v>1</v>
      </c>
    </row>
    <row r="311" spans="1:108">
      <c r="A311" s="31" t="s">
        <v>1334</v>
      </c>
      <c r="B311" s="31" t="s">
        <v>173</v>
      </c>
      <c r="C311" s="37"/>
      <c r="E311" s="31">
        <v>14</v>
      </c>
      <c r="F311" s="31" t="str">
        <f t="shared" ref="F311:F312" si="63">CONCATENATE("Strength ",ROUND(5+(((IF(J311="",SpearDamage,J311)+IF(J311="",SpearDamage,J311)+IF(K311="",SpearDamageRange,K311))/2-3)/(10-3))*5+($E311/3),0),";Blackrock 1")</f>
        <v>Strength 11;Blackrock 1</v>
      </c>
      <c r="L311" s="31">
        <f t="shared" si="58"/>
        <v>-8.6999999999999993</v>
      </c>
      <c r="Q311" s="31">
        <v>7</v>
      </c>
      <c r="S311" s="31">
        <v>4.5</v>
      </c>
      <c r="T311" s="31">
        <v>500</v>
      </c>
      <c r="BR311" s="33"/>
      <c r="BS311" s="34"/>
      <c r="CA311" s="44"/>
      <c r="CB311" s="44"/>
      <c r="CF311" s="35" t="s">
        <v>1296</v>
      </c>
      <c r="CH311" s="44"/>
      <c r="CV311" s="36" t="s">
        <v>1333</v>
      </c>
      <c r="CW311" s="33"/>
      <c r="CX311" s="33"/>
      <c r="CY311" s="33"/>
      <c r="CZ311" s="113" t="s">
        <v>1426</v>
      </c>
      <c r="DA311" s="31">
        <v>1</v>
      </c>
      <c r="DB311" s="31">
        <v>1</v>
      </c>
      <c r="DC311" s="31">
        <v>1</v>
      </c>
    </row>
    <row r="312" spans="1:108">
      <c r="A312" s="113" t="s">
        <v>1335</v>
      </c>
      <c r="B312" s="31" t="s">
        <v>173</v>
      </c>
      <c r="C312" s="37"/>
      <c r="E312" s="31">
        <v>15</v>
      </c>
      <c r="F312" s="31" t="str">
        <f t="shared" si="63"/>
        <v>Strength 11;Blackrock 1</v>
      </c>
      <c r="L312" s="31">
        <f t="shared" si="58"/>
        <v>-10.5</v>
      </c>
      <c r="Q312" s="31">
        <v>7</v>
      </c>
      <c r="S312" s="31">
        <v>4.5</v>
      </c>
      <c r="T312" s="31">
        <v>500</v>
      </c>
      <c r="BR312" s="33"/>
      <c r="BS312" s="34"/>
      <c r="CA312" s="44"/>
      <c r="CB312" s="44"/>
      <c r="CF312" s="35" t="s">
        <v>1296</v>
      </c>
      <c r="CH312" s="44"/>
      <c r="CV312" s="36" t="s">
        <v>1333</v>
      </c>
      <c r="CW312" s="33"/>
      <c r="CX312" s="33"/>
      <c r="CY312" s="33"/>
      <c r="CZ312" s="113" t="s">
        <v>1426</v>
      </c>
      <c r="DA312" s="31">
        <v>1</v>
      </c>
      <c r="DB312" s="31">
        <v>1</v>
      </c>
      <c r="DC312" s="31">
        <v>1</v>
      </c>
    </row>
    <row r="313" spans="1:108">
      <c r="A313" s="113" t="s">
        <v>1336</v>
      </c>
      <c r="B313" s="31" t="s">
        <v>173</v>
      </c>
      <c r="C313" s="37"/>
      <c r="E313" s="31">
        <v>16</v>
      </c>
      <c r="F313" s="31" t="str">
        <f>CONCATENATE("Strength ",ROUND(5+(((IF(J313="",SpearDamage,J313)+IF(J313="",SpearDamage,J313)+IF(K313="",SpearDamageRange,K313))/2-3)/(10-3))*5+($E313/3),0),";Blackrock 2")</f>
        <v>Strength 12;Blackrock 2</v>
      </c>
      <c r="L313" s="31">
        <f t="shared" si="58"/>
        <v>-12.3</v>
      </c>
      <c r="Q313" s="31">
        <v>7</v>
      </c>
      <c r="S313" s="31">
        <v>4.5</v>
      </c>
      <c r="T313" s="31">
        <v>500</v>
      </c>
      <c r="BR313" s="33"/>
      <c r="BS313" s="34"/>
      <c r="CA313" s="44"/>
      <c r="CB313" s="44"/>
      <c r="CF313" s="35" t="s">
        <v>1296</v>
      </c>
      <c r="CH313" s="44"/>
      <c r="CV313" s="36" t="s">
        <v>1333</v>
      </c>
      <c r="CW313" s="33"/>
      <c r="CX313" s="33"/>
      <c r="CY313" s="33"/>
      <c r="CZ313" s="113" t="s">
        <v>1426</v>
      </c>
      <c r="DA313" s="31">
        <v>1</v>
      </c>
      <c r="DB313" s="31">
        <v>1</v>
      </c>
      <c r="DC313" s="31">
        <v>1</v>
      </c>
    </row>
    <row r="314" spans="1:108">
      <c r="A314" s="113" t="s">
        <v>1337</v>
      </c>
      <c r="B314" s="31" t="s">
        <v>173</v>
      </c>
      <c r="C314" s="37"/>
      <c r="E314" s="31">
        <v>17</v>
      </c>
      <c r="F314" s="31" t="str">
        <f>CONCATENATE("Strength ",ROUND(5+(((IF(J314="",SpearDamage,J314)+IF(J314="",SpearDamage,J314)+IF(K314="",SpearDamageRange,K314))/2-3)/(10-3))*5+($E314/3),0),";Blackrock 2")</f>
        <v>Strength 12;Blackrock 2</v>
      </c>
      <c r="L314" s="31">
        <f t="shared" si="58"/>
        <v>-14.100000000000001</v>
      </c>
      <c r="Q314" s="31">
        <v>7</v>
      </c>
      <c r="S314" s="31">
        <v>4.5</v>
      </c>
      <c r="T314" s="31">
        <v>500</v>
      </c>
      <c r="BR314" s="33"/>
      <c r="BS314" s="34"/>
      <c r="CA314" s="44"/>
      <c r="CB314" s="44"/>
      <c r="CF314" s="35" t="s">
        <v>1296</v>
      </c>
      <c r="CH314" s="44"/>
      <c r="CV314" s="36" t="s">
        <v>1333</v>
      </c>
      <c r="CW314" s="33"/>
      <c r="CX314" s="33"/>
      <c r="CY314" s="33"/>
      <c r="CZ314" s="113" t="s">
        <v>1426</v>
      </c>
      <c r="DA314" s="31">
        <v>1</v>
      </c>
      <c r="DB314" s="31">
        <v>1</v>
      </c>
      <c r="DC314" s="31">
        <v>1</v>
      </c>
    </row>
    <row r="315" spans="1:108">
      <c r="A315" s="113" t="s">
        <v>1338</v>
      </c>
      <c r="B315" s="31" t="s">
        <v>173</v>
      </c>
      <c r="C315" s="37"/>
      <c r="E315" s="31">
        <v>18</v>
      </c>
      <c r="F315" s="31" t="str">
        <f>CONCATENATE("Strength ",ROUND(5+(((IF(J315="",SpearDamage,J315)+IF(J315="",SpearDamage,J315)+IF(K315="",SpearDamageRange,K315))/2-3)/(10-3))*5+($E315/3),0),";Blackrock 2")</f>
        <v>Strength 12;Blackrock 2</v>
      </c>
      <c r="L315" s="31">
        <f t="shared" si="58"/>
        <v>-15.899999999999999</v>
      </c>
      <c r="Q315" s="31">
        <v>7</v>
      </c>
      <c r="S315" s="31">
        <v>4.5</v>
      </c>
      <c r="T315" s="31">
        <v>500</v>
      </c>
      <c r="BR315" s="33"/>
      <c r="BS315" s="34"/>
      <c r="CA315" s="44"/>
      <c r="CB315" s="44"/>
      <c r="CF315" s="35" t="s">
        <v>1296</v>
      </c>
      <c r="CH315" s="44"/>
      <c r="CV315" s="36" t="s">
        <v>1333</v>
      </c>
      <c r="CW315" s="33"/>
      <c r="CX315" s="33"/>
      <c r="CY315" s="33"/>
      <c r="CZ315" s="113" t="s">
        <v>1426</v>
      </c>
      <c r="DA315" s="31">
        <v>1</v>
      </c>
      <c r="DB315" s="31">
        <v>1</v>
      </c>
      <c r="DC315" s="31">
        <v>1</v>
      </c>
    </row>
    <row r="316" spans="1:108">
      <c r="A316" s="113" t="s">
        <v>1339</v>
      </c>
      <c r="B316" s="31" t="s">
        <v>173</v>
      </c>
      <c r="C316" s="37"/>
      <c r="E316" s="31">
        <v>19</v>
      </c>
      <c r="F316" s="31" t="str">
        <f>CONCATENATE("Strength ",ROUND(5+(((IF(J316="",SpearDamage,J316)+IF(J316="",SpearDamage,J316)+IF(K316="",SpearDamageRange,K316))/2-3)/(10-3))*5+($E316/3),0),";Blackrock 3")</f>
        <v>Strength 13;Blackrock 3</v>
      </c>
      <c r="L316" s="31">
        <f t="shared" si="58"/>
        <v>-17.700000000000003</v>
      </c>
      <c r="Q316" s="31">
        <v>7</v>
      </c>
      <c r="S316" s="31">
        <v>4.5</v>
      </c>
      <c r="T316" s="31">
        <v>500</v>
      </c>
      <c r="BR316" s="33"/>
      <c r="BS316" s="34"/>
      <c r="CA316" s="44"/>
      <c r="CB316" s="44"/>
      <c r="CF316" s="35" t="s">
        <v>1296</v>
      </c>
      <c r="CH316" s="44"/>
      <c r="CV316" s="36" t="s">
        <v>1333</v>
      </c>
      <c r="CW316" s="33"/>
      <c r="CX316" s="33"/>
      <c r="CY316" s="33"/>
      <c r="CZ316" s="113" t="s">
        <v>1426</v>
      </c>
      <c r="DA316" s="31">
        <v>1</v>
      </c>
      <c r="DB316" s="31">
        <v>1</v>
      </c>
      <c r="DC316" s="31">
        <v>1</v>
      </c>
    </row>
    <row r="317" spans="1:108">
      <c r="A317" s="113" t="s">
        <v>1340</v>
      </c>
      <c r="B317" s="31" t="s">
        <v>173</v>
      </c>
      <c r="C317" s="37"/>
      <c r="E317" s="31">
        <v>20</v>
      </c>
      <c r="F317" s="31" t="str">
        <f>CONCATENATE("Strength ",ROUND(5+(((IF(J317="",SpearDamage,J317)+IF(J317="",SpearDamage,J317)+IF(K317="",SpearDamageRange,K317))/2-3)/(10-3))*5+($E317/3),0),";Blackrock 3")</f>
        <v>Strength 13;Blackrock 3</v>
      </c>
      <c r="L317" s="31">
        <f t="shared" si="58"/>
        <v>-19.5</v>
      </c>
      <c r="Q317" s="31">
        <v>7</v>
      </c>
      <c r="S317" s="31">
        <v>4.5</v>
      </c>
      <c r="T317" s="31">
        <v>500</v>
      </c>
      <c r="BR317" s="33"/>
      <c r="BS317" s="34"/>
      <c r="CA317" s="44"/>
      <c r="CB317" s="44"/>
      <c r="CF317" s="35" t="s">
        <v>1296</v>
      </c>
      <c r="CH317" s="44"/>
      <c r="CV317" s="36" t="s">
        <v>1333</v>
      </c>
      <c r="CW317" s="33"/>
      <c r="CX317" s="33"/>
      <c r="CY317" s="33"/>
      <c r="CZ317" s="113" t="s">
        <v>1426</v>
      </c>
      <c r="DA317" s="31">
        <v>1</v>
      </c>
      <c r="DB317" s="31">
        <v>1</v>
      </c>
      <c r="DC317" s="31">
        <v>1</v>
      </c>
    </row>
    <row r="318" spans="1:108" s="27" customFormat="1">
      <c r="A318" s="27" t="s">
        <v>183</v>
      </c>
      <c r="C318" s="27" t="s">
        <v>73</v>
      </c>
      <c r="D318" s="27">
        <v>1</v>
      </c>
      <c r="F318" s="27" t="s">
        <v>731</v>
      </c>
      <c r="G318" s="27" t="s">
        <v>606</v>
      </c>
      <c r="H318" s="27">
        <v>4</v>
      </c>
      <c r="I318" s="27" t="s">
        <v>74</v>
      </c>
      <c r="J318" s="27">
        <v>2</v>
      </c>
      <c r="K318" s="27">
        <v>2</v>
      </c>
      <c r="L318" s="27">
        <v>-15</v>
      </c>
      <c r="N318" s="27">
        <v>2</v>
      </c>
      <c r="O318" s="27">
        <v>0</v>
      </c>
      <c r="P318" s="27">
        <v>2</v>
      </c>
      <c r="Q318" s="27">
        <v>6</v>
      </c>
      <c r="R318" s="27">
        <v>6</v>
      </c>
      <c r="S318" s="27">
        <v>4.3</v>
      </c>
      <c r="T318" s="27">
        <v>500</v>
      </c>
      <c r="U318" s="27">
        <v>0</v>
      </c>
      <c r="W318" s="27" t="s">
        <v>184</v>
      </c>
      <c r="Y318" s="27" t="s">
        <v>76</v>
      </c>
      <c r="CG318" s="27" t="s">
        <v>730</v>
      </c>
      <c r="CH318" s="27">
        <v>0</v>
      </c>
      <c r="DD318" s="27">
        <v>0</v>
      </c>
    </row>
    <row r="319" spans="1:108">
      <c r="A319" s="85" t="s">
        <v>906</v>
      </c>
      <c r="B319" s="31" t="s">
        <v>183</v>
      </c>
      <c r="C319" s="37"/>
      <c r="E319" s="31">
        <v>1</v>
      </c>
      <c r="F319" s="31" t="s">
        <v>884</v>
      </c>
      <c r="I319" s="31" t="s">
        <v>222</v>
      </c>
      <c r="L319" s="31">
        <v>0</v>
      </c>
      <c r="Q319" s="31">
        <v>5</v>
      </c>
      <c r="S319" s="31">
        <v>4.0999999999999996</v>
      </c>
      <c r="BR319" s="33"/>
      <c r="BS319" s="44"/>
      <c r="BT319" s="34"/>
      <c r="CA319" s="44" t="s">
        <v>184</v>
      </c>
      <c r="CB319" s="44"/>
      <c r="CH319" s="44"/>
      <c r="CV319" s="36" t="s">
        <v>444</v>
      </c>
    </row>
    <row r="320" spans="1:108">
      <c r="A320" s="85" t="s">
        <v>908</v>
      </c>
      <c r="B320" s="31" t="s">
        <v>183</v>
      </c>
      <c r="C320" s="37"/>
      <c r="E320" s="31">
        <v>1</v>
      </c>
      <c r="F320" s="31" t="s">
        <v>884</v>
      </c>
      <c r="I320" s="31" t="s">
        <v>224</v>
      </c>
      <c r="L320" s="31">
        <v>0</v>
      </c>
      <c r="Q320" s="31">
        <v>5</v>
      </c>
      <c r="S320" s="31">
        <v>4.0999999999999996</v>
      </c>
      <c r="BR320" s="33"/>
      <c r="BS320" s="44"/>
      <c r="BT320" s="34"/>
      <c r="CA320" s="44" t="s">
        <v>184</v>
      </c>
      <c r="CB320" s="44"/>
      <c r="CH320" s="44"/>
      <c r="CV320" s="36" t="s">
        <v>444</v>
      </c>
    </row>
    <row r="321" spans="1:108">
      <c r="A321" s="85" t="s">
        <v>907</v>
      </c>
      <c r="B321" s="31" t="s">
        <v>183</v>
      </c>
      <c r="C321" s="37"/>
      <c r="E321" s="31">
        <v>1</v>
      </c>
      <c r="F321" s="31" t="s">
        <v>884</v>
      </c>
      <c r="I321" s="31" t="s">
        <v>219</v>
      </c>
      <c r="L321" s="31">
        <v>0</v>
      </c>
      <c r="Q321" s="31">
        <v>5</v>
      </c>
      <c r="S321" s="31">
        <v>4.0999999999999996</v>
      </c>
      <c r="BR321" s="33"/>
      <c r="BS321" s="44"/>
      <c r="BT321" s="34"/>
      <c r="CA321" s="44" t="s">
        <v>184</v>
      </c>
      <c r="CB321" s="44"/>
      <c r="CH321" s="44"/>
      <c r="CV321" s="36" t="s">
        <v>444</v>
      </c>
    </row>
    <row r="322" spans="1:108">
      <c r="A322" s="85" t="s">
        <v>909</v>
      </c>
      <c r="B322" s="31" t="s">
        <v>183</v>
      </c>
      <c r="C322" s="37"/>
      <c r="E322" s="31">
        <v>1</v>
      </c>
      <c r="F322" s="31" t="s">
        <v>884</v>
      </c>
      <c r="I322" s="31" t="s">
        <v>216</v>
      </c>
      <c r="L322" s="31">
        <v>0</v>
      </c>
      <c r="Q322" s="31">
        <v>5</v>
      </c>
      <c r="S322" s="31">
        <v>4.0999999999999996</v>
      </c>
      <c r="BR322" s="33"/>
      <c r="BS322" s="44"/>
      <c r="BT322" s="34"/>
      <c r="CA322" s="44" t="s">
        <v>184</v>
      </c>
      <c r="CB322" s="44"/>
      <c r="CH322" s="44"/>
      <c r="CV322" s="36" t="s">
        <v>444</v>
      </c>
    </row>
    <row r="323" spans="1:108">
      <c r="A323" s="85" t="s">
        <v>910</v>
      </c>
      <c r="B323" s="31" t="s">
        <v>183</v>
      </c>
      <c r="C323" s="37"/>
      <c r="E323" s="31">
        <v>1</v>
      </c>
      <c r="F323" s="31" t="s">
        <v>884</v>
      </c>
      <c r="I323" s="31" t="s">
        <v>222</v>
      </c>
      <c r="L323" s="31">
        <v>0</v>
      </c>
      <c r="Q323" s="31">
        <v>6</v>
      </c>
      <c r="S323" s="31">
        <v>4.2</v>
      </c>
      <c r="BR323" s="33"/>
      <c r="BS323" s="44"/>
      <c r="BT323" s="34"/>
      <c r="CA323" s="44" t="s">
        <v>184</v>
      </c>
      <c r="CB323" s="44"/>
      <c r="CH323" s="44"/>
      <c r="CV323" s="36" t="s">
        <v>1125</v>
      </c>
    </row>
    <row r="324" spans="1:108">
      <c r="A324" s="85" t="s">
        <v>911</v>
      </c>
      <c r="B324" s="31" t="s">
        <v>183</v>
      </c>
      <c r="C324" s="37"/>
      <c r="E324" s="31">
        <v>1</v>
      </c>
      <c r="F324" s="31" t="s">
        <v>884</v>
      </c>
      <c r="I324" s="31" t="s">
        <v>224</v>
      </c>
      <c r="L324" s="31">
        <v>0</v>
      </c>
      <c r="Q324" s="31">
        <v>6</v>
      </c>
      <c r="S324" s="31">
        <v>4.2</v>
      </c>
      <c r="BR324" s="33"/>
      <c r="BS324" s="44"/>
      <c r="BT324" s="34"/>
      <c r="CA324" s="44" t="s">
        <v>184</v>
      </c>
      <c r="CB324" s="44"/>
      <c r="CH324" s="44"/>
      <c r="CV324" s="36" t="s">
        <v>1125</v>
      </c>
    </row>
    <row r="325" spans="1:108">
      <c r="A325" s="85" t="s">
        <v>912</v>
      </c>
      <c r="B325" s="31" t="s">
        <v>183</v>
      </c>
      <c r="C325" s="37"/>
      <c r="E325" s="31">
        <v>1</v>
      </c>
      <c r="F325" s="31" t="s">
        <v>884</v>
      </c>
      <c r="I325" s="31" t="s">
        <v>219</v>
      </c>
      <c r="L325" s="31">
        <v>0</v>
      </c>
      <c r="Q325" s="31">
        <v>6</v>
      </c>
      <c r="S325" s="31">
        <v>4.2</v>
      </c>
      <c r="BR325" s="33"/>
      <c r="BS325" s="44"/>
      <c r="BT325" s="34"/>
      <c r="CA325" s="44" t="s">
        <v>184</v>
      </c>
      <c r="CB325" s="44"/>
      <c r="CH325" s="44"/>
      <c r="CV325" s="36" t="s">
        <v>1125</v>
      </c>
    </row>
    <row r="326" spans="1:108">
      <c r="A326" s="85" t="s">
        <v>913</v>
      </c>
      <c r="B326" s="31" t="s">
        <v>183</v>
      </c>
      <c r="C326" s="37"/>
      <c r="E326" s="31">
        <v>1</v>
      </c>
      <c r="F326" s="31" t="s">
        <v>884</v>
      </c>
      <c r="I326" s="31" t="s">
        <v>216</v>
      </c>
      <c r="L326" s="31">
        <v>0</v>
      </c>
      <c r="Q326" s="31">
        <v>6</v>
      </c>
      <c r="S326" s="31">
        <v>4.2</v>
      </c>
      <c r="BR326" s="33"/>
      <c r="BS326" s="44"/>
      <c r="BT326" s="34"/>
      <c r="CA326" s="44" t="s">
        <v>184</v>
      </c>
      <c r="CB326" s="44"/>
      <c r="CH326" s="44"/>
      <c r="CV326" s="36" t="s">
        <v>1125</v>
      </c>
    </row>
    <row r="327" spans="1:108">
      <c r="A327" s="85" t="s">
        <v>914</v>
      </c>
      <c r="B327" s="31" t="s">
        <v>183</v>
      </c>
      <c r="C327" s="37"/>
      <c r="E327" s="31">
        <v>1</v>
      </c>
      <c r="F327" s="31" t="s">
        <v>884</v>
      </c>
      <c r="I327" s="31" t="s">
        <v>222</v>
      </c>
      <c r="L327" s="31">
        <v>0</v>
      </c>
      <c r="Q327" s="31">
        <v>7</v>
      </c>
      <c r="S327" s="31">
        <v>4.3</v>
      </c>
      <c r="BR327" s="33"/>
      <c r="BS327" s="44"/>
      <c r="BT327" s="34"/>
      <c r="CA327" s="44" t="s">
        <v>184</v>
      </c>
      <c r="CB327" s="44"/>
      <c r="CH327" s="44"/>
      <c r="CV327" s="36" t="s">
        <v>1079</v>
      </c>
    </row>
    <row r="328" spans="1:108">
      <c r="A328" s="85" t="s">
        <v>915</v>
      </c>
      <c r="B328" s="31" t="s">
        <v>183</v>
      </c>
      <c r="C328" s="37"/>
      <c r="E328" s="31">
        <v>1</v>
      </c>
      <c r="F328" s="31" t="s">
        <v>884</v>
      </c>
      <c r="I328" s="31" t="s">
        <v>224</v>
      </c>
      <c r="L328" s="31">
        <v>0</v>
      </c>
      <c r="Q328" s="31">
        <v>7</v>
      </c>
      <c r="S328" s="31">
        <v>4.3</v>
      </c>
      <c r="BR328" s="33"/>
      <c r="BS328" s="44"/>
      <c r="BT328" s="34"/>
      <c r="CA328" s="44" t="s">
        <v>184</v>
      </c>
      <c r="CB328" s="44"/>
      <c r="CH328" s="44"/>
      <c r="CV328" s="36" t="s">
        <v>1082</v>
      </c>
    </row>
    <row r="329" spans="1:108">
      <c r="A329" s="85" t="s">
        <v>916</v>
      </c>
      <c r="B329" s="31" t="s">
        <v>183</v>
      </c>
      <c r="C329" s="37"/>
      <c r="E329" s="31">
        <v>1</v>
      </c>
      <c r="F329" s="31" t="s">
        <v>884</v>
      </c>
      <c r="I329" s="31" t="s">
        <v>219</v>
      </c>
      <c r="L329" s="31">
        <v>0</v>
      </c>
      <c r="Q329" s="31">
        <v>7</v>
      </c>
      <c r="S329" s="31">
        <v>4.3</v>
      </c>
      <c r="BR329" s="33"/>
      <c r="BS329" s="44"/>
      <c r="BT329" s="34"/>
      <c r="CA329" s="44" t="s">
        <v>184</v>
      </c>
      <c r="CB329" s="44"/>
      <c r="CH329" s="44"/>
      <c r="CV329" s="36" t="s">
        <v>1080</v>
      </c>
    </row>
    <row r="330" spans="1:108">
      <c r="A330" s="85" t="s">
        <v>917</v>
      </c>
      <c r="B330" s="31" t="s">
        <v>183</v>
      </c>
      <c r="C330" s="37"/>
      <c r="E330" s="31">
        <v>1</v>
      </c>
      <c r="F330" s="31" t="s">
        <v>884</v>
      </c>
      <c r="I330" s="31" t="s">
        <v>216</v>
      </c>
      <c r="L330" s="31">
        <v>0</v>
      </c>
      <c r="Q330" s="31">
        <v>7</v>
      </c>
      <c r="S330" s="31">
        <v>4.3</v>
      </c>
      <c r="BR330" s="33"/>
      <c r="BS330" s="44"/>
      <c r="BT330" s="34"/>
      <c r="CA330" s="44" t="s">
        <v>184</v>
      </c>
      <c r="CB330" s="44"/>
      <c r="CH330" s="44"/>
      <c r="CV330" s="36" t="s">
        <v>1081</v>
      </c>
    </row>
    <row r="331" spans="1:108">
      <c r="A331" s="85" t="s">
        <v>918</v>
      </c>
      <c r="B331" s="31" t="s">
        <v>183</v>
      </c>
      <c r="C331" s="37"/>
      <c r="E331" s="31">
        <v>1</v>
      </c>
      <c r="F331" s="31" t="s">
        <v>884</v>
      </c>
      <c r="I331" s="31" t="s">
        <v>222</v>
      </c>
      <c r="L331" s="31">
        <v>0</v>
      </c>
      <c r="Q331" s="31">
        <v>8</v>
      </c>
      <c r="S331" s="31">
        <v>4.4000000000000004</v>
      </c>
      <c r="BR331" s="33"/>
      <c r="BS331" s="44"/>
      <c r="BT331" s="34"/>
      <c r="CA331" s="44" t="s">
        <v>184</v>
      </c>
      <c r="CB331" s="44"/>
      <c r="CD331" s="35" t="s">
        <v>931</v>
      </c>
      <c r="CH331" s="44"/>
      <c r="CV331" s="36" t="s">
        <v>1079</v>
      </c>
    </row>
    <row r="332" spans="1:108">
      <c r="A332" s="85" t="s">
        <v>919</v>
      </c>
      <c r="B332" s="31" t="s">
        <v>183</v>
      </c>
      <c r="C332" s="37"/>
      <c r="E332" s="31">
        <v>1</v>
      </c>
      <c r="F332" s="31" t="s">
        <v>884</v>
      </c>
      <c r="I332" s="31" t="s">
        <v>224</v>
      </c>
      <c r="L332" s="31">
        <v>0</v>
      </c>
      <c r="Q332" s="31">
        <v>8</v>
      </c>
      <c r="S332" s="31">
        <v>4.4000000000000004</v>
      </c>
      <c r="BR332" s="33"/>
      <c r="BS332" s="44"/>
      <c r="BT332" s="34"/>
      <c r="CA332" s="44" t="s">
        <v>184</v>
      </c>
      <c r="CB332" s="44"/>
      <c r="CD332" s="35" t="s">
        <v>821</v>
      </c>
      <c r="CH332" s="44"/>
      <c r="CV332" s="36" t="s">
        <v>1082</v>
      </c>
    </row>
    <row r="333" spans="1:108">
      <c r="A333" s="85" t="s">
        <v>920</v>
      </c>
      <c r="B333" s="31" t="s">
        <v>183</v>
      </c>
      <c r="C333" s="37"/>
      <c r="E333" s="31">
        <v>1</v>
      </c>
      <c r="F333" s="31" t="s">
        <v>884</v>
      </c>
      <c r="I333" s="31" t="s">
        <v>219</v>
      </c>
      <c r="L333" s="31">
        <v>0</v>
      </c>
      <c r="Q333" s="31">
        <v>8</v>
      </c>
      <c r="S333" s="31">
        <v>4.4000000000000004</v>
      </c>
      <c r="BR333" s="33"/>
      <c r="BS333" s="44"/>
      <c r="BT333" s="34"/>
      <c r="CA333" s="44" t="s">
        <v>184</v>
      </c>
      <c r="CB333" s="44"/>
      <c r="CD333" s="35" t="s">
        <v>220</v>
      </c>
      <c r="CH333" s="44"/>
      <c r="CV333" s="36" t="s">
        <v>1080</v>
      </c>
    </row>
    <row r="334" spans="1:108" s="60" customFormat="1">
      <c r="A334" s="86" t="s">
        <v>921</v>
      </c>
      <c r="B334" s="60" t="s">
        <v>183</v>
      </c>
      <c r="C334" s="61"/>
      <c r="E334" s="60">
        <v>1</v>
      </c>
      <c r="F334" s="60" t="s">
        <v>884</v>
      </c>
      <c r="I334" s="60" t="s">
        <v>216</v>
      </c>
      <c r="L334" s="31">
        <v>0</v>
      </c>
      <c r="Q334" s="60">
        <v>8</v>
      </c>
      <c r="S334" s="31">
        <v>4.4000000000000004</v>
      </c>
      <c r="BS334" s="62"/>
      <c r="BT334" s="63"/>
      <c r="CA334" s="62" t="s">
        <v>184</v>
      </c>
      <c r="CB334" s="62"/>
      <c r="CC334" s="64"/>
      <c r="CD334" s="64" t="s">
        <v>930</v>
      </c>
      <c r="CE334" s="65"/>
      <c r="CF334" s="35"/>
      <c r="CH334" s="62"/>
      <c r="CV334" s="66" t="s">
        <v>1081</v>
      </c>
    </row>
    <row r="335" spans="1:108">
      <c r="A335" s="81" t="s">
        <v>683</v>
      </c>
      <c r="B335" s="31" t="s">
        <v>183</v>
      </c>
      <c r="E335" s="31">
        <v>3</v>
      </c>
      <c r="F335" s="31" t="str">
        <f t="shared" ref="F335:F366" si="64">CONCATENATE("Intelligence ",MIN(MAX(ROUND(SQRT((IF(J335="",StaffDamage,J335)+IF(J335="",StaffDamage,J335)+IF(K335="",StaffDamageRange,K335))*(E335/1.4))+1,0),5),15))</f>
        <v>Intelligence 5</v>
      </c>
      <c r="I335" s="31" t="s">
        <v>216</v>
      </c>
      <c r="L335" s="31">
        <f t="shared" ref="L335:L340" si="65">-E335</f>
        <v>-3</v>
      </c>
      <c r="Q335" s="31">
        <v>7</v>
      </c>
      <c r="S335" s="31">
        <v>4.2</v>
      </c>
      <c r="BM335" s="31">
        <v>3</v>
      </c>
      <c r="CA335" s="31" t="s">
        <v>184</v>
      </c>
      <c r="CV335" s="31" t="s">
        <v>697</v>
      </c>
      <c r="DD335" s="31">
        <v>1</v>
      </c>
    </row>
    <row r="336" spans="1:108">
      <c r="A336" s="81" t="s">
        <v>1127</v>
      </c>
      <c r="B336" s="31" t="s">
        <v>183</v>
      </c>
      <c r="E336" s="31">
        <v>15</v>
      </c>
      <c r="F336" s="31" t="str">
        <f t="shared" si="64"/>
        <v>Intelligence 10</v>
      </c>
      <c r="I336" s="31" t="s">
        <v>216</v>
      </c>
      <c r="J336" s="31">
        <v>3</v>
      </c>
      <c r="L336" s="31">
        <f t="shared" si="65"/>
        <v>-15</v>
      </c>
      <c r="Q336" s="31">
        <v>10</v>
      </c>
      <c r="S336" s="31">
        <v>6</v>
      </c>
      <c r="CA336" s="44" t="s">
        <v>184</v>
      </c>
      <c r="CB336" s="44"/>
      <c r="CD336" s="35" t="s">
        <v>828</v>
      </c>
      <c r="CH336" s="44"/>
      <c r="CV336" s="31" t="s">
        <v>692</v>
      </c>
      <c r="DD336" s="31">
        <v>1</v>
      </c>
    </row>
    <row r="337" spans="1:110">
      <c r="A337" s="81" t="s">
        <v>1128</v>
      </c>
      <c r="B337" s="31" t="s">
        <v>183</v>
      </c>
      <c r="E337" s="31">
        <v>15</v>
      </c>
      <c r="F337" s="31" t="str">
        <f t="shared" si="64"/>
        <v>Intelligence 10</v>
      </c>
      <c r="I337" s="31" t="s">
        <v>219</v>
      </c>
      <c r="J337" s="31">
        <v>3</v>
      </c>
      <c r="L337" s="31">
        <f t="shared" si="65"/>
        <v>-15</v>
      </c>
      <c r="Q337" s="31">
        <v>10</v>
      </c>
      <c r="S337" s="31">
        <v>6.5</v>
      </c>
      <c r="CA337" s="44" t="s">
        <v>184</v>
      </c>
      <c r="CB337" s="44"/>
      <c r="CD337" s="35" t="s">
        <v>433</v>
      </c>
      <c r="CH337" s="44"/>
      <c r="CV337" s="31" t="s">
        <v>1129</v>
      </c>
      <c r="DD337" s="31">
        <v>1</v>
      </c>
    </row>
    <row r="338" spans="1:110">
      <c r="A338" s="81" t="s">
        <v>512</v>
      </c>
      <c r="B338" s="31" t="s">
        <v>183</v>
      </c>
      <c r="C338" s="37"/>
      <c r="E338" s="31">
        <v>6</v>
      </c>
      <c r="F338" s="31" t="str">
        <f t="shared" si="64"/>
        <v>Intelligence 6</v>
      </c>
      <c r="I338" s="31" t="s">
        <v>219</v>
      </c>
      <c r="L338" s="31">
        <f t="shared" si="65"/>
        <v>-6</v>
      </c>
      <c r="O338" s="31">
        <v>2</v>
      </c>
      <c r="Q338" s="44">
        <v>10</v>
      </c>
      <c r="S338" s="31">
        <v>6.4</v>
      </c>
      <c r="AD338" s="31">
        <v>1</v>
      </c>
      <c r="BP338" s="31">
        <v>5</v>
      </c>
      <c r="BR338" s="33"/>
      <c r="BS338" s="44"/>
      <c r="BT338" s="34"/>
      <c r="CA338" s="44" t="s">
        <v>184</v>
      </c>
      <c r="CB338" s="44"/>
      <c r="CD338" s="35" t="s">
        <v>433</v>
      </c>
      <c r="CH338" s="44"/>
      <c r="CV338" s="36" t="s">
        <v>1703</v>
      </c>
      <c r="DD338" s="31">
        <v>1</v>
      </c>
    </row>
    <row r="339" spans="1:110" s="60" customFormat="1">
      <c r="A339" s="105" t="s">
        <v>694</v>
      </c>
      <c r="B339" s="60" t="s">
        <v>183</v>
      </c>
      <c r="C339" s="61"/>
      <c r="E339" s="60">
        <v>12</v>
      </c>
      <c r="F339" s="31" t="str">
        <f t="shared" si="64"/>
        <v>Intelligence 8</v>
      </c>
      <c r="I339" s="60" t="s">
        <v>216</v>
      </c>
      <c r="L339" s="31">
        <f t="shared" si="65"/>
        <v>-12</v>
      </c>
      <c r="Q339" s="60">
        <v>10</v>
      </c>
      <c r="S339" s="60">
        <v>6.6</v>
      </c>
      <c r="T339" s="60">
        <v>1000</v>
      </c>
      <c r="AC339" s="60">
        <v>1</v>
      </c>
      <c r="AV339" s="60">
        <v>1</v>
      </c>
      <c r="BM339" s="60">
        <v>5</v>
      </c>
      <c r="BS339" s="62"/>
      <c r="BT339" s="63">
        <v>8</v>
      </c>
      <c r="CA339" s="62" t="s">
        <v>184</v>
      </c>
      <c r="CB339" s="62"/>
      <c r="CC339" s="64" t="s">
        <v>1287</v>
      </c>
      <c r="CD339" s="64" t="s">
        <v>828</v>
      </c>
      <c r="CE339" s="65"/>
      <c r="CF339" s="35"/>
      <c r="CH339" s="62"/>
      <c r="CV339" s="66" t="s">
        <v>695</v>
      </c>
      <c r="DD339" s="60">
        <v>1</v>
      </c>
    </row>
    <row r="340" spans="1:110" s="60" customFormat="1">
      <c r="A340" s="105" t="s">
        <v>1413</v>
      </c>
      <c r="B340" s="60" t="s">
        <v>183</v>
      </c>
      <c r="C340" s="61"/>
      <c r="E340" s="60">
        <v>12</v>
      </c>
      <c r="F340" s="31" t="str">
        <f t="shared" si="64"/>
        <v>Intelligence 8</v>
      </c>
      <c r="I340" s="60" t="s">
        <v>216</v>
      </c>
      <c r="L340" s="31">
        <f t="shared" si="65"/>
        <v>-12</v>
      </c>
      <c r="Q340" s="60">
        <v>10</v>
      </c>
      <c r="S340" s="60">
        <v>6.6</v>
      </c>
      <c r="T340" s="60">
        <v>1000</v>
      </c>
      <c r="AC340" s="60">
        <v>1</v>
      </c>
      <c r="AV340" s="60">
        <v>1</v>
      </c>
      <c r="BM340" s="60">
        <v>5</v>
      </c>
      <c r="BS340" s="62"/>
      <c r="BT340" s="63">
        <v>8</v>
      </c>
      <c r="CA340" s="62" t="s">
        <v>184</v>
      </c>
      <c r="CB340" s="62"/>
      <c r="CC340" s="64" t="s">
        <v>1287</v>
      </c>
      <c r="CD340" s="64" t="s">
        <v>828</v>
      </c>
      <c r="CE340" s="65"/>
      <c r="CF340" s="35"/>
      <c r="CH340" s="62"/>
      <c r="CV340" s="127" t="s">
        <v>1414</v>
      </c>
      <c r="DD340" s="60">
        <v>1</v>
      </c>
    </row>
    <row r="341" spans="1:110" s="33" customFormat="1">
      <c r="A341" s="83" t="s">
        <v>1465</v>
      </c>
      <c r="B341" s="60" t="s">
        <v>183</v>
      </c>
      <c r="C341" s="115"/>
      <c r="E341" s="33">
        <v>16</v>
      </c>
      <c r="F341" s="31" t="str">
        <f t="shared" si="64"/>
        <v>Intelligence 9</v>
      </c>
      <c r="I341" s="116" t="s">
        <v>224</v>
      </c>
      <c r="L341" s="31">
        <f t="shared" ref="L341" si="66">-E341</f>
        <v>-16</v>
      </c>
      <c r="Q341" s="33">
        <v>10</v>
      </c>
      <c r="S341" s="33">
        <v>6</v>
      </c>
      <c r="AD341" s="33">
        <v>1</v>
      </c>
      <c r="AS341" s="33">
        <v>2</v>
      </c>
      <c r="BN341" s="33">
        <v>5</v>
      </c>
      <c r="BS341" s="44"/>
      <c r="BT341" s="34"/>
      <c r="CA341" s="134" t="s">
        <v>184</v>
      </c>
      <c r="CB341" s="134"/>
      <c r="CC341" s="124" t="s">
        <v>1602</v>
      </c>
      <c r="CD341" s="124" t="s">
        <v>821</v>
      </c>
      <c r="CE341" s="67"/>
      <c r="CF341" s="35"/>
      <c r="CH341" s="134"/>
      <c r="CV341" s="127" t="s">
        <v>1466</v>
      </c>
      <c r="CZ341" s="81" t="s">
        <v>1724</v>
      </c>
      <c r="DA341" s="33">
        <v>1</v>
      </c>
      <c r="DB341" s="33">
        <v>1</v>
      </c>
      <c r="DC341" s="33">
        <v>1</v>
      </c>
      <c r="DD341" s="33">
        <v>1</v>
      </c>
      <c r="DE341" s="33">
        <v>16</v>
      </c>
      <c r="DF341" s="33">
        <v>20</v>
      </c>
    </row>
    <row r="342" spans="1:110">
      <c r="A342" s="85" t="s">
        <v>926</v>
      </c>
      <c r="B342" s="31" t="s">
        <v>183</v>
      </c>
      <c r="C342" s="37"/>
      <c r="E342" s="31">
        <v>1</v>
      </c>
      <c r="F342" s="31" t="str">
        <f t="shared" si="64"/>
        <v>Intelligence 5</v>
      </c>
      <c r="I342" s="31" t="s">
        <v>222</v>
      </c>
      <c r="L342" s="31">
        <v>-5</v>
      </c>
      <c r="Q342" s="44">
        <v>8</v>
      </c>
      <c r="S342" s="31">
        <v>4.2</v>
      </c>
      <c r="BR342" s="33"/>
      <c r="BS342" s="44"/>
      <c r="BT342" s="34"/>
      <c r="CA342" s="44" t="s">
        <v>184</v>
      </c>
      <c r="CB342" s="44"/>
      <c r="CC342" s="43"/>
      <c r="CD342" s="43"/>
      <c r="CE342" s="67"/>
      <c r="CH342" s="44"/>
      <c r="CV342" s="36" t="s">
        <v>444</v>
      </c>
    </row>
    <row r="343" spans="1:110">
      <c r="A343" s="85" t="s">
        <v>927</v>
      </c>
      <c r="B343" s="31" t="s">
        <v>183</v>
      </c>
      <c r="C343" s="37"/>
      <c r="E343" s="31">
        <v>1</v>
      </c>
      <c r="F343" s="31" t="str">
        <f t="shared" si="64"/>
        <v>Intelligence 5</v>
      </c>
      <c r="I343" s="31" t="s">
        <v>224</v>
      </c>
      <c r="L343" s="31">
        <v>-5</v>
      </c>
      <c r="Q343" s="44">
        <v>8</v>
      </c>
      <c r="S343" s="31">
        <v>4.2</v>
      </c>
      <c r="BR343" s="33"/>
      <c r="BS343" s="44"/>
      <c r="BT343" s="34"/>
      <c r="CA343" s="44" t="s">
        <v>184</v>
      </c>
      <c r="CB343" s="44"/>
      <c r="CC343" s="43"/>
      <c r="CD343" s="43"/>
      <c r="CE343" s="67"/>
      <c r="CH343" s="44"/>
      <c r="CV343" s="36" t="s">
        <v>444</v>
      </c>
    </row>
    <row r="344" spans="1:110">
      <c r="A344" s="85" t="s">
        <v>928</v>
      </c>
      <c r="B344" s="31" t="s">
        <v>183</v>
      </c>
      <c r="C344" s="37"/>
      <c r="E344" s="31">
        <v>1</v>
      </c>
      <c r="F344" s="31" t="str">
        <f t="shared" si="64"/>
        <v>Intelligence 5</v>
      </c>
      <c r="I344" s="31" t="s">
        <v>219</v>
      </c>
      <c r="L344" s="31">
        <v>-5</v>
      </c>
      <c r="Q344" s="44">
        <v>8</v>
      </c>
      <c r="S344" s="31">
        <v>4.2</v>
      </c>
      <c r="BR344" s="33"/>
      <c r="BS344" s="44"/>
      <c r="BT344" s="34"/>
      <c r="CA344" s="44" t="s">
        <v>184</v>
      </c>
      <c r="CB344" s="44"/>
      <c r="CC344" s="43"/>
      <c r="CD344" s="43"/>
      <c r="CE344" s="67"/>
      <c r="CH344" s="44"/>
      <c r="CV344" s="36" t="s">
        <v>444</v>
      </c>
    </row>
    <row r="345" spans="1:110" s="60" customFormat="1">
      <c r="A345" s="86" t="s">
        <v>929</v>
      </c>
      <c r="B345" s="33" t="s">
        <v>183</v>
      </c>
      <c r="C345" s="61"/>
      <c r="E345" s="60">
        <v>1</v>
      </c>
      <c r="F345" s="31" t="str">
        <f t="shared" si="64"/>
        <v>Intelligence 5</v>
      </c>
      <c r="I345" s="60" t="s">
        <v>216</v>
      </c>
      <c r="L345" s="31">
        <v>-5</v>
      </c>
      <c r="Q345" s="60">
        <v>8</v>
      </c>
      <c r="S345" s="31">
        <v>4.2</v>
      </c>
      <c r="BS345" s="62"/>
      <c r="BT345" s="63"/>
      <c r="CA345" s="62" t="s">
        <v>184</v>
      </c>
      <c r="CB345" s="62"/>
      <c r="CC345" s="68"/>
      <c r="CD345" s="68"/>
      <c r="CE345" s="65"/>
      <c r="CF345" s="35"/>
      <c r="CH345" s="62"/>
      <c r="CV345" s="66" t="s">
        <v>444</v>
      </c>
    </row>
    <row r="346" spans="1:110">
      <c r="A346" s="31" t="s">
        <v>922</v>
      </c>
      <c r="B346" s="33" t="s">
        <v>183</v>
      </c>
      <c r="C346" s="37"/>
      <c r="E346" s="31">
        <v>1</v>
      </c>
      <c r="F346" s="31" t="str">
        <f t="shared" si="64"/>
        <v>Intelligence 5</v>
      </c>
      <c r="I346" s="44" t="s">
        <v>222</v>
      </c>
      <c r="L346" s="31">
        <f>-E346</f>
        <v>-1</v>
      </c>
      <c r="BR346" s="33"/>
      <c r="BS346" s="44"/>
      <c r="BT346" s="34"/>
      <c r="CA346" s="44" t="s">
        <v>184</v>
      </c>
      <c r="CB346" s="44"/>
      <c r="CC346" s="43"/>
      <c r="CD346" s="43"/>
      <c r="CE346" s="67"/>
      <c r="CH346" s="44"/>
      <c r="CV346" s="36" t="s">
        <v>444</v>
      </c>
      <c r="CZ346" s="31" t="s">
        <v>184</v>
      </c>
      <c r="DA346" s="31">
        <v>1</v>
      </c>
      <c r="DB346" s="31">
        <v>1</v>
      </c>
      <c r="DC346" s="31">
        <v>1</v>
      </c>
    </row>
    <row r="347" spans="1:110">
      <c r="A347" s="31" t="s">
        <v>933</v>
      </c>
      <c r="B347" s="33" t="s">
        <v>183</v>
      </c>
      <c r="C347" s="37"/>
      <c r="E347" s="31">
        <v>2</v>
      </c>
      <c r="F347" s="31" t="str">
        <f t="shared" si="64"/>
        <v>Intelligence 5</v>
      </c>
      <c r="I347" s="44" t="s">
        <v>222</v>
      </c>
      <c r="L347" s="31">
        <f t="shared" ref="L347:L410" si="67">-E347</f>
        <v>-2</v>
      </c>
      <c r="BR347" s="33"/>
      <c r="BS347" s="44"/>
      <c r="BT347" s="34"/>
      <c r="CA347" s="44" t="s">
        <v>184</v>
      </c>
      <c r="CB347" s="44"/>
      <c r="CH347" s="44"/>
      <c r="CV347" s="36" t="s">
        <v>444</v>
      </c>
      <c r="CZ347" s="31" t="s">
        <v>184</v>
      </c>
      <c r="DA347" s="31">
        <v>1</v>
      </c>
      <c r="DB347" s="31">
        <v>1</v>
      </c>
      <c r="DC347" s="31">
        <v>1</v>
      </c>
    </row>
    <row r="348" spans="1:110">
      <c r="A348" s="31" t="s">
        <v>934</v>
      </c>
      <c r="B348" s="33" t="s">
        <v>183</v>
      </c>
      <c r="C348" s="37"/>
      <c r="E348" s="31">
        <v>3</v>
      </c>
      <c r="F348" s="31" t="str">
        <f t="shared" si="64"/>
        <v>Intelligence 5</v>
      </c>
      <c r="I348" s="44" t="s">
        <v>222</v>
      </c>
      <c r="L348" s="31">
        <f t="shared" si="67"/>
        <v>-3</v>
      </c>
      <c r="BR348" s="33"/>
      <c r="BS348" s="44"/>
      <c r="BT348" s="34"/>
      <c r="CA348" s="44" t="s">
        <v>184</v>
      </c>
      <c r="CB348" s="44"/>
      <c r="CH348" s="44"/>
      <c r="CV348" s="36" t="s">
        <v>444</v>
      </c>
      <c r="CZ348" s="31" t="s">
        <v>184</v>
      </c>
      <c r="DA348" s="31">
        <v>1</v>
      </c>
      <c r="DB348" s="31">
        <v>1</v>
      </c>
      <c r="DC348" s="31">
        <v>1</v>
      </c>
    </row>
    <row r="349" spans="1:110">
      <c r="A349" s="31" t="s">
        <v>935</v>
      </c>
      <c r="B349" s="33" t="s">
        <v>183</v>
      </c>
      <c r="C349" s="37"/>
      <c r="E349" s="31">
        <v>4</v>
      </c>
      <c r="F349" s="31" t="str">
        <f t="shared" si="64"/>
        <v>Intelligence 5</v>
      </c>
      <c r="I349" s="44" t="s">
        <v>222</v>
      </c>
      <c r="L349" s="31">
        <f t="shared" si="67"/>
        <v>-4</v>
      </c>
      <c r="BR349" s="33"/>
      <c r="BS349" s="44"/>
      <c r="BT349" s="34"/>
      <c r="CA349" s="44" t="s">
        <v>184</v>
      </c>
      <c r="CB349" s="44"/>
      <c r="CH349" s="44"/>
      <c r="CV349" s="36" t="s">
        <v>1892</v>
      </c>
      <c r="CZ349" s="31" t="s">
        <v>184</v>
      </c>
      <c r="DA349" s="31">
        <v>1</v>
      </c>
      <c r="DB349" s="31">
        <v>1</v>
      </c>
      <c r="DC349" s="31">
        <v>1</v>
      </c>
    </row>
    <row r="350" spans="1:110">
      <c r="A350" s="31" t="s">
        <v>936</v>
      </c>
      <c r="B350" s="33" t="s">
        <v>183</v>
      </c>
      <c r="C350" s="37"/>
      <c r="E350" s="31">
        <v>5</v>
      </c>
      <c r="F350" s="31" t="str">
        <f t="shared" si="64"/>
        <v>Intelligence 6</v>
      </c>
      <c r="I350" s="44" t="s">
        <v>222</v>
      </c>
      <c r="L350" s="31">
        <f t="shared" si="67"/>
        <v>-5</v>
      </c>
      <c r="BR350" s="33"/>
      <c r="BS350" s="44"/>
      <c r="BT350" s="34"/>
      <c r="CA350" s="44" t="s">
        <v>184</v>
      </c>
      <c r="CB350" s="44"/>
      <c r="CH350" s="44"/>
      <c r="CV350" s="36" t="s">
        <v>1892</v>
      </c>
      <c r="CZ350" s="31" t="s">
        <v>184</v>
      </c>
      <c r="DA350" s="31">
        <v>1</v>
      </c>
      <c r="DB350" s="31">
        <v>1</v>
      </c>
      <c r="DC350" s="31">
        <v>1</v>
      </c>
    </row>
    <row r="351" spans="1:110">
      <c r="A351" s="31" t="s">
        <v>937</v>
      </c>
      <c r="B351" s="33" t="s">
        <v>183</v>
      </c>
      <c r="C351" s="37"/>
      <c r="E351" s="31">
        <v>6</v>
      </c>
      <c r="F351" s="31" t="str">
        <f t="shared" si="64"/>
        <v>Intelligence 6</v>
      </c>
      <c r="I351" s="44" t="s">
        <v>222</v>
      </c>
      <c r="L351" s="31">
        <f t="shared" si="67"/>
        <v>-6</v>
      </c>
      <c r="BR351" s="33"/>
      <c r="BS351" s="44"/>
      <c r="BT351" s="34"/>
      <c r="CA351" s="44" t="s">
        <v>184</v>
      </c>
      <c r="CB351" s="44"/>
      <c r="CH351" s="44"/>
      <c r="CV351" s="36" t="s">
        <v>1892</v>
      </c>
      <c r="CZ351" s="31" t="s">
        <v>184</v>
      </c>
      <c r="DA351" s="31">
        <v>1</v>
      </c>
      <c r="DB351" s="31">
        <v>1</v>
      </c>
      <c r="DC351" s="31">
        <v>1</v>
      </c>
    </row>
    <row r="352" spans="1:110">
      <c r="A352" s="31" t="s">
        <v>940</v>
      </c>
      <c r="B352" s="33" t="s">
        <v>183</v>
      </c>
      <c r="C352" s="37"/>
      <c r="E352" s="31">
        <v>7</v>
      </c>
      <c r="F352" s="31" t="str">
        <f t="shared" si="64"/>
        <v>Intelligence 6</v>
      </c>
      <c r="I352" s="44" t="s">
        <v>222</v>
      </c>
      <c r="L352" s="31">
        <f t="shared" si="67"/>
        <v>-7</v>
      </c>
      <c r="BR352" s="33"/>
      <c r="BS352" s="44"/>
      <c r="BT352" s="34"/>
      <c r="CA352" s="44" t="s">
        <v>184</v>
      </c>
      <c r="CB352" s="44"/>
      <c r="CH352" s="44"/>
      <c r="CV352" s="36" t="s">
        <v>1893</v>
      </c>
      <c r="CZ352" s="31" t="s">
        <v>184</v>
      </c>
      <c r="DA352" s="31">
        <v>1</v>
      </c>
      <c r="DB352" s="31">
        <v>1</v>
      </c>
      <c r="DC352" s="31">
        <v>1</v>
      </c>
    </row>
    <row r="353" spans="1:108">
      <c r="A353" s="31" t="s">
        <v>941</v>
      </c>
      <c r="B353" s="33" t="s">
        <v>183</v>
      </c>
      <c r="C353" s="37"/>
      <c r="E353" s="31">
        <v>8</v>
      </c>
      <c r="F353" s="31" t="str">
        <f t="shared" si="64"/>
        <v>Intelligence 7</v>
      </c>
      <c r="I353" s="44" t="s">
        <v>222</v>
      </c>
      <c r="L353" s="31">
        <f t="shared" si="67"/>
        <v>-8</v>
      </c>
      <c r="BR353" s="33"/>
      <c r="BS353" s="44"/>
      <c r="BT353" s="34"/>
      <c r="CA353" s="44" t="s">
        <v>184</v>
      </c>
      <c r="CB353" s="44"/>
      <c r="CH353" s="44"/>
      <c r="CV353" s="36" t="s">
        <v>1893</v>
      </c>
      <c r="CZ353" s="31" t="s">
        <v>184</v>
      </c>
      <c r="DA353" s="31">
        <v>1</v>
      </c>
      <c r="DB353" s="31">
        <v>1</v>
      </c>
      <c r="DC353" s="31">
        <v>1</v>
      </c>
    </row>
    <row r="354" spans="1:108">
      <c r="A354" s="31" t="s">
        <v>943</v>
      </c>
      <c r="B354" s="33" t="s">
        <v>183</v>
      </c>
      <c r="C354" s="37"/>
      <c r="E354" s="31">
        <v>9</v>
      </c>
      <c r="F354" s="31" t="str">
        <f t="shared" si="64"/>
        <v>Intelligence 7</v>
      </c>
      <c r="I354" s="44" t="s">
        <v>222</v>
      </c>
      <c r="L354" s="31">
        <f t="shared" si="67"/>
        <v>-9</v>
      </c>
      <c r="BR354" s="33"/>
      <c r="BS354" s="44"/>
      <c r="BT354" s="34"/>
      <c r="CA354" s="44" t="s">
        <v>184</v>
      </c>
      <c r="CB354" s="44"/>
      <c r="CH354" s="44"/>
      <c r="CV354" s="36" t="s">
        <v>1893</v>
      </c>
      <c r="CZ354" s="31" t="s">
        <v>184</v>
      </c>
      <c r="DA354" s="31">
        <v>1</v>
      </c>
      <c r="DB354" s="31">
        <v>1</v>
      </c>
      <c r="DC354" s="31">
        <v>1</v>
      </c>
    </row>
    <row r="355" spans="1:108">
      <c r="A355" s="31" t="s">
        <v>945</v>
      </c>
      <c r="B355" s="33" t="s">
        <v>183</v>
      </c>
      <c r="C355" s="37"/>
      <c r="E355" s="31">
        <v>10</v>
      </c>
      <c r="F355" s="31" t="str">
        <f t="shared" si="64"/>
        <v>Intelligence 8</v>
      </c>
      <c r="I355" s="44" t="s">
        <v>222</v>
      </c>
      <c r="L355" s="31">
        <f t="shared" si="67"/>
        <v>-10</v>
      </c>
      <c r="BR355" s="33"/>
      <c r="BS355" s="44"/>
      <c r="BT355" s="34"/>
      <c r="CA355" s="44" t="s">
        <v>184</v>
      </c>
      <c r="CB355" s="44"/>
      <c r="CH355" s="44"/>
      <c r="CV355" s="36" t="s">
        <v>1894</v>
      </c>
      <c r="CZ355" s="31" t="s">
        <v>184</v>
      </c>
      <c r="DA355" s="31">
        <v>1</v>
      </c>
      <c r="DB355" s="31">
        <v>1</v>
      </c>
      <c r="DC355" s="31">
        <v>1</v>
      </c>
    </row>
    <row r="356" spans="1:108">
      <c r="A356" s="31" t="s">
        <v>946</v>
      </c>
      <c r="B356" s="33" t="s">
        <v>183</v>
      </c>
      <c r="C356" s="37"/>
      <c r="E356" s="31">
        <v>11</v>
      </c>
      <c r="F356" s="31" t="str">
        <f t="shared" si="64"/>
        <v>Intelligence 8</v>
      </c>
      <c r="I356" s="44" t="s">
        <v>222</v>
      </c>
      <c r="L356" s="31">
        <f t="shared" si="67"/>
        <v>-11</v>
      </c>
      <c r="BR356" s="33"/>
      <c r="BS356" s="44"/>
      <c r="BT356" s="34"/>
      <c r="CA356" s="44" t="s">
        <v>184</v>
      </c>
      <c r="CB356" s="44"/>
      <c r="CH356" s="44"/>
      <c r="CV356" s="36" t="s">
        <v>1894</v>
      </c>
      <c r="CZ356" s="31" t="s">
        <v>184</v>
      </c>
      <c r="DA356" s="31">
        <v>1</v>
      </c>
      <c r="DB356" s="31">
        <v>1</v>
      </c>
      <c r="DC356" s="31">
        <v>1</v>
      </c>
    </row>
    <row r="357" spans="1:108" s="27" customFormat="1">
      <c r="A357" s="31" t="s">
        <v>947</v>
      </c>
      <c r="B357" s="33" t="s">
        <v>183</v>
      </c>
      <c r="C357" s="31"/>
      <c r="D357" s="31"/>
      <c r="E357" s="31">
        <v>12</v>
      </c>
      <c r="F357" s="31" t="str">
        <f t="shared" si="64"/>
        <v>Intelligence 8</v>
      </c>
      <c r="G357" s="31"/>
      <c r="H357" s="31"/>
      <c r="I357" s="44" t="s">
        <v>222</v>
      </c>
      <c r="J357" s="31"/>
      <c r="K357" s="31"/>
      <c r="L357" s="31">
        <f t="shared" si="67"/>
        <v>-12</v>
      </c>
      <c r="M357" s="31"/>
      <c r="N357" s="31"/>
      <c r="O357" s="31"/>
      <c r="P357" s="31"/>
      <c r="Q357" s="31"/>
      <c r="R357" s="31"/>
      <c r="S357" s="31"/>
      <c r="T357" s="31"/>
      <c r="U357" s="31"/>
      <c r="V357" s="31"/>
      <c r="W357" s="31"/>
      <c r="X357" s="31"/>
      <c r="Y357" s="31"/>
      <c r="Z357" s="31"/>
      <c r="AA357" s="31"/>
      <c r="AB357" s="31"/>
      <c r="AC357" s="31"/>
      <c r="AD357" s="31"/>
      <c r="AE357" s="31"/>
      <c r="AF357" s="31"/>
      <c r="AG357" s="31"/>
      <c r="AH357" s="31"/>
      <c r="AI357" s="31"/>
      <c r="AJ357" s="31"/>
      <c r="AK357" s="31"/>
      <c r="AL357" s="31"/>
      <c r="AM357" s="31"/>
      <c r="AN357" s="31"/>
      <c r="AO357" s="31"/>
      <c r="AP357" s="31"/>
      <c r="AQ357" s="31"/>
      <c r="AR357" s="31"/>
      <c r="AS357" s="31"/>
      <c r="AT357" s="31"/>
      <c r="AU357" s="31"/>
      <c r="AV357" s="31"/>
      <c r="AW357" s="31"/>
      <c r="AX357" s="31"/>
      <c r="AY357" s="31"/>
      <c r="AZ357" s="31"/>
      <c r="BA357" s="31"/>
      <c r="BB357" s="31"/>
      <c r="BC357" s="31"/>
      <c r="BD357" s="31"/>
      <c r="BE357" s="31"/>
      <c r="BF357" s="31"/>
      <c r="BG357" s="31"/>
      <c r="BH357" s="31"/>
      <c r="BI357" s="31"/>
      <c r="BJ357" s="31"/>
      <c r="BK357" s="31"/>
      <c r="BL357" s="31"/>
      <c r="BM357" s="31"/>
      <c r="BN357" s="31"/>
      <c r="BO357" s="31"/>
      <c r="BP357" s="31"/>
      <c r="BQ357" s="31"/>
      <c r="BR357" s="31"/>
      <c r="BS357" s="31"/>
      <c r="BT357" s="31"/>
      <c r="BU357" s="31"/>
      <c r="BV357" s="31"/>
      <c r="BW357" s="31"/>
      <c r="BX357" s="31"/>
      <c r="BY357" s="31"/>
      <c r="BZ357" s="31"/>
      <c r="CA357" s="44" t="s">
        <v>184</v>
      </c>
      <c r="CB357" s="44"/>
      <c r="CC357" s="35"/>
      <c r="CD357" s="35"/>
      <c r="CE357" s="35"/>
      <c r="CF357" s="35"/>
      <c r="CG357" s="31"/>
      <c r="CH357" s="44"/>
      <c r="CI357" s="31"/>
      <c r="CJ357" s="31"/>
      <c r="CK357" s="31"/>
      <c r="CL357" s="31"/>
      <c r="CM357" s="31"/>
      <c r="CN357" s="31"/>
      <c r="CO357" s="31"/>
      <c r="CP357" s="31"/>
      <c r="CQ357" s="31"/>
      <c r="CR357" s="31"/>
      <c r="CS357" s="31"/>
      <c r="CT357" s="31"/>
      <c r="CU357" s="31"/>
      <c r="CV357" s="36" t="s">
        <v>1894</v>
      </c>
      <c r="CW357" s="33"/>
      <c r="CX357" s="33"/>
      <c r="CY357" s="33"/>
      <c r="CZ357" s="31" t="s">
        <v>184</v>
      </c>
      <c r="DA357" s="31">
        <v>1</v>
      </c>
      <c r="DB357" s="31">
        <v>1</v>
      </c>
      <c r="DC357" s="31">
        <v>1</v>
      </c>
      <c r="DD357" s="31"/>
    </row>
    <row r="358" spans="1:108">
      <c r="A358" s="31" t="s">
        <v>948</v>
      </c>
      <c r="B358" s="33" t="s">
        <v>183</v>
      </c>
      <c r="C358" s="37"/>
      <c r="E358" s="31">
        <v>13</v>
      </c>
      <c r="F358" s="31" t="str">
        <f t="shared" si="64"/>
        <v>Intelligence 8</v>
      </c>
      <c r="I358" s="44" t="s">
        <v>222</v>
      </c>
      <c r="L358" s="31">
        <f t="shared" si="67"/>
        <v>-13</v>
      </c>
      <c r="BR358" s="33"/>
      <c r="BS358" s="44"/>
      <c r="BT358" s="34"/>
      <c r="CA358" s="44" t="s">
        <v>184</v>
      </c>
      <c r="CB358" s="44"/>
      <c r="CH358" s="44"/>
      <c r="CV358" s="36" t="s">
        <v>1079</v>
      </c>
      <c r="CZ358" s="31" t="s">
        <v>184</v>
      </c>
      <c r="DA358" s="31">
        <v>1</v>
      </c>
      <c r="DB358" s="31">
        <v>1</v>
      </c>
      <c r="DC358" s="31">
        <v>1</v>
      </c>
    </row>
    <row r="359" spans="1:108">
      <c r="A359" s="31" t="s">
        <v>949</v>
      </c>
      <c r="B359" s="33" t="s">
        <v>183</v>
      </c>
      <c r="E359" s="31">
        <v>14</v>
      </c>
      <c r="F359" s="31" t="str">
        <f t="shared" si="64"/>
        <v>Intelligence 9</v>
      </c>
      <c r="I359" s="44" t="s">
        <v>222</v>
      </c>
      <c r="L359" s="31">
        <f t="shared" si="67"/>
        <v>-14</v>
      </c>
      <c r="BR359" s="33"/>
      <c r="BS359" s="44"/>
      <c r="BT359" s="34"/>
      <c r="CA359" s="44" t="s">
        <v>184</v>
      </c>
      <c r="CB359" s="44"/>
      <c r="CH359" s="44"/>
      <c r="CV359" s="36" t="s">
        <v>1079</v>
      </c>
      <c r="CW359" s="33"/>
      <c r="CX359" s="33"/>
      <c r="CY359" s="33"/>
      <c r="CZ359" s="31" t="s">
        <v>184</v>
      </c>
      <c r="DA359" s="31">
        <v>1</v>
      </c>
      <c r="DB359" s="31">
        <v>1</v>
      </c>
      <c r="DC359" s="31">
        <v>1</v>
      </c>
    </row>
    <row r="360" spans="1:108">
      <c r="A360" s="31" t="s">
        <v>950</v>
      </c>
      <c r="B360" s="33" t="s">
        <v>183</v>
      </c>
      <c r="C360" s="37"/>
      <c r="E360" s="31">
        <v>15</v>
      </c>
      <c r="F360" s="31" t="str">
        <f t="shared" si="64"/>
        <v>Intelligence 9</v>
      </c>
      <c r="I360" s="44" t="s">
        <v>222</v>
      </c>
      <c r="L360" s="31">
        <f t="shared" si="67"/>
        <v>-15</v>
      </c>
      <c r="BR360" s="33"/>
      <c r="BS360" s="44"/>
      <c r="BT360" s="34"/>
      <c r="CA360" s="44" t="s">
        <v>184</v>
      </c>
      <c r="CB360" s="44"/>
      <c r="CH360" s="44"/>
      <c r="CV360" s="36" t="s">
        <v>1079</v>
      </c>
      <c r="CZ360" s="31" t="s">
        <v>184</v>
      </c>
      <c r="DA360" s="31">
        <v>1</v>
      </c>
      <c r="DB360" s="31">
        <v>1</v>
      </c>
      <c r="DC360" s="31">
        <v>1</v>
      </c>
    </row>
    <row r="361" spans="1:108">
      <c r="A361" s="31" t="s">
        <v>938</v>
      </c>
      <c r="B361" s="33" t="s">
        <v>183</v>
      </c>
      <c r="C361" s="37"/>
      <c r="E361" s="31">
        <v>16</v>
      </c>
      <c r="F361" s="31" t="str">
        <f>CONCATENATE("Intelligence ",MIN(MAX(ROUND(SQRT((IF(J361="",StaffDamage,J361)+IF(J361="",StaffDamage,J361)+IF(K361="",StaffDamageRange,K361))*(E361/1.4))+1,0),5),15))</f>
        <v>Intelligence 9</v>
      </c>
      <c r="I361" s="44" t="s">
        <v>222</v>
      </c>
      <c r="L361" s="31">
        <f t="shared" si="67"/>
        <v>-16</v>
      </c>
      <c r="BR361" s="33"/>
      <c r="BS361" s="44"/>
      <c r="BT361" s="34"/>
      <c r="CA361" s="44" t="s">
        <v>184</v>
      </c>
      <c r="CB361" s="44"/>
      <c r="CH361" s="44"/>
      <c r="CV361" s="49" t="s">
        <v>1126</v>
      </c>
      <c r="CZ361" s="31" t="s">
        <v>184</v>
      </c>
      <c r="DA361" s="31">
        <v>1</v>
      </c>
      <c r="DB361" s="31">
        <v>1</v>
      </c>
      <c r="DC361" s="31">
        <v>1</v>
      </c>
    </row>
    <row r="362" spans="1:108">
      <c r="A362" s="31" t="s">
        <v>939</v>
      </c>
      <c r="B362" s="33" t="s">
        <v>183</v>
      </c>
      <c r="C362" s="37"/>
      <c r="E362" s="31">
        <v>17</v>
      </c>
      <c r="F362" s="31" t="str">
        <f>CONCATENATE("Intelligence ",MIN(MAX(ROUND(SQRT((IF(J362="",StaffDamage,J362)+IF(J362="",StaffDamage,J362)+IF(K362="",StaffDamageRange,K362))*(E362/1.4))+1,0),5),15))</f>
        <v>Intelligence 10</v>
      </c>
      <c r="I362" s="44" t="s">
        <v>222</v>
      </c>
      <c r="L362" s="31">
        <f t="shared" si="67"/>
        <v>-17</v>
      </c>
      <c r="BR362" s="33"/>
      <c r="BS362" s="44"/>
      <c r="BT362" s="34"/>
      <c r="CA362" s="44" t="s">
        <v>184</v>
      </c>
      <c r="CB362" s="44"/>
      <c r="CH362" s="44"/>
      <c r="CV362" s="49" t="s">
        <v>1126</v>
      </c>
      <c r="CZ362" s="31" t="s">
        <v>184</v>
      </c>
      <c r="DA362" s="31">
        <v>1</v>
      </c>
      <c r="DB362" s="31">
        <v>1</v>
      </c>
      <c r="DC362" s="31">
        <v>1</v>
      </c>
    </row>
    <row r="363" spans="1:108">
      <c r="A363" s="31" t="s">
        <v>932</v>
      </c>
      <c r="B363" s="33" t="s">
        <v>183</v>
      </c>
      <c r="C363" s="37"/>
      <c r="E363" s="31">
        <v>18</v>
      </c>
      <c r="F363" s="31" t="str">
        <f>CONCATENATE("Intelligence ",MIN(MAX(ROUND(SQRT((IF(J363="",StaffDamage,J363)+IF(J363="",StaffDamage,J363)+IF(K363="",StaffDamageRange,K363))*(E363/1.4))+1,0),5),15))</f>
        <v>Intelligence 10</v>
      </c>
      <c r="I363" s="44" t="s">
        <v>222</v>
      </c>
      <c r="L363" s="31">
        <f t="shared" si="67"/>
        <v>-18</v>
      </c>
      <c r="BR363" s="33"/>
      <c r="BS363" s="44"/>
      <c r="BT363" s="34"/>
      <c r="CA363" s="44" t="s">
        <v>184</v>
      </c>
      <c r="CB363" s="44"/>
      <c r="CH363" s="44"/>
      <c r="CV363" s="36" t="s">
        <v>1264</v>
      </c>
      <c r="CW363" s="33"/>
      <c r="CX363" s="33"/>
      <c r="CY363" s="33"/>
      <c r="CZ363" s="69" t="s">
        <v>184</v>
      </c>
      <c r="DA363" s="31">
        <v>1</v>
      </c>
      <c r="DB363" s="31">
        <v>1</v>
      </c>
      <c r="DC363" s="31">
        <v>1</v>
      </c>
    </row>
    <row r="364" spans="1:108" s="27" customFormat="1">
      <c r="A364" s="31" t="s">
        <v>942</v>
      </c>
      <c r="B364" s="33" t="s">
        <v>183</v>
      </c>
      <c r="C364" s="31"/>
      <c r="D364" s="31"/>
      <c r="E364" s="31">
        <v>19</v>
      </c>
      <c r="F364" s="31" t="str">
        <f>CONCATENATE("Intelligence ",MIN(MAX(ROUND(SQRT((IF(J364="",StaffDamage,J364)+IF(J364="",StaffDamage,J364)+IF(K364="",StaffDamageRange,K364))*(E364/1.4))+1,0),5),15))</f>
        <v>Intelligence 10</v>
      </c>
      <c r="G364" s="31"/>
      <c r="H364" s="31"/>
      <c r="I364" s="44" t="s">
        <v>222</v>
      </c>
      <c r="J364" s="31"/>
      <c r="K364" s="31"/>
      <c r="L364" s="31">
        <f t="shared" si="67"/>
        <v>-19</v>
      </c>
      <c r="M364" s="31"/>
      <c r="N364" s="31"/>
      <c r="O364" s="31"/>
      <c r="P364" s="31"/>
      <c r="Q364" s="31"/>
      <c r="R364" s="31"/>
      <c r="S364" s="31"/>
      <c r="T364" s="31"/>
      <c r="U364" s="31"/>
      <c r="V364" s="31"/>
      <c r="W364" s="31"/>
      <c r="X364" s="31"/>
      <c r="Y364" s="31"/>
      <c r="Z364" s="31"/>
      <c r="AA364" s="31"/>
      <c r="AB364" s="31"/>
      <c r="AC364" s="31"/>
      <c r="AD364" s="31"/>
      <c r="AE364" s="31"/>
      <c r="AF364" s="31"/>
      <c r="AG364" s="31"/>
      <c r="AH364" s="31"/>
      <c r="AI364" s="31"/>
      <c r="AJ364" s="31"/>
      <c r="AK364" s="31"/>
      <c r="AL364" s="31"/>
      <c r="AM364" s="31"/>
      <c r="AN364" s="31"/>
      <c r="AO364" s="31"/>
      <c r="AP364" s="31"/>
      <c r="AQ364" s="31"/>
      <c r="AR364" s="31"/>
      <c r="AS364" s="31"/>
      <c r="AT364" s="31"/>
      <c r="AU364" s="31"/>
      <c r="AV364" s="31"/>
      <c r="AW364" s="31"/>
      <c r="AX364" s="31"/>
      <c r="AY364" s="31"/>
      <c r="AZ364" s="31"/>
      <c r="BA364" s="31"/>
      <c r="BB364" s="31"/>
      <c r="BC364" s="31"/>
      <c r="BD364" s="31"/>
      <c r="BE364" s="31"/>
      <c r="BF364" s="31"/>
      <c r="BG364" s="31"/>
      <c r="BH364" s="31"/>
      <c r="BI364" s="31"/>
      <c r="BJ364" s="31"/>
      <c r="BK364" s="31"/>
      <c r="BL364" s="31"/>
      <c r="BM364" s="31"/>
      <c r="BN364" s="31"/>
      <c r="BO364" s="31"/>
      <c r="BP364" s="31"/>
      <c r="BQ364" s="31"/>
      <c r="BR364" s="31"/>
      <c r="BS364" s="31"/>
      <c r="BT364" s="31"/>
      <c r="BU364" s="31"/>
      <c r="BV364" s="31"/>
      <c r="BW364" s="31"/>
      <c r="BX364" s="31"/>
      <c r="BY364" s="31"/>
      <c r="BZ364" s="31"/>
      <c r="CA364" s="44" t="s">
        <v>184</v>
      </c>
      <c r="CB364" s="44"/>
      <c r="CC364" s="35"/>
      <c r="CD364" s="35"/>
      <c r="CE364" s="35"/>
      <c r="CF364" s="35"/>
      <c r="CG364" s="31"/>
      <c r="CH364" s="44"/>
      <c r="CI364" s="31"/>
      <c r="CJ364" s="31"/>
      <c r="CK364" s="31"/>
      <c r="CL364" s="31"/>
      <c r="CM364" s="31"/>
      <c r="CN364" s="31"/>
      <c r="CO364" s="31"/>
      <c r="CP364" s="31"/>
      <c r="CQ364" s="31"/>
      <c r="CR364" s="31"/>
      <c r="CS364" s="31"/>
      <c r="CT364" s="31"/>
      <c r="CU364" s="31"/>
      <c r="CV364" s="36" t="s">
        <v>1264</v>
      </c>
      <c r="CW364" s="33"/>
      <c r="CX364" s="33"/>
      <c r="CY364" s="33"/>
      <c r="CZ364" s="31" t="s">
        <v>184</v>
      </c>
      <c r="DA364" s="31">
        <v>1</v>
      </c>
      <c r="DB364" s="31">
        <v>1</v>
      </c>
      <c r="DC364" s="31">
        <v>1</v>
      </c>
      <c r="DD364" s="31"/>
    </row>
    <row r="365" spans="1:108">
      <c r="A365" s="31" t="s">
        <v>944</v>
      </c>
      <c r="B365" s="33" t="s">
        <v>183</v>
      </c>
      <c r="E365" s="31">
        <v>20</v>
      </c>
      <c r="F365" s="31" t="str">
        <f>CONCATENATE("Intelligence ",MIN(MAX(ROUND(SQRT((IF(J365="",StaffDamage,J365)+IF(J365="",StaffDamage,J365)+IF(K365="",StaffDamageRange,K365))*(E365/1.4))+1,0),5),15))</f>
        <v>Intelligence 10</v>
      </c>
      <c r="I365" s="44" t="s">
        <v>222</v>
      </c>
      <c r="L365" s="31">
        <f t="shared" si="67"/>
        <v>-20</v>
      </c>
      <c r="BR365" s="33"/>
      <c r="BS365" s="44"/>
      <c r="BT365" s="34"/>
      <c r="CA365" s="44" t="s">
        <v>184</v>
      </c>
      <c r="CB365" s="44"/>
      <c r="CH365" s="44"/>
      <c r="CV365" s="36" t="s">
        <v>1264</v>
      </c>
      <c r="CW365" s="33"/>
      <c r="CX365" s="33"/>
      <c r="CY365" s="33"/>
      <c r="CZ365" s="31" t="s">
        <v>184</v>
      </c>
      <c r="DA365" s="31">
        <v>1</v>
      </c>
      <c r="DB365" s="31">
        <v>1</v>
      </c>
      <c r="DC365" s="31">
        <v>1</v>
      </c>
    </row>
    <row r="366" spans="1:108">
      <c r="A366" s="31" t="s">
        <v>923</v>
      </c>
      <c r="B366" s="33" t="s">
        <v>183</v>
      </c>
      <c r="C366" s="37"/>
      <c r="E366" s="31">
        <v>1</v>
      </c>
      <c r="F366" s="31" t="str">
        <f t="shared" si="64"/>
        <v>Intelligence 5</v>
      </c>
      <c r="I366" s="44" t="s">
        <v>224</v>
      </c>
      <c r="L366" s="31">
        <f t="shared" si="67"/>
        <v>-1</v>
      </c>
      <c r="BR366" s="33"/>
      <c r="BS366" s="44"/>
      <c r="BT366" s="34"/>
      <c r="CA366" s="44" t="s">
        <v>184</v>
      </c>
      <c r="CB366" s="44"/>
      <c r="CC366" s="43"/>
      <c r="CD366" s="43"/>
      <c r="CE366" s="67"/>
      <c r="CF366" s="67"/>
      <c r="CH366" s="44"/>
      <c r="CV366" s="36" t="s">
        <v>444</v>
      </c>
      <c r="CZ366" s="31" t="s">
        <v>184</v>
      </c>
      <c r="DA366" s="31">
        <v>1</v>
      </c>
      <c r="DB366" s="31">
        <v>1</v>
      </c>
      <c r="DC366" s="31">
        <v>1</v>
      </c>
    </row>
    <row r="367" spans="1:108">
      <c r="A367" s="31" t="s">
        <v>952</v>
      </c>
      <c r="B367" s="33" t="s">
        <v>183</v>
      </c>
      <c r="C367" s="37"/>
      <c r="E367" s="31">
        <v>2</v>
      </c>
      <c r="F367" s="31" t="str">
        <f t="shared" ref="F367:F394" si="68">CONCATENATE("Intelligence ",MIN(MAX(ROUND(SQRT((IF(J367="",StaffDamage,J367)+IF(J367="",StaffDamage,J367)+IF(K367="",StaffDamageRange,K367))*(E367/1.4))+1,0),5),15))</f>
        <v>Intelligence 5</v>
      </c>
      <c r="I367" s="44" t="s">
        <v>224</v>
      </c>
      <c r="L367" s="31">
        <f t="shared" si="67"/>
        <v>-2</v>
      </c>
      <c r="BR367" s="33"/>
      <c r="BS367" s="44"/>
      <c r="BT367" s="34"/>
      <c r="CA367" s="44" t="s">
        <v>184</v>
      </c>
      <c r="CB367" s="44"/>
      <c r="CH367" s="44"/>
      <c r="CV367" s="36" t="s">
        <v>444</v>
      </c>
      <c r="CZ367" s="31" t="s">
        <v>184</v>
      </c>
      <c r="DA367" s="31">
        <v>1</v>
      </c>
      <c r="DB367" s="31">
        <v>1</v>
      </c>
      <c r="DC367" s="31">
        <v>1</v>
      </c>
    </row>
    <row r="368" spans="1:108">
      <c r="A368" s="31" t="s">
        <v>953</v>
      </c>
      <c r="B368" s="33" t="s">
        <v>183</v>
      </c>
      <c r="C368" s="37"/>
      <c r="E368" s="31">
        <v>3</v>
      </c>
      <c r="F368" s="31" t="str">
        <f t="shared" si="68"/>
        <v>Intelligence 5</v>
      </c>
      <c r="I368" s="44" t="s">
        <v>224</v>
      </c>
      <c r="L368" s="31">
        <f t="shared" si="67"/>
        <v>-3</v>
      </c>
      <c r="BR368" s="33"/>
      <c r="BS368" s="44"/>
      <c r="BT368" s="34"/>
      <c r="CA368" s="44" t="s">
        <v>184</v>
      </c>
      <c r="CB368" s="44"/>
      <c r="CH368" s="44"/>
      <c r="CV368" s="36" t="s">
        <v>444</v>
      </c>
      <c r="CZ368" s="31" t="s">
        <v>184</v>
      </c>
      <c r="DA368" s="31">
        <v>1</v>
      </c>
      <c r="DB368" s="31">
        <v>1</v>
      </c>
      <c r="DC368" s="31">
        <v>1</v>
      </c>
    </row>
    <row r="369" spans="1:108">
      <c r="A369" s="31" t="s">
        <v>954</v>
      </c>
      <c r="B369" s="33" t="s">
        <v>183</v>
      </c>
      <c r="C369" s="37"/>
      <c r="E369" s="31">
        <v>4</v>
      </c>
      <c r="F369" s="31" t="str">
        <f t="shared" si="68"/>
        <v>Intelligence 5</v>
      </c>
      <c r="I369" s="44" t="s">
        <v>224</v>
      </c>
      <c r="L369" s="31">
        <f t="shared" si="67"/>
        <v>-4</v>
      </c>
      <c r="BR369" s="33"/>
      <c r="BS369" s="44"/>
      <c r="BT369" s="34"/>
      <c r="CA369" s="44" t="s">
        <v>184</v>
      </c>
      <c r="CB369" s="44"/>
      <c r="CH369" s="44"/>
      <c r="CV369" s="36" t="s">
        <v>1892</v>
      </c>
      <c r="CZ369" s="31" t="s">
        <v>184</v>
      </c>
      <c r="DA369" s="31">
        <v>1</v>
      </c>
      <c r="DB369" s="31">
        <v>1</v>
      </c>
      <c r="DC369" s="31">
        <v>1</v>
      </c>
    </row>
    <row r="370" spans="1:108">
      <c r="A370" s="31" t="s">
        <v>955</v>
      </c>
      <c r="B370" s="33" t="s">
        <v>183</v>
      </c>
      <c r="C370" s="37"/>
      <c r="E370" s="31">
        <v>5</v>
      </c>
      <c r="F370" s="31" t="str">
        <f t="shared" si="68"/>
        <v>Intelligence 6</v>
      </c>
      <c r="I370" s="44" t="s">
        <v>224</v>
      </c>
      <c r="L370" s="31">
        <f t="shared" si="67"/>
        <v>-5</v>
      </c>
      <c r="BR370" s="33"/>
      <c r="BS370" s="44"/>
      <c r="BT370" s="34"/>
      <c r="CA370" s="44" t="s">
        <v>184</v>
      </c>
      <c r="CB370" s="44"/>
      <c r="CH370" s="44"/>
      <c r="CV370" s="36" t="s">
        <v>1892</v>
      </c>
      <c r="CZ370" s="31" t="s">
        <v>184</v>
      </c>
      <c r="DA370" s="31">
        <v>1</v>
      </c>
      <c r="DB370" s="31">
        <v>1</v>
      </c>
      <c r="DC370" s="31">
        <v>1</v>
      </c>
    </row>
    <row r="371" spans="1:108">
      <c r="A371" s="31" t="s">
        <v>956</v>
      </c>
      <c r="B371" s="33" t="s">
        <v>183</v>
      </c>
      <c r="C371" s="37"/>
      <c r="E371" s="31">
        <v>6</v>
      </c>
      <c r="F371" s="31" t="str">
        <f t="shared" si="68"/>
        <v>Intelligence 6</v>
      </c>
      <c r="I371" s="44" t="s">
        <v>224</v>
      </c>
      <c r="L371" s="31">
        <f t="shared" si="67"/>
        <v>-6</v>
      </c>
      <c r="BR371" s="33"/>
      <c r="BS371" s="44"/>
      <c r="BT371" s="34"/>
      <c r="CA371" s="44" t="s">
        <v>184</v>
      </c>
      <c r="CB371" s="44"/>
      <c r="CH371" s="44"/>
      <c r="CV371" s="36" t="s">
        <v>1892</v>
      </c>
      <c r="CZ371" s="31" t="s">
        <v>184</v>
      </c>
      <c r="DA371" s="31">
        <v>1</v>
      </c>
      <c r="DB371" s="31">
        <v>1</v>
      </c>
      <c r="DC371" s="31">
        <v>1</v>
      </c>
    </row>
    <row r="372" spans="1:108">
      <c r="A372" s="31" t="s">
        <v>959</v>
      </c>
      <c r="B372" s="33" t="s">
        <v>183</v>
      </c>
      <c r="C372" s="37"/>
      <c r="E372" s="31">
        <v>7</v>
      </c>
      <c r="F372" s="31" t="str">
        <f t="shared" si="68"/>
        <v>Intelligence 6</v>
      </c>
      <c r="I372" s="44" t="s">
        <v>224</v>
      </c>
      <c r="L372" s="31">
        <f t="shared" si="67"/>
        <v>-7</v>
      </c>
      <c r="BR372" s="33"/>
      <c r="BS372" s="44"/>
      <c r="BT372" s="34"/>
      <c r="CA372" s="44" t="s">
        <v>184</v>
      </c>
      <c r="CB372" s="44"/>
      <c r="CH372" s="44"/>
      <c r="CV372" s="36" t="s">
        <v>1893</v>
      </c>
      <c r="CZ372" s="31" t="s">
        <v>184</v>
      </c>
      <c r="DA372" s="31">
        <v>1</v>
      </c>
      <c r="DB372" s="31">
        <v>1</v>
      </c>
      <c r="DC372" s="31">
        <v>1</v>
      </c>
    </row>
    <row r="373" spans="1:108">
      <c r="A373" s="31" t="s">
        <v>960</v>
      </c>
      <c r="B373" s="33" t="s">
        <v>183</v>
      </c>
      <c r="C373" s="37"/>
      <c r="E373" s="31">
        <v>8</v>
      </c>
      <c r="F373" s="31" t="str">
        <f t="shared" si="68"/>
        <v>Intelligence 7</v>
      </c>
      <c r="I373" s="44" t="s">
        <v>224</v>
      </c>
      <c r="L373" s="31">
        <f t="shared" si="67"/>
        <v>-8</v>
      </c>
      <c r="BR373" s="33"/>
      <c r="BS373" s="44"/>
      <c r="BT373" s="34"/>
      <c r="CA373" s="44" t="s">
        <v>184</v>
      </c>
      <c r="CB373" s="44"/>
      <c r="CH373" s="44"/>
      <c r="CV373" s="36" t="s">
        <v>1893</v>
      </c>
      <c r="CZ373" s="31" t="s">
        <v>184</v>
      </c>
      <c r="DA373" s="31">
        <v>1</v>
      </c>
      <c r="DB373" s="31">
        <v>1</v>
      </c>
      <c r="DC373" s="31">
        <v>1</v>
      </c>
    </row>
    <row r="374" spans="1:108">
      <c r="A374" s="31" t="s">
        <v>962</v>
      </c>
      <c r="B374" s="33" t="s">
        <v>183</v>
      </c>
      <c r="C374" s="37"/>
      <c r="E374" s="31">
        <v>9</v>
      </c>
      <c r="F374" s="31" t="str">
        <f t="shared" si="68"/>
        <v>Intelligence 7</v>
      </c>
      <c r="I374" s="44" t="s">
        <v>224</v>
      </c>
      <c r="L374" s="31">
        <f t="shared" si="67"/>
        <v>-9</v>
      </c>
      <c r="BR374" s="33"/>
      <c r="BS374" s="44"/>
      <c r="BT374" s="34"/>
      <c r="CA374" s="44" t="s">
        <v>184</v>
      </c>
      <c r="CB374" s="44"/>
      <c r="CH374" s="44"/>
      <c r="CV374" s="36" t="s">
        <v>1893</v>
      </c>
      <c r="CZ374" s="31" t="s">
        <v>184</v>
      </c>
      <c r="DA374" s="31">
        <v>1</v>
      </c>
      <c r="DB374" s="31">
        <v>1</v>
      </c>
      <c r="DC374" s="31">
        <v>1</v>
      </c>
    </row>
    <row r="375" spans="1:108">
      <c r="A375" s="31" t="s">
        <v>964</v>
      </c>
      <c r="B375" s="33" t="s">
        <v>183</v>
      </c>
      <c r="C375" s="37"/>
      <c r="E375" s="31">
        <v>10</v>
      </c>
      <c r="F375" s="31" t="str">
        <f t="shared" si="68"/>
        <v>Intelligence 8</v>
      </c>
      <c r="I375" s="44" t="s">
        <v>224</v>
      </c>
      <c r="L375" s="31">
        <f t="shared" si="67"/>
        <v>-10</v>
      </c>
      <c r="BR375" s="33"/>
      <c r="BS375" s="44"/>
      <c r="BT375" s="34"/>
      <c r="CA375" s="44" t="s">
        <v>184</v>
      </c>
      <c r="CB375" s="44"/>
      <c r="CH375" s="44"/>
      <c r="CV375" s="36" t="s">
        <v>1894</v>
      </c>
      <c r="CZ375" s="31" t="s">
        <v>184</v>
      </c>
      <c r="DA375" s="31">
        <v>1</v>
      </c>
      <c r="DB375" s="31">
        <v>1</v>
      </c>
      <c r="DC375" s="31">
        <v>1</v>
      </c>
    </row>
    <row r="376" spans="1:108">
      <c r="A376" s="31" t="s">
        <v>965</v>
      </c>
      <c r="B376" s="33" t="s">
        <v>183</v>
      </c>
      <c r="C376" s="37"/>
      <c r="E376" s="31">
        <v>11</v>
      </c>
      <c r="F376" s="31" t="str">
        <f t="shared" si="68"/>
        <v>Intelligence 8</v>
      </c>
      <c r="I376" s="44" t="s">
        <v>224</v>
      </c>
      <c r="L376" s="31">
        <f t="shared" si="67"/>
        <v>-11</v>
      </c>
      <c r="BR376" s="33"/>
      <c r="BS376" s="44"/>
      <c r="BT376" s="34"/>
      <c r="CA376" s="44" t="s">
        <v>184</v>
      </c>
      <c r="CB376" s="44"/>
      <c r="CH376" s="44"/>
      <c r="CV376" s="36" t="s">
        <v>1894</v>
      </c>
      <c r="CZ376" s="31" t="s">
        <v>184</v>
      </c>
      <c r="DA376" s="31">
        <v>1</v>
      </c>
      <c r="DB376" s="31">
        <v>1</v>
      </c>
      <c r="DC376" s="31">
        <v>1</v>
      </c>
    </row>
    <row r="377" spans="1:108" s="27" customFormat="1">
      <c r="A377" s="31" t="s">
        <v>966</v>
      </c>
      <c r="B377" s="33" t="s">
        <v>183</v>
      </c>
      <c r="C377" s="31"/>
      <c r="D377" s="31"/>
      <c r="E377" s="31">
        <v>12</v>
      </c>
      <c r="F377" s="31" t="str">
        <f t="shared" si="68"/>
        <v>Intelligence 8</v>
      </c>
      <c r="G377" s="31"/>
      <c r="H377" s="31"/>
      <c r="I377" s="44" t="s">
        <v>224</v>
      </c>
      <c r="J377" s="31"/>
      <c r="K377" s="31"/>
      <c r="L377" s="31">
        <f t="shared" si="67"/>
        <v>-12</v>
      </c>
      <c r="M377" s="31"/>
      <c r="N377" s="31"/>
      <c r="O377" s="31"/>
      <c r="P377" s="31"/>
      <c r="Q377" s="31"/>
      <c r="R377" s="31"/>
      <c r="S377" s="31"/>
      <c r="T377" s="31"/>
      <c r="U377" s="31"/>
      <c r="V377" s="31"/>
      <c r="W377" s="31"/>
      <c r="X377" s="31"/>
      <c r="Y377" s="31"/>
      <c r="Z377" s="31"/>
      <c r="AA377" s="31"/>
      <c r="AB377" s="31"/>
      <c r="AC377" s="31"/>
      <c r="AD377" s="31"/>
      <c r="AE377" s="31"/>
      <c r="AF377" s="31"/>
      <c r="AG377" s="31"/>
      <c r="AH377" s="31"/>
      <c r="AI377" s="31"/>
      <c r="AJ377" s="31"/>
      <c r="AK377" s="31"/>
      <c r="AL377" s="31"/>
      <c r="AM377" s="31"/>
      <c r="AN377" s="31"/>
      <c r="AO377" s="31"/>
      <c r="AP377" s="31"/>
      <c r="AQ377" s="31"/>
      <c r="AR377" s="31"/>
      <c r="AS377" s="31"/>
      <c r="AT377" s="31"/>
      <c r="AU377" s="31"/>
      <c r="AV377" s="31"/>
      <c r="AW377" s="31"/>
      <c r="AX377" s="31"/>
      <c r="AY377" s="31"/>
      <c r="AZ377" s="31"/>
      <c r="BA377" s="31"/>
      <c r="BB377" s="31"/>
      <c r="BC377" s="31"/>
      <c r="BD377" s="31"/>
      <c r="BE377" s="31"/>
      <c r="BF377" s="31"/>
      <c r="BG377" s="31"/>
      <c r="BH377" s="31"/>
      <c r="BI377" s="31"/>
      <c r="BJ377" s="31"/>
      <c r="BK377" s="31"/>
      <c r="BL377" s="31"/>
      <c r="BM377" s="31"/>
      <c r="BN377" s="31"/>
      <c r="BO377" s="31"/>
      <c r="BP377" s="31"/>
      <c r="BQ377" s="31"/>
      <c r="BR377" s="31"/>
      <c r="BS377" s="31"/>
      <c r="BT377" s="31"/>
      <c r="BU377" s="31"/>
      <c r="BV377" s="31"/>
      <c r="BW377" s="31"/>
      <c r="BX377" s="31"/>
      <c r="BY377" s="31"/>
      <c r="BZ377" s="31"/>
      <c r="CA377" s="44" t="s">
        <v>184</v>
      </c>
      <c r="CB377" s="44"/>
      <c r="CC377" s="35"/>
      <c r="CD377" s="35"/>
      <c r="CE377" s="35"/>
      <c r="CF377" s="35"/>
      <c r="CG377" s="31"/>
      <c r="CH377" s="44"/>
      <c r="CI377" s="31"/>
      <c r="CJ377" s="31"/>
      <c r="CK377" s="31"/>
      <c r="CL377" s="31"/>
      <c r="CM377" s="31"/>
      <c r="CN377" s="31"/>
      <c r="CO377" s="31"/>
      <c r="CP377" s="31"/>
      <c r="CQ377" s="31"/>
      <c r="CR377" s="31"/>
      <c r="CS377" s="31"/>
      <c r="CT377" s="31"/>
      <c r="CU377" s="31"/>
      <c r="CV377" s="36" t="s">
        <v>1894</v>
      </c>
      <c r="CW377" s="33"/>
      <c r="CX377" s="33"/>
      <c r="CY377" s="33"/>
      <c r="CZ377" s="31" t="s">
        <v>184</v>
      </c>
      <c r="DA377" s="31">
        <v>1</v>
      </c>
      <c r="DB377" s="31">
        <v>1</v>
      </c>
      <c r="DC377" s="31">
        <v>1</v>
      </c>
      <c r="DD377" s="31"/>
    </row>
    <row r="378" spans="1:108">
      <c r="A378" s="31" t="s">
        <v>967</v>
      </c>
      <c r="B378" s="33" t="s">
        <v>183</v>
      </c>
      <c r="C378" s="37"/>
      <c r="E378" s="31">
        <v>13</v>
      </c>
      <c r="F378" s="31" t="str">
        <f t="shared" si="68"/>
        <v>Intelligence 8</v>
      </c>
      <c r="I378" s="44" t="s">
        <v>224</v>
      </c>
      <c r="L378" s="31">
        <f t="shared" si="67"/>
        <v>-13</v>
      </c>
      <c r="BR378" s="33"/>
      <c r="BS378" s="44"/>
      <c r="BT378" s="34"/>
      <c r="CA378" s="44" t="s">
        <v>184</v>
      </c>
      <c r="CB378" s="44"/>
      <c r="CH378" s="44"/>
      <c r="CV378" s="36" t="s">
        <v>1082</v>
      </c>
      <c r="CZ378" s="31" t="s">
        <v>184</v>
      </c>
      <c r="DA378" s="31">
        <v>1</v>
      </c>
      <c r="DB378" s="31">
        <v>1</v>
      </c>
      <c r="DC378" s="31">
        <v>1</v>
      </c>
    </row>
    <row r="379" spans="1:108">
      <c r="A379" s="31" t="s">
        <v>968</v>
      </c>
      <c r="B379" s="33" t="s">
        <v>183</v>
      </c>
      <c r="E379" s="31">
        <v>14</v>
      </c>
      <c r="F379" s="31" t="str">
        <f t="shared" si="68"/>
        <v>Intelligence 9</v>
      </c>
      <c r="I379" s="44" t="s">
        <v>224</v>
      </c>
      <c r="L379" s="31">
        <f t="shared" si="67"/>
        <v>-14</v>
      </c>
      <c r="BR379" s="33"/>
      <c r="BS379" s="44"/>
      <c r="BT379" s="34"/>
      <c r="CA379" s="44" t="s">
        <v>184</v>
      </c>
      <c r="CB379" s="44"/>
      <c r="CH379" s="44"/>
      <c r="CV379" s="36" t="s">
        <v>1082</v>
      </c>
      <c r="CW379" s="33"/>
      <c r="CX379" s="33"/>
      <c r="CY379" s="33"/>
      <c r="CZ379" s="31" t="s">
        <v>184</v>
      </c>
      <c r="DA379" s="31">
        <v>1</v>
      </c>
      <c r="DB379" s="31">
        <v>1</v>
      </c>
      <c r="DC379" s="31">
        <v>1</v>
      </c>
    </row>
    <row r="380" spans="1:108">
      <c r="A380" s="31" t="s">
        <v>969</v>
      </c>
      <c r="B380" s="33" t="s">
        <v>183</v>
      </c>
      <c r="C380" s="37"/>
      <c r="E380" s="31">
        <v>15</v>
      </c>
      <c r="F380" s="31" t="str">
        <f t="shared" si="68"/>
        <v>Intelligence 9</v>
      </c>
      <c r="I380" s="44" t="s">
        <v>224</v>
      </c>
      <c r="L380" s="31">
        <f t="shared" si="67"/>
        <v>-15</v>
      </c>
      <c r="BR380" s="33"/>
      <c r="BS380" s="44"/>
      <c r="BT380" s="34"/>
      <c r="CA380" s="44" t="s">
        <v>184</v>
      </c>
      <c r="CB380" s="44"/>
      <c r="CH380" s="44"/>
      <c r="CV380" s="36" t="s">
        <v>1082</v>
      </c>
      <c r="CZ380" s="31" t="s">
        <v>184</v>
      </c>
      <c r="DA380" s="31">
        <v>1</v>
      </c>
      <c r="DB380" s="31">
        <v>1</v>
      </c>
      <c r="DC380" s="31">
        <v>1</v>
      </c>
    </row>
    <row r="381" spans="1:108">
      <c r="A381" s="31" t="s">
        <v>957</v>
      </c>
      <c r="B381" s="33" t="s">
        <v>183</v>
      </c>
      <c r="C381" s="37"/>
      <c r="E381" s="31">
        <v>16</v>
      </c>
      <c r="F381" s="31" t="str">
        <f>CONCATENATE("Intelligence ",MIN(MAX(ROUND(SQRT((IF(J381="",StaffDamage,J381)+IF(J381="",StaffDamage,J381)+IF(K381="",StaffDamageRange,K381))*(E381/1.4))+1,0),5),15))</f>
        <v>Intelligence 9</v>
      </c>
      <c r="I381" s="44" t="s">
        <v>224</v>
      </c>
      <c r="L381" s="31">
        <f t="shared" si="67"/>
        <v>-16</v>
      </c>
      <c r="BR381" s="33"/>
      <c r="BS381" s="44"/>
      <c r="BT381" s="34"/>
      <c r="CA381" s="44" t="s">
        <v>184</v>
      </c>
      <c r="CB381" s="44"/>
      <c r="CH381" s="44"/>
      <c r="CV381" s="49" t="s">
        <v>1126</v>
      </c>
      <c r="CZ381" s="31" t="s">
        <v>184</v>
      </c>
      <c r="DA381" s="31">
        <v>1</v>
      </c>
      <c r="DB381" s="31">
        <v>1</v>
      </c>
      <c r="DC381" s="31">
        <v>1</v>
      </c>
    </row>
    <row r="382" spans="1:108">
      <c r="A382" s="31" t="s">
        <v>958</v>
      </c>
      <c r="B382" s="33" t="s">
        <v>183</v>
      </c>
      <c r="C382" s="37"/>
      <c r="E382" s="31">
        <v>17</v>
      </c>
      <c r="F382" s="31" t="str">
        <f>CONCATENATE("Intelligence ",MIN(MAX(ROUND(SQRT((IF(J382="",StaffDamage,J382)+IF(J382="",StaffDamage,J382)+IF(K382="",StaffDamageRange,K382))*(E382/1.4))+1,0),5),15))</f>
        <v>Intelligence 10</v>
      </c>
      <c r="I382" s="44" t="s">
        <v>224</v>
      </c>
      <c r="L382" s="31">
        <f t="shared" si="67"/>
        <v>-17</v>
      </c>
      <c r="BR382" s="33"/>
      <c r="BS382" s="44"/>
      <c r="BT382" s="34"/>
      <c r="CA382" s="44" t="s">
        <v>184</v>
      </c>
      <c r="CB382" s="44"/>
      <c r="CH382" s="44"/>
      <c r="CV382" s="49" t="s">
        <v>1126</v>
      </c>
      <c r="CZ382" s="31" t="s">
        <v>184</v>
      </c>
      <c r="DA382" s="31">
        <v>1</v>
      </c>
      <c r="DB382" s="31">
        <v>1</v>
      </c>
      <c r="DC382" s="31">
        <v>1</v>
      </c>
    </row>
    <row r="383" spans="1:108">
      <c r="A383" s="31" t="s">
        <v>951</v>
      </c>
      <c r="B383" s="33" t="s">
        <v>183</v>
      </c>
      <c r="C383" s="37"/>
      <c r="E383" s="31">
        <v>18</v>
      </c>
      <c r="F383" s="31" t="str">
        <f>CONCATENATE("Intelligence ",MIN(MAX(ROUND(SQRT((IF(J383="",StaffDamage,J383)+IF(J383="",StaffDamage,J383)+IF(K383="",StaffDamageRange,K383))*(E383/1.4))+1,0),5),15))</f>
        <v>Intelligence 10</v>
      </c>
      <c r="I383" s="44" t="s">
        <v>224</v>
      </c>
      <c r="L383" s="31">
        <f t="shared" si="67"/>
        <v>-18</v>
      </c>
      <c r="BR383" s="33"/>
      <c r="BS383" s="44"/>
      <c r="BT383" s="34"/>
      <c r="CA383" s="44" t="s">
        <v>184</v>
      </c>
      <c r="CB383" s="44"/>
      <c r="CH383" s="44"/>
      <c r="CV383" s="36" t="s">
        <v>1264</v>
      </c>
      <c r="CW383" s="33"/>
      <c r="CX383" s="33"/>
      <c r="CY383" s="33"/>
      <c r="CZ383" s="69" t="s">
        <v>184</v>
      </c>
      <c r="DA383" s="31">
        <v>1</v>
      </c>
      <c r="DB383" s="31">
        <v>1</v>
      </c>
      <c r="DC383" s="31">
        <v>1</v>
      </c>
    </row>
    <row r="384" spans="1:108" s="27" customFormat="1">
      <c r="A384" s="31" t="s">
        <v>961</v>
      </c>
      <c r="B384" s="33" t="s">
        <v>183</v>
      </c>
      <c r="C384" s="31"/>
      <c r="D384" s="31"/>
      <c r="E384" s="31">
        <v>19</v>
      </c>
      <c r="F384" s="31" t="str">
        <f>CONCATENATE("Intelligence ",MIN(MAX(ROUND(SQRT((IF(J384="",StaffDamage,J384)+IF(J384="",StaffDamage,J384)+IF(K384="",StaffDamageRange,K384))*(E384/1.4))+1,0),5),15))</f>
        <v>Intelligence 10</v>
      </c>
      <c r="G384" s="31"/>
      <c r="H384" s="31"/>
      <c r="I384" s="44" t="s">
        <v>224</v>
      </c>
      <c r="J384" s="31"/>
      <c r="K384" s="31"/>
      <c r="L384" s="31">
        <f t="shared" si="67"/>
        <v>-19</v>
      </c>
      <c r="M384" s="31"/>
      <c r="N384" s="31"/>
      <c r="O384" s="31"/>
      <c r="P384" s="31"/>
      <c r="Q384" s="31"/>
      <c r="R384" s="31"/>
      <c r="S384" s="31"/>
      <c r="T384" s="31"/>
      <c r="U384" s="31"/>
      <c r="V384" s="31"/>
      <c r="W384" s="31"/>
      <c r="X384" s="31"/>
      <c r="Y384" s="31"/>
      <c r="Z384" s="31"/>
      <c r="AA384" s="31"/>
      <c r="AB384" s="31"/>
      <c r="AC384" s="31"/>
      <c r="AD384" s="31"/>
      <c r="AE384" s="31"/>
      <c r="AF384" s="31"/>
      <c r="AG384" s="31"/>
      <c r="AH384" s="31"/>
      <c r="AI384" s="31"/>
      <c r="AJ384" s="31"/>
      <c r="AK384" s="31"/>
      <c r="AL384" s="31"/>
      <c r="AM384" s="31"/>
      <c r="AN384" s="31"/>
      <c r="AO384" s="31"/>
      <c r="AP384" s="31"/>
      <c r="AQ384" s="31"/>
      <c r="AR384" s="31"/>
      <c r="AS384" s="31"/>
      <c r="AT384" s="31"/>
      <c r="AU384" s="31"/>
      <c r="AV384" s="31"/>
      <c r="AW384" s="31"/>
      <c r="AX384" s="31"/>
      <c r="AY384" s="31"/>
      <c r="AZ384" s="31"/>
      <c r="BA384" s="31"/>
      <c r="BB384" s="31"/>
      <c r="BC384" s="31"/>
      <c r="BD384" s="31"/>
      <c r="BE384" s="31"/>
      <c r="BF384" s="31"/>
      <c r="BG384" s="31"/>
      <c r="BH384" s="31"/>
      <c r="BI384" s="31"/>
      <c r="BJ384" s="31"/>
      <c r="BK384" s="31"/>
      <c r="BL384" s="31"/>
      <c r="BM384" s="31"/>
      <c r="BN384" s="31"/>
      <c r="BO384" s="31"/>
      <c r="BP384" s="31"/>
      <c r="BQ384" s="31"/>
      <c r="BR384" s="31"/>
      <c r="BS384" s="31"/>
      <c r="BT384" s="31"/>
      <c r="BU384" s="31"/>
      <c r="BV384" s="31"/>
      <c r="BW384" s="31"/>
      <c r="BX384" s="31"/>
      <c r="BY384" s="31"/>
      <c r="BZ384" s="31"/>
      <c r="CA384" s="44" t="s">
        <v>184</v>
      </c>
      <c r="CB384" s="44"/>
      <c r="CC384" s="35"/>
      <c r="CD384" s="35"/>
      <c r="CE384" s="35"/>
      <c r="CF384" s="35"/>
      <c r="CG384" s="31"/>
      <c r="CH384" s="44"/>
      <c r="CI384" s="31"/>
      <c r="CJ384" s="31"/>
      <c r="CK384" s="31"/>
      <c r="CL384" s="31"/>
      <c r="CM384" s="31"/>
      <c r="CN384" s="31"/>
      <c r="CO384" s="31"/>
      <c r="CP384" s="31"/>
      <c r="CQ384" s="31"/>
      <c r="CR384" s="31"/>
      <c r="CS384" s="31"/>
      <c r="CT384" s="31"/>
      <c r="CU384" s="31"/>
      <c r="CV384" s="36" t="s">
        <v>1264</v>
      </c>
      <c r="CW384" s="33"/>
      <c r="CX384" s="33"/>
      <c r="CY384" s="33"/>
      <c r="CZ384" s="31" t="s">
        <v>184</v>
      </c>
      <c r="DA384" s="31">
        <v>1</v>
      </c>
      <c r="DB384" s="31">
        <v>1</v>
      </c>
      <c r="DC384" s="31">
        <v>1</v>
      </c>
      <c r="DD384" s="31"/>
    </row>
    <row r="385" spans="1:108">
      <c r="A385" s="31" t="s">
        <v>963</v>
      </c>
      <c r="B385" s="33" t="s">
        <v>183</v>
      </c>
      <c r="E385" s="31">
        <v>20</v>
      </c>
      <c r="F385" s="31" t="str">
        <f>CONCATENATE("Intelligence ",MIN(MAX(ROUND(SQRT((IF(J385="",StaffDamage,J385)+IF(J385="",StaffDamage,J385)+IF(K385="",StaffDamageRange,K385))*(E385/1.4))+1,0),5),15))</f>
        <v>Intelligence 10</v>
      </c>
      <c r="I385" s="44" t="s">
        <v>224</v>
      </c>
      <c r="L385" s="31">
        <f t="shared" si="67"/>
        <v>-20</v>
      </c>
      <c r="BR385" s="33"/>
      <c r="BS385" s="44"/>
      <c r="BT385" s="34"/>
      <c r="CA385" s="44" t="s">
        <v>184</v>
      </c>
      <c r="CB385" s="44"/>
      <c r="CH385" s="44"/>
      <c r="CV385" s="36" t="s">
        <v>1264</v>
      </c>
      <c r="CW385" s="33"/>
      <c r="CX385" s="33"/>
      <c r="CY385" s="33"/>
      <c r="CZ385" s="31" t="s">
        <v>184</v>
      </c>
      <c r="DA385" s="31">
        <v>1</v>
      </c>
      <c r="DB385" s="31">
        <v>1</v>
      </c>
      <c r="DC385" s="31">
        <v>1</v>
      </c>
    </row>
    <row r="386" spans="1:108">
      <c r="A386" s="31" t="s">
        <v>924</v>
      </c>
      <c r="B386" s="33" t="s">
        <v>183</v>
      </c>
      <c r="C386" s="37"/>
      <c r="E386" s="31">
        <v>1</v>
      </c>
      <c r="F386" s="31" t="str">
        <f t="shared" si="68"/>
        <v>Intelligence 5</v>
      </c>
      <c r="I386" s="44" t="s">
        <v>219</v>
      </c>
      <c r="L386" s="31">
        <f t="shared" si="67"/>
        <v>-1</v>
      </c>
      <c r="BR386" s="33"/>
      <c r="BS386" s="44"/>
      <c r="BT386" s="34"/>
      <c r="CA386" s="44" t="s">
        <v>184</v>
      </c>
      <c r="CB386" s="44"/>
      <c r="CC386" s="43"/>
      <c r="CD386" s="43"/>
      <c r="CE386" s="67"/>
      <c r="CF386" s="67"/>
      <c r="CH386" s="44"/>
      <c r="CV386" s="36" t="s">
        <v>444</v>
      </c>
      <c r="CZ386" s="31" t="s">
        <v>184</v>
      </c>
      <c r="DA386" s="31">
        <v>1</v>
      </c>
      <c r="DB386" s="31">
        <v>1</v>
      </c>
      <c r="DC386" s="31">
        <v>1</v>
      </c>
    </row>
    <row r="387" spans="1:108">
      <c r="A387" s="31" t="s">
        <v>971</v>
      </c>
      <c r="B387" s="33" t="s">
        <v>183</v>
      </c>
      <c r="C387" s="37"/>
      <c r="E387" s="31">
        <v>2</v>
      </c>
      <c r="F387" s="31" t="str">
        <f t="shared" si="68"/>
        <v>Intelligence 5</v>
      </c>
      <c r="I387" s="44" t="s">
        <v>219</v>
      </c>
      <c r="L387" s="31">
        <f t="shared" si="67"/>
        <v>-2</v>
      </c>
      <c r="BR387" s="33"/>
      <c r="BS387" s="44"/>
      <c r="BT387" s="34"/>
      <c r="CA387" s="44" t="s">
        <v>184</v>
      </c>
      <c r="CB387" s="44"/>
      <c r="CH387" s="44"/>
      <c r="CV387" s="36" t="s">
        <v>444</v>
      </c>
      <c r="CZ387" s="31" t="s">
        <v>184</v>
      </c>
      <c r="DA387" s="31">
        <v>1</v>
      </c>
      <c r="DB387" s="31">
        <v>1</v>
      </c>
      <c r="DC387" s="31">
        <v>1</v>
      </c>
    </row>
    <row r="388" spans="1:108">
      <c r="A388" s="31" t="s">
        <v>972</v>
      </c>
      <c r="B388" s="33" t="s">
        <v>183</v>
      </c>
      <c r="C388" s="37"/>
      <c r="E388" s="31">
        <v>3</v>
      </c>
      <c r="F388" s="31" t="str">
        <f t="shared" si="68"/>
        <v>Intelligence 5</v>
      </c>
      <c r="I388" s="44" t="s">
        <v>219</v>
      </c>
      <c r="L388" s="31">
        <f t="shared" si="67"/>
        <v>-3</v>
      </c>
      <c r="BR388" s="33"/>
      <c r="BS388" s="44"/>
      <c r="BT388" s="34"/>
      <c r="CA388" s="44" t="s">
        <v>184</v>
      </c>
      <c r="CB388" s="44"/>
      <c r="CH388" s="44"/>
      <c r="CV388" s="36" t="s">
        <v>444</v>
      </c>
      <c r="CZ388" s="31" t="s">
        <v>184</v>
      </c>
      <c r="DA388" s="31">
        <v>1</v>
      </c>
      <c r="DB388" s="31">
        <v>1</v>
      </c>
      <c r="DC388" s="31">
        <v>1</v>
      </c>
    </row>
    <row r="389" spans="1:108">
      <c r="A389" s="31" t="s">
        <v>973</v>
      </c>
      <c r="B389" s="33" t="s">
        <v>183</v>
      </c>
      <c r="C389" s="37"/>
      <c r="E389" s="31">
        <v>4</v>
      </c>
      <c r="F389" s="31" t="str">
        <f t="shared" si="68"/>
        <v>Intelligence 5</v>
      </c>
      <c r="I389" s="44" t="s">
        <v>219</v>
      </c>
      <c r="L389" s="31">
        <f t="shared" si="67"/>
        <v>-4</v>
      </c>
      <c r="BR389" s="33"/>
      <c r="BS389" s="44"/>
      <c r="BT389" s="34"/>
      <c r="CA389" s="44" t="s">
        <v>184</v>
      </c>
      <c r="CB389" s="44"/>
      <c r="CH389" s="44"/>
      <c r="CV389" s="36" t="s">
        <v>1892</v>
      </c>
      <c r="CZ389" s="31" t="s">
        <v>184</v>
      </c>
      <c r="DA389" s="31">
        <v>1</v>
      </c>
      <c r="DB389" s="31">
        <v>1</v>
      </c>
      <c r="DC389" s="31">
        <v>1</v>
      </c>
    </row>
    <row r="390" spans="1:108">
      <c r="A390" s="31" t="s">
        <v>974</v>
      </c>
      <c r="B390" s="33" t="s">
        <v>183</v>
      </c>
      <c r="C390" s="37"/>
      <c r="E390" s="31">
        <v>5</v>
      </c>
      <c r="F390" s="31" t="str">
        <f t="shared" si="68"/>
        <v>Intelligence 6</v>
      </c>
      <c r="I390" s="44" t="s">
        <v>219</v>
      </c>
      <c r="L390" s="31">
        <f t="shared" si="67"/>
        <v>-5</v>
      </c>
      <c r="BR390" s="33"/>
      <c r="BS390" s="44"/>
      <c r="BT390" s="34"/>
      <c r="CA390" s="44" t="s">
        <v>184</v>
      </c>
      <c r="CB390" s="44"/>
      <c r="CH390" s="44"/>
      <c r="CV390" s="36" t="s">
        <v>1892</v>
      </c>
      <c r="CZ390" s="31" t="s">
        <v>184</v>
      </c>
      <c r="DA390" s="31">
        <v>1</v>
      </c>
      <c r="DB390" s="31">
        <v>1</v>
      </c>
      <c r="DC390" s="31">
        <v>1</v>
      </c>
    </row>
    <row r="391" spans="1:108">
      <c r="A391" s="31" t="s">
        <v>975</v>
      </c>
      <c r="B391" s="33" t="s">
        <v>183</v>
      </c>
      <c r="C391" s="37"/>
      <c r="E391" s="31">
        <v>6</v>
      </c>
      <c r="F391" s="31" t="str">
        <f t="shared" si="68"/>
        <v>Intelligence 6</v>
      </c>
      <c r="I391" s="44" t="s">
        <v>219</v>
      </c>
      <c r="L391" s="31">
        <f t="shared" si="67"/>
        <v>-6</v>
      </c>
      <c r="BR391" s="33"/>
      <c r="BS391" s="44"/>
      <c r="BT391" s="34"/>
      <c r="CA391" s="44" t="s">
        <v>184</v>
      </c>
      <c r="CB391" s="44"/>
      <c r="CH391" s="44"/>
      <c r="CV391" s="36" t="s">
        <v>1892</v>
      </c>
      <c r="CZ391" s="31" t="s">
        <v>184</v>
      </c>
      <c r="DA391" s="31">
        <v>1</v>
      </c>
      <c r="DB391" s="31">
        <v>1</v>
      </c>
      <c r="DC391" s="31">
        <v>1</v>
      </c>
    </row>
    <row r="392" spans="1:108">
      <c r="A392" s="31" t="s">
        <v>978</v>
      </c>
      <c r="B392" s="33" t="s">
        <v>183</v>
      </c>
      <c r="C392" s="37"/>
      <c r="E392" s="31">
        <v>7</v>
      </c>
      <c r="F392" s="31" t="str">
        <f t="shared" si="68"/>
        <v>Intelligence 6</v>
      </c>
      <c r="I392" s="44" t="s">
        <v>219</v>
      </c>
      <c r="L392" s="31">
        <f t="shared" si="67"/>
        <v>-7</v>
      </c>
      <c r="BR392" s="33"/>
      <c r="BS392" s="44"/>
      <c r="BT392" s="34"/>
      <c r="CA392" s="44" t="s">
        <v>184</v>
      </c>
      <c r="CB392" s="44"/>
      <c r="CH392" s="44"/>
      <c r="CV392" s="36" t="s">
        <v>1893</v>
      </c>
      <c r="CZ392" s="31" t="s">
        <v>184</v>
      </c>
      <c r="DA392" s="31">
        <v>1</v>
      </c>
      <c r="DB392" s="31">
        <v>1</v>
      </c>
      <c r="DC392" s="31">
        <v>1</v>
      </c>
    </row>
    <row r="393" spans="1:108">
      <c r="A393" s="31" t="s">
        <v>979</v>
      </c>
      <c r="B393" s="33" t="s">
        <v>183</v>
      </c>
      <c r="C393" s="37"/>
      <c r="E393" s="31">
        <v>8</v>
      </c>
      <c r="F393" s="31" t="str">
        <f t="shared" si="68"/>
        <v>Intelligence 7</v>
      </c>
      <c r="I393" s="44" t="s">
        <v>219</v>
      </c>
      <c r="L393" s="31">
        <f t="shared" si="67"/>
        <v>-8</v>
      </c>
      <c r="BR393" s="33"/>
      <c r="BS393" s="44"/>
      <c r="BT393" s="34"/>
      <c r="CA393" s="44" t="s">
        <v>184</v>
      </c>
      <c r="CB393" s="44"/>
      <c r="CH393" s="44"/>
      <c r="CV393" s="36" t="s">
        <v>1893</v>
      </c>
      <c r="CZ393" s="31" t="s">
        <v>184</v>
      </c>
      <c r="DA393" s="31">
        <v>1</v>
      </c>
      <c r="DB393" s="31">
        <v>1</v>
      </c>
      <c r="DC393" s="31">
        <v>1</v>
      </c>
    </row>
    <row r="394" spans="1:108">
      <c r="A394" s="31" t="s">
        <v>981</v>
      </c>
      <c r="B394" s="33" t="s">
        <v>183</v>
      </c>
      <c r="C394" s="37"/>
      <c r="E394" s="31">
        <v>9</v>
      </c>
      <c r="F394" s="31" t="str">
        <f t="shared" si="68"/>
        <v>Intelligence 7</v>
      </c>
      <c r="I394" s="44" t="s">
        <v>219</v>
      </c>
      <c r="L394" s="31">
        <f t="shared" si="67"/>
        <v>-9</v>
      </c>
      <c r="BR394" s="33"/>
      <c r="BS394" s="44"/>
      <c r="BT394" s="34"/>
      <c r="CA394" s="44" t="s">
        <v>184</v>
      </c>
      <c r="CB394" s="44"/>
      <c r="CH394" s="44"/>
      <c r="CV394" s="36" t="s">
        <v>1893</v>
      </c>
      <c r="CZ394" s="31" t="s">
        <v>184</v>
      </c>
      <c r="DA394" s="31">
        <v>1</v>
      </c>
      <c r="DB394" s="31">
        <v>1</v>
      </c>
      <c r="DC394" s="31">
        <v>1</v>
      </c>
    </row>
    <row r="395" spans="1:108">
      <c r="A395" s="31" t="s">
        <v>983</v>
      </c>
      <c r="B395" s="33" t="s">
        <v>183</v>
      </c>
      <c r="C395" s="37"/>
      <c r="E395" s="31">
        <v>10</v>
      </c>
      <c r="F395" s="31" t="str">
        <f t="shared" ref="F395:F429" si="69">CONCATENATE("Intelligence ",MIN(MAX(ROUND(SQRT((IF(J395="",StaffDamage,J395)+IF(J395="",StaffDamage,J395)+IF(K395="",StaffDamageRange,K395))*(E395/1.4))+1,0),5),15))</f>
        <v>Intelligence 8</v>
      </c>
      <c r="I395" s="44" t="s">
        <v>219</v>
      </c>
      <c r="L395" s="31">
        <f t="shared" si="67"/>
        <v>-10</v>
      </c>
      <c r="BR395" s="33"/>
      <c r="BS395" s="44"/>
      <c r="BT395" s="34"/>
      <c r="CA395" s="44" t="s">
        <v>184</v>
      </c>
      <c r="CB395" s="44"/>
      <c r="CH395" s="44"/>
      <c r="CV395" s="36" t="s">
        <v>1894</v>
      </c>
      <c r="CZ395" s="31" t="s">
        <v>184</v>
      </c>
      <c r="DA395" s="31">
        <v>1</v>
      </c>
      <c r="DB395" s="31">
        <v>1</v>
      </c>
      <c r="DC395" s="31">
        <v>1</v>
      </c>
    </row>
    <row r="396" spans="1:108">
      <c r="A396" s="31" t="s">
        <v>984</v>
      </c>
      <c r="B396" s="33" t="s">
        <v>183</v>
      </c>
      <c r="C396" s="37"/>
      <c r="E396" s="31">
        <v>11</v>
      </c>
      <c r="F396" s="31" t="str">
        <f t="shared" si="69"/>
        <v>Intelligence 8</v>
      </c>
      <c r="I396" s="44" t="s">
        <v>219</v>
      </c>
      <c r="L396" s="31">
        <f t="shared" si="67"/>
        <v>-11</v>
      </c>
      <c r="BR396" s="33"/>
      <c r="BS396" s="44"/>
      <c r="BT396" s="34"/>
      <c r="CA396" s="44" t="s">
        <v>184</v>
      </c>
      <c r="CB396" s="44"/>
      <c r="CH396" s="44"/>
      <c r="CV396" s="36" t="s">
        <v>1894</v>
      </c>
      <c r="CZ396" s="31" t="s">
        <v>184</v>
      </c>
      <c r="DA396" s="31">
        <v>1</v>
      </c>
      <c r="DB396" s="31">
        <v>1</v>
      </c>
      <c r="DC396" s="31">
        <v>1</v>
      </c>
    </row>
    <row r="397" spans="1:108" s="27" customFormat="1">
      <c r="A397" s="31" t="s">
        <v>985</v>
      </c>
      <c r="B397" s="33" t="s">
        <v>183</v>
      </c>
      <c r="C397" s="31"/>
      <c r="D397" s="31"/>
      <c r="E397" s="31">
        <v>12</v>
      </c>
      <c r="F397" s="31" t="str">
        <f t="shared" si="69"/>
        <v>Intelligence 8</v>
      </c>
      <c r="G397" s="31"/>
      <c r="H397" s="31"/>
      <c r="I397" s="44" t="s">
        <v>219</v>
      </c>
      <c r="J397" s="31"/>
      <c r="K397" s="31"/>
      <c r="L397" s="31">
        <f t="shared" si="67"/>
        <v>-12</v>
      </c>
      <c r="M397" s="31"/>
      <c r="N397" s="31"/>
      <c r="O397" s="31"/>
      <c r="P397" s="31"/>
      <c r="Q397" s="31"/>
      <c r="R397" s="31"/>
      <c r="S397" s="31"/>
      <c r="T397" s="31"/>
      <c r="U397" s="31"/>
      <c r="V397" s="31"/>
      <c r="W397" s="31"/>
      <c r="X397" s="31"/>
      <c r="Y397" s="31"/>
      <c r="Z397" s="31"/>
      <c r="AA397" s="31"/>
      <c r="AB397" s="31"/>
      <c r="AC397" s="31"/>
      <c r="AD397" s="31"/>
      <c r="AE397" s="31"/>
      <c r="AF397" s="31"/>
      <c r="AG397" s="31"/>
      <c r="AH397" s="31"/>
      <c r="AI397" s="31"/>
      <c r="AJ397" s="31"/>
      <c r="AK397" s="31"/>
      <c r="AL397" s="31"/>
      <c r="AM397" s="31"/>
      <c r="AN397" s="31"/>
      <c r="AO397" s="31"/>
      <c r="AP397" s="31"/>
      <c r="AQ397" s="31"/>
      <c r="AR397" s="31"/>
      <c r="AS397" s="31"/>
      <c r="AT397" s="31"/>
      <c r="AU397" s="31"/>
      <c r="AV397" s="31"/>
      <c r="AW397" s="31"/>
      <c r="AX397" s="31"/>
      <c r="AY397" s="31"/>
      <c r="AZ397" s="31"/>
      <c r="BA397" s="31"/>
      <c r="BB397" s="31"/>
      <c r="BC397" s="31"/>
      <c r="BD397" s="31"/>
      <c r="BE397" s="31"/>
      <c r="BF397" s="31"/>
      <c r="BG397" s="31"/>
      <c r="BH397" s="31"/>
      <c r="BI397" s="31"/>
      <c r="BJ397" s="31"/>
      <c r="BK397" s="31"/>
      <c r="BL397" s="31"/>
      <c r="BM397" s="31"/>
      <c r="BN397" s="31"/>
      <c r="BO397" s="31"/>
      <c r="BP397" s="31"/>
      <c r="BQ397" s="31"/>
      <c r="BR397" s="31"/>
      <c r="BS397" s="31"/>
      <c r="BT397" s="31"/>
      <c r="BU397" s="31"/>
      <c r="BV397" s="31"/>
      <c r="BW397" s="31"/>
      <c r="BX397" s="31"/>
      <c r="BY397" s="31"/>
      <c r="BZ397" s="31"/>
      <c r="CA397" s="44" t="s">
        <v>184</v>
      </c>
      <c r="CB397" s="44"/>
      <c r="CC397" s="35"/>
      <c r="CD397" s="35"/>
      <c r="CE397" s="35"/>
      <c r="CF397" s="35"/>
      <c r="CG397" s="31"/>
      <c r="CH397" s="44"/>
      <c r="CI397" s="31"/>
      <c r="CJ397" s="31"/>
      <c r="CK397" s="31"/>
      <c r="CL397" s="31"/>
      <c r="CM397" s="31"/>
      <c r="CN397" s="31"/>
      <c r="CO397" s="31"/>
      <c r="CP397" s="31"/>
      <c r="CQ397" s="31"/>
      <c r="CR397" s="31"/>
      <c r="CS397" s="31"/>
      <c r="CT397" s="31"/>
      <c r="CU397" s="31"/>
      <c r="CV397" s="36" t="s">
        <v>1894</v>
      </c>
      <c r="CW397" s="33"/>
      <c r="CX397" s="33"/>
      <c r="CY397" s="33"/>
      <c r="CZ397" s="31" t="s">
        <v>184</v>
      </c>
      <c r="DA397" s="31">
        <v>1</v>
      </c>
      <c r="DB397" s="31">
        <v>1</v>
      </c>
      <c r="DC397" s="31">
        <v>1</v>
      </c>
      <c r="DD397" s="31"/>
    </row>
    <row r="398" spans="1:108">
      <c r="A398" s="31" t="s">
        <v>986</v>
      </c>
      <c r="B398" s="33" t="s">
        <v>183</v>
      </c>
      <c r="C398" s="37"/>
      <c r="E398" s="31">
        <v>13</v>
      </c>
      <c r="F398" s="31" t="str">
        <f t="shared" si="69"/>
        <v>Intelligence 8</v>
      </c>
      <c r="I398" s="44" t="s">
        <v>219</v>
      </c>
      <c r="L398" s="31">
        <f t="shared" si="67"/>
        <v>-13</v>
      </c>
      <c r="BR398" s="33"/>
      <c r="BS398" s="44"/>
      <c r="BT398" s="34"/>
      <c r="CA398" s="44" t="s">
        <v>184</v>
      </c>
      <c r="CB398" s="44"/>
      <c r="CH398" s="44"/>
      <c r="CV398" s="36" t="s">
        <v>1080</v>
      </c>
      <c r="CZ398" s="31" t="s">
        <v>184</v>
      </c>
      <c r="DA398" s="31">
        <v>1</v>
      </c>
      <c r="DB398" s="31">
        <v>1</v>
      </c>
      <c r="DC398" s="31">
        <v>1</v>
      </c>
    </row>
    <row r="399" spans="1:108">
      <c r="A399" s="31" t="s">
        <v>987</v>
      </c>
      <c r="B399" s="33" t="s">
        <v>183</v>
      </c>
      <c r="E399" s="31">
        <v>14</v>
      </c>
      <c r="F399" s="31" t="str">
        <f t="shared" si="69"/>
        <v>Intelligence 9</v>
      </c>
      <c r="I399" s="44" t="s">
        <v>219</v>
      </c>
      <c r="L399" s="31">
        <f t="shared" si="67"/>
        <v>-14</v>
      </c>
      <c r="BR399" s="33"/>
      <c r="BS399" s="44"/>
      <c r="BT399" s="34"/>
      <c r="CA399" s="44" t="s">
        <v>184</v>
      </c>
      <c r="CB399" s="44"/>
      <c r="CH399" s="44"/>
      <c r="CV399" s="36" t="s">
        <v>1080</v>
      </c>
      <c r="CW399" s="33"/>
      <c r="CX399" s="33"/>
      <c r="CY399" s="33"/>
      <c r="CZ399" s="31" t="s">
        <v>184</v>
      </c>
      <c r="DA399" s="31">
        <v>1</v>
      </c>
      <c r="DB399" s="31">
        <v>1</v>
      </c>
      <c r="DC399" s="31">
        <v>1</v>
      </c>
    </row>
    <row r="400" spans="1:108">
      <c r="A400" s="31" t="s">
        <v>988</v>
      </c>
      <c r="B400" s="33" t="s">
        <v>183</v>
      </c>
      <c r="C400" s="37"/>
      <c r="E400" s="31">
        <v>15</v>
      </c>
      <c r="F400" s="31" t="str">
        <f t="shared" si="69"/>
        <v>Intelligence 9</v>
      </c>
      <c r="I400" s="44" t="s">
        <v>219</v>
      </c>
      <c r="L400" s="31">
        <f t="shared" si="67"/>
        <v>-15</v>
      </c>
      <c r="BR400" s="33"/>
      <c r="BS400" s="44"/>
      <c r="BT400" s="34"/>
      <c r="CA400" s="44" t="s">
        <v>184</v>
      </c>
      <c r="CB400" s="44"/>
      <c r="CH400" s="44"/>
      <c r="CV400" s="36" t="s">
        <v>1080</v>
      </c>
      <c r="CZ400" s="31" t="s">
        <v>184</v>
      </c>
      <c r="DA400" s="31">
        <v>1</v>
      </c>
      <c r="DB400" s="31">
        <v>1</v>
      </c>
      <c r="DC400" s="31">
        <v>1</v>
      </c>
    </row>
    <row r="401" spans="1:108">
      <c r="A401" s="31" t="s">
        <v>976</v>
      </c>
      <c r="B401" s="33" t="s">
        <v>183</v>
      </c>
      <c r="C401" s="37"/>
      <c r="E401" s="31">
        <v>16</v>
      </c>
      <c r="F401" s="31" t="str">
        <f>CONCATENATE("Intelligence ",MIN(MAX(ROUND(SQRT((IF(J401="",StaffDamage,J401)+IF(J401="",StaffDamage,J401)+IF(K401="",StaffDamageRange,K401))*(E401/1.4))+1,0),5),15))</f>
        <v>Intelligence 9</v>
      </c>
      <c r="I401" s="44" t="s">
        <v>219</v>
      </c>
      <c r="L401" s="31">
        <f t="shared" si="67"/>
        <v>-16</v>
      </c>
      <c r="BR401" s="33"/>
      <c r="BS401" s="44"/>
      <c r="BT401" s="34"/>
      <c r="CA401" s="44" t="s">
        <v>184</v>
      </c>
      <c r="CB401" s="44"/>
      <c r="CH401" s="44"/>
      <c r="CV401" s="49" t="s">
        <v>1126</v>
      </c>
      <c r="CZ401" s="31" t="s">
        <v>184</v>
      </c>
      <c r="DA401" s="31">
        <v>1</v>
      </c>
      <c r="DB401" s="31">
        <v>1</v>
      </c>
      <c r="DC401" s="31">
        <v>1</v>
      </c>
    </row>
    <row r="402" spans="1:108">
      <c r="A402" s="31" t="s">
        <v>977</v>
      </c>
      <c r="B402" s="33" t="s">
        <v>183</v>
      </c>
      <c r="C402" s="37"/>
      <c r="E402" s="31">
        <v>17</v>
      </c>
      <c r="F402" s="31" t="str">
        <f>CONCATENATE("Intelligence ",MIN(MAX(ROUND(SQRT((IF(J402="",StaffDamage,J402)+IF(J402="",StaffDamage,J402)+IF(K402="",StaffDamageRange,K402))*(E402/1.4))+1,0),5),15))</f>
        <v>Intelligence 10</v>
      </c>
      <c r="I402" s="44" t="s">
        <v>219</v>
      </c>
      <c r="L402" s="31">
        <f t="shared" si="67"/>
        <v>-17</v>
      </c>
      <c r="BR402" s="33"/>
      <c r="BS402" s="44"/>
      <c r="BT402" s="34"/>
      <c r="CA402" s="44" t="s">
        <v>184</v>
      </c>
      <c r="CB402" s="44"/>
      <c r="CH402" s="44"/>
      <c r="CV402" s="49" t="s">
        <v>1126</v>
      </c>
      <c r="CZ402" s="31" t="s">
        <v>184</v>
      </c>
      <c r="DA402" s="31">
        <v>1</v>
      </c>
      <c r="DB402" s="31">
        <v>1</v>
      </c>
      <c r="DC402" s="31">
        <v>1</v>
      </c>
    </row>
    <row r="403" spans="1:108">
      <c r="A403" s="31" t="s">
        <v>970</v>
      </c>
      <c r="B403" s="33" t="s">
        <v>183</v>
      </c>
      <c r="C403" s="37"/>
      <c r="E403" s="31">
        <v>18</v>
      </c>
      <c r="F403" s="31" t="str">
        <f>CONCATENATE("Intelligence ",MIN(MAX(ROUND(SQRT((IF(J403="",StaffDamage,J403)+IF(J403="",StaffDamage,J403)+IF(K403="",StaffDamageRange,K403))*(E403/1.4))+1,0),5),15))</f>
        <v>Intelligence 10</v>
      </c>
      <c r="I403" s="44" t="s">
        <v>219</v>
      </c>
      <c r="L403" s="31">
        <f t="shared" si="67"/>
        <v>-18</v>
      </c>
      <c r="BR403" s="33"/>
      <c r="BS403" s="44"/>
      <c r="BT403" s="34"/>
      <c r="CA403" s="44" t="s">
        <v>184</v>
      </c>
      <c r="CB403" s="44"/>
      <c r="CH403" s="44"/>
      <c r="CV403" s="36" t="s">
        <v>1264</v>
      </c>
      <c r="CW403" s="33"/>
      <c r="CX403" s="33"/>
      <c r="CY403" s="33"/>
      <c r="CZ403" s="69" t="s">
        <v>184</v>
      </c>
      <c r="DA403" s="31">
        <v>1</v>
      </c>
      <c r="DB403" s="31">
        <v>1</v>
      </c>
      <c r="DC403" s="31">
        <v>1</v>
      </c>
    </row>
    <row r="404" spans="1:108" s="27" customFormat="1">
      <c r="A404" s="31" t="s">
        <v>980</v>
      </c>
      <c r="B404" s="33" t="s">
        <v>183</v>
      </c>
      <c r="C404" s="31"/>
      <c r="D404" s="31"/>
      <c r="E404" s="31">
        <v>19</v>
      </c>
      <c r="F404" s="31" t="str">
        <f>CONCATENATE("Intelligence ",MIN(MAX(ROUND(SQRT((IF(J404="",StaffDamage,J404)+IF(J404="",StaffDamage,J404)+IF(K404="",StaffDamageRange,K404))*(E404/1.4))+1,0),5),15))</f>
        <v>Intelligence 10</v>
      </c>
      <c r="G404" s="31"/>
      <c r="H404" s="31"/>
      <c r="I404" s="44" t="s">
        <v>219</v>
      </c>
      <c r="J404" s="31"/>
      <c r="K404" s="31"/>
      <c r="L404" s="31">
        <f t="shared" si="67"/>
        <v>-19</v>
      </c>
      <c r="M404" s="31"/>
      <c r="N404" s="31"/>
      <c r="O404" s="31"/>
      <c r="P404" s="31"/>
      <c r="Q404" s="31"/>
      <c r="R404" s="31"/>
      <c r="S404" s="31"/>
      <c r="T404" s="31"/>
      <c r="U404" s="31"/>
      <c r="V404" s="31"/>
      <c r="W404" s="31"/>
      <c r="X404" s="31"/>
      <c r="Y404" s="31"/>
      <c r="Z404" s="31"/>
      <c r="AA404" s="31"/>
      <c r="AB404" s="31"/>
      <c r="AC404" s="31"/>
      <c r="AD404" s="31"/>
      <c r="AE404" s="31"/>
      <c r="AF404" s="31"/>
      <c r="AG404" s="31"/>
      <c r="AH404" s="31"/>
      <c r="AI404" s="31"/>
      <c r="AJ404" s="31"/>
      <c r="AK404" s="31"/>
      <c r="AL404" s="31"/>
      <c r="AM404" s="31"/>
      <c r="AN404" s="31"/>
      <c r="AO404" s="31"/>
      <c r="AP404" s="31"/>
      <c r="AQ404" s="31"/>
      <c r="AR404" s="31"/>
      <c r="AS404" s="31"/>
      <c r="AT404" s="31"/>
      <c r="AU404" s="31"/>
      <c r="AV404" s="31"/>
      <c r="AW404" s="31"/>
      <c r="AX404" s="31"/>
      <c r="AY404" s="31"/>
      <c r="AZ404" s="31"/>
      <c r="BA404" s="31"/>
      <c r="BB404" s="31"/>
      <c r="BC404" s="31"/>
      <c r="BD404" s="31"/>
      <c r="BE404" s="31"/>
      <c r="BF404" s="31"/>
      <c r="BG404" s="31"/>
      <c r="BH404" s="31"/>
      <c r="BI404" s="31"/>
      <c r="BJ404" s="31"/>
      <c r="BK404" s="31"/>
      <c r="BL404" s="31"/>
      <c r="BM404" s="31"/>
      <c r="BN404" s="31"/>
      <c r="BO404" s="31"/>
      <c r="BP404" s="31"/>
      <c r="BQ404" s="31"/>
      <c r="BR404" s="31"/>
      <c r="BS404" s="31"/>
      <c r="BT404" s="31"/>
      <c r="BU404" s="31"/>
      <c r="BV404" s="31"/>
      <c r="BW404" s="31"/>
      <c r="BX404" s="31"/>
      <c r="BY404" s="31"/>
      <c r="BZ404" s="31"/>
      <c r="CA404" s="44" t="s">
        <v>184</v>
      </c>
      <c r="CB404" s="44"/>
      <c r="CC404" s="35"/>
      <c r="CD404" s="35"/>
      <c r="CE404" s="35"/>
      <c r="CF404" s="35"/>
      <c r="CG404" s="31"/>
      <c r="CH404" s="44"/>
      <c r="CI404" s="31"/>
      <c r="CJ404" s="31"/>
      <c r="CK404" s="31"/>
      <c r="CL404" s="31"/>
      <c r="CM404" s="31"/>
      <c r="CN404" s="31"/>
      <c r="CO404" s="31"/>
      <c r="CP404" s="31"/>
      <c r="CQ404" s="31"/>
      <c r="CR404" s="31"/>
      <c r="CS404" s="31"/>
      <c r="CT404" s="31"/>
      <c r="CU404" s="31"/>
      <c r="CV404" s="36" t="s">
        <v>1264</v>
      </c>
      <c r="CW404" s="33"/>
      <c r="CX404" s="33"/>
      <c r="CY404" s="33"/>
      <c r="CZ404" s="31" t="s">
        <v>184</v>
      </c>
      <c r="DA404" s="31">
        <v>1</v>
      </c>
      <c r="DB404" s="31">
        <v>1</v>
      </c>
      <c r="DC404" s="31">
        <v>1</v>
      </c>
      <c r="DD404" s="31"/>
    </row>
    <row r="405" spans="1:108">
      <c r="A405" s="31" t="s">
        <v>982</v>
      </c>
      <c r="B405" s="33" t="s">
        <v>183</v>
      </c>
      <c r="E405" s="31">
        <v>20</v>
      </c>
      <c r="F405" s="31" t="str">
        <f>CONCATENATE("Intelligence ",MIN(MAX(ROUND(SQRT((IF(J405="",StaffDamage,J405)+IF(J405="",StaffDamage,J405)+IF(K405="",StaffDamageRange,K405))*(E405/1.4))+1,0),5),15))</f>
        <v>Intelligence 10</v>
      </c>
      <c r="I405" s="44" t="s">
        <v>219</v>
      </c>
      <c r="L405" s="31">
        <f t="shared" si="67"/>
        <v>-20</v>
      </c>
      <c r="BR405" s="33"/>
      <c r="BS405" s="44"/>
      <c r="BT405" s="34"/>
      <c r="CA405" s="44" t="s">
        <v>184</v>
      </c>
      <c r="CB405" s="44"/>
      <c r="CH405" s="44"/>
      <c r="CV405" s="36" t="s">
        <v>1264</v>
      </c>
      <c r="CW405" s="33"/>
      <c r="CX405" s="33"/>
      <c r="CY405" s="33"/>
      <c r="CZ405" s="31" t="s">
        <v>184</v>
      </c>
      <c r="DA405" s="31">
        <v>1</v>
      </c>
      <c r="DB405" s="31">
        <v>1</v>
      </c>
      <c r="DC405" s="31">
        <v>1</v>
      </c>
    </row>
    <row r="406" spans="1:108">
      <c r="A406" s="31" t="s">
        <v>925</v>
      </c>
      <c r="B406" s="33" t="s">
        <v>183</v>
      </c>
      <c r="C406" s="37"/>
      <c r="E406" s="31">
        <v>1</v>
      </c>
      <c r="F406" s="31" t="str">
        <f t="shared" si="69"/>
        <v>Intelligence 5</v>
      </c>
      <c r="I406" s="44" t="s">
        <v>216</v>
      </c>
      <c r="L406" s="31">
        <f t="shared" si="67"/>
        <v>-1</v>
      </c>
      <c r="BR406" s="33"/>
      <c r="BS406" s="44"/>
      <c r="BT406" s="34"/>
      <c r="CA406" s="44" t="s">
        <v>184</v>
      </c>
      <c r="CB406" s="44"/>
      <c r="CC406" s="43"/>
      <c r="CD406" s="43"/>
      <c r="CE406" s="67"/>
      <c r="CF406" s="67"/>
      <c r="CH406" s="44"/>
      <c r="CV406" s="36" t="s">
        <v>444</v>
      </c>
      <c r="CZ406" s="31" t="s">
        <v>184</v>
      </c>
      <c r="DA406" s="31">
        <v>1</v>
      </c>
      <c r="DB406" s="31">
        <v>1</v>
      </c>
      <c r="DC406" s="31">
        <v>1</v>
      </c>
    </row>
    <row r="407" spans="1:108">
      <c r="A407" s="31" t="s">
        <v>990</v>
      </c>
      <c r="B407" s="33" t="s">
        <v>183</v>
      </c>
      <c r="C407" s="37"/>
      <c r="E407" s="31">
        <v>2</v>
      </c>
      <c r="F407" s="31" t="str">
        <f t="shared" si="69"/>
        <v>Intelligence 5</v>
      </c>
      <c r="I407" s="44" t="s">
        <v>216</v>
      </c>
      <c r="L407" s="31">
        <f t="shared" si="67"/>
        <v>-2</v>
      </c>
      <c r="BR407" s="33"/>
      <c r="BS407" s="44"/>
      <c r="BT407" s="34"/>
      <c r="CA407" s="44" t="s">
        <v>184</v>
      </c>
      <c r="CB407" s="44"/>
      <c r="CH407" s="44"/>
      <c r="CV407" s="36" t="s">
        <v>444</v>
      </c>
      <c r="CZ407" s="31" t="s">
        <v>184</v>
      </c>
      <c r="DA407" s="31">
        <v>1</v>
      </c>
      <c r="DB407" s="31">
        <v>1</v>
      </c>
      <c r="DC407" s="31">
        <v>1</v>
      </c>
    </row>
    <row r="408" spans="1:108">
      <c r="A408" s="31" t="s">
        <v>991</v>
      </c>
      <c r="B408" s="33" t="s">
        <v>183</v>
      </c>
      <c r="C408" s="37"/>
      <c r="E408" s="31">
        <v>3</v>
      </c>
      <c r="F408" s="31" t="str">
        <f t="shared" si="69"/>
        <v>Intelligence 5</v>
      </c>
      <c r="I408" s="44" t="s">
        <v>216</v>
      </c>
      <c r="L408" s="31">
        <f t="shared" si="67"/>
        <v>-3</v>
      </c>
      <c r="BR408" s="33"/>
      <c r="BS408" s="44"/>
      <c r="BT408" s="34"/>
      <c r="CA408" s="44" t="s">
        <v>184</v>
      </c>
      <c r="CB408" s="44"/>
      <c r="CH408" s="44"/>
      <c r="CV408" s="36" t="s">
        <v>444</v>
      </c>
      <c r="CZ408" s="31" t="s">
        <v>184</v>
      </c>
      <c r="DA408" s="31">
        <v>1</v>
      </c>
      <c r="DB408" s="31">
        <v>1</v>
      </c>
      <c r="DC408" s="31">
        <v>1</v>
      </c>
    </row>
    <row r="409" spans="1:108">
      <c r="A409" s="31" t="s">
        <v>992</v>
      </c>
      <c r="B409" s="33" t="s">
        <v>183</v>
      </c>
      <c r="C409" s="37"/>
      <c r="E409" s="31">
        <v>4</v>
      </c>
      <c r="F409" s="31" t="str">
        <f t="shared" si="69"/>
        <v>Intelligence 5</v>
      </c>
      <c r="I409" s="44" t="s">
        <v>216</v>
      </c>
      <c r="L409" s="31">
        <f t="shared" si="67"/>
        <v>-4</v>
      </c>
      <c r="BR409" s="33"/>
      <c r="BS409" s="44"/>
      <c r="BT409" s="34"/>
      <c r="CA409" s="44" t="s">
        <v>184</v>
      </c>
      <c r="CB409" s="44"/>
      <c r="CH409" s="44"/>
      <c r="CV409" s="36" t="s">
        <v>1892</v>
      </c>
      <c r="CZ409" s="31" t="s">
        <v>184</v>
      </c>
      <c r="DA409" s="31">
        <v>1</v>
      </c>
      <c r="DB409" s="31">
        <v>1</v>
      </c>
      <c r="DC409" s="31">
        <v>1</v>
      </c>
    </row>
    <row r="410" spans="1:108">
      <c r="A410" s="31" t="s">
        <v>993</v>
      </c>
      <c r="B410" s="33" t="s">
        <v>183</v>
      </c>
      <c r="C410" s="37"/>
      <c r="E410" s="31">
        <v>5</v>
      </c>
      <c r="F410" s="31" t="str">
        <f t="shared" si="69"/>
        <v>Intelligence 6</v>
      </c>
      <c r="I410" s="44" t="s">
        <v>216</v>
      </c>
      <c r="L410" s="31">
        <f t="shared" si="67"/>
        <v>-5</v>
      </c>
      <c r="BR410" s="33"/>
      <c r="BS410" s="44"/>
      <c r="BT410" s="34"/>
      <c r="CA410" s="44" t="s">
        <v>184</v>
      </c>
      <c r="CB410" s="44"/>
      <c r="CH410" s="44"/>
      <c r="CV410" s="36" t="s">
        <v>1892</v>
      </c>
      <c r="CZ410" s="31" t="s">
        <v>184</v>
      </c>
      <c r="DA410" s="31">
        <v>1</v>
      </c>
      <c r="DB410" s="31">
        <v>1</v>
      </c>
      <c r="DC410" s="31">
        <v>1</v>
      </c>
    </row>
    <row r="411" spans="1:108">
      <c r="A411" s="31" t="s">
        <v>994</v>
      </c>
      <c r="B411" s="33" t="s">
        <v>183</v>
      </c>
      <c r="C411" s="37"/>
      <c r="E411" s="31">
        <v>6</v>
      </c>
      <c r="F411" s="31" t="str">
        <f t="shared" si="69"/>
        <v>Intelligence 6</v>
      </c>
      <c r="I411" s="44" t="s">
        <v>216</v>
      </c>
      <c r="L411" s="31">
        <f t="shared" ref="L411:L429" si="70">-E411</f>
        <v>-6</v>
      </c>
      <c r="BR411" s="33"/>
      <c r="BS411" s="44"/>
      <c r="BT411" s="34"/>
      <c r="CA411" s="44" t="s">
        <v>184</v>
      </c>
      <c r="CB411" s="44"/>
      <c r="CH411" s="44"/>
      <c r="CV411" s="36" t="s">
        <v>1892</v>
      </c>
      <c r="CZ411" s="31" t="s">
        <v>184</v>
      </c>
      <c r="DA411" s="31">
        <v>1</v>
      </c>
      <c r="DB411" s="31">
        <v>1</v>
      </c>
      <c r="DC411" s="31">
        <v>1</v>
      </c>
    </row>
    <row r="412" spans="1:108">
      <c r="A412" s="31" t="s">
        <v>997</v>
      </c>
      <c r="B412" s="33" t="s">
        <v>183</v>
      </c>
      <c r="C412" s="37"/>
      <c r="E412" s="31">
        <v>7</v>
      </c>
      <c r="F412" s="31" t="str">
        <f t="shared" si="69"/>
        <v>Intelligence 6</v>
      </c>
      <c r="I412" s="44" t="s">
        <v>216</v>
      </c>
      <c r="L412" s="31">
        <f t="shared" si="70"/>
        <v>-7</v>
      </c>
      <c r="BR412" s="33"/>
      <c r="BS412" s="44"/>
      <c r="BT412" s="34"/>
      <c r="CA412" s="44" t="s">
        <v>184</v>
      </c>
      <c r="CB412" s="44"/>
      <c r="CH412" s="44"/>
      <c r="CV412" s="36" t="s">
        <v>1893</v>
      </c>
      <c r="CZ412" s="31" t="s">
        <v>184</v>
      </c>
      <c r="DA412" s="31">
        <v>1</v>
      </c>
      <c r="DB412" s="31">
        <v>1</v>
      </c>
      <c r="DC412" s="31">
        <v>1</v>
      </c>
    </row>
    <row r="413" spans="1:108">
      <c r="A413" s="31" t="s">
        <v>998</v>
      </c>
      <c r="B413" s="33" t="s">
        <v>183</v>
      </c>
      <c r="C413" s="37"/>
      <c r="E413" s="31">
        <v>8</v>
      </c>
      <c r="F413" s="31" t="str">
        <f t="shared" si="69"/>
        <v>Intelligence 7</v>
      </c>
      <c r="I413" s="44" t="s">
        <v>216</v>
      </c>
      <c r="L413" s="31">
        <f t="shared" si="70"/>
        <v>-8</v>
      </c>
      <c r="BR413" s="33"/>
      <c r="BS413" s="44"/>
      <c r="BT413" s="34"/>
      <c r="CA413" s="44" t="s">
        <v>184</v>
      </c>
      <c r="CB413" s="44"/>
      <c r="CH413" s="44"/>
      <c r="CV413" s="36" t="s">
        <v>1893</v>
      </c>
      <c r="CZ413" s="31" t="s">
        <v>184</v>
      </c>
      <c r="DA413" s="31">
        <v>1</v>
      </c>
      <c r="DB413" s="31">
        <v>1</v>
      </c>
      <c r="DC413" s="31">
        <v>1</v>
      </c>
    </row>
    <row r="414" spans="1:108">
      <c r="A414" s="31" t="s">
        <v>1000</v>
      </c>
      <c r="B414" s="33" t="s">
        <v>183</v>
      </c>
      <c r="C414" s="37"/>
      <c r="E414" s="31">
        <v>9</v>
      </c>
      <c r="F414" s="31" t="str">
        <f t="shared" si="69"/>
        <v>Intelligence 7</v>
      </c>
      <c r="I414" s="44" t="s">
        <v>216</v>
      </c>
      <c r="L414" s="31">
        <f t="shared" si="70"/>
        <v>-9</v>
      </c>
      <c r="BR414" s="33"/>
      <c r="BS414" s="44"/>
      <c r="BT414" s="34"/>
      <c r="CA414" s="44" t="s">
        <v>184</v>
      </c>
      <c r="CB414" s="44"/>
      <c r="CH414" s="44"/>
      <c r="CV414" s="36" t="s">
        <v>1893</v>
      </c>
      <c r="CZ414" s="31" t="s">
        <v>184</v>
      </c>
      <c r="DA414" s="31">
        <v>1</v>
      </c>
      <c r="DB414" s="31">
        <v>1</v>
      </c>
      <c r="DC414" s="31">
        <v>1</v>
      </c>
    </row>
    <row r="415" spans="1:108">
      <c r="A415" s="31" t="s">
        <v>1002</v>
      </c>
      <c r="B415" s="33" t="s">
        <v>183</v>
      </c>
      <c r="C415" s="37"/>
      <c r="E415" s="31">
        <v>10</v>
      </c>
      <c r="F415" s="31" t="str">
        <f t="shared" si="69"/>
        <v>Intelligence 8</v>
      </c>
      <c r="I415" s="44" t="s">
        <v>216</v>
      </c>
      <c r="L415" s="31">
        <f t="shared" si="70"/>
        <v>-10</v>
      </c>
      <c r="BR415" s="33"/>
      <c r="BS415" s="44"/>
      <c r="BT415" s="34"/>
      <c r="CA415" s="44" t="s">
        <v>184</v>
      </c>
      <c r="CB415" s="44"/>
      <c r="CH415" s="44"/>
      <c r="CV415" s="36" t="s">
        <v>1894</v>
      </c>
      <c r="CZ415" s="31" t="s">
        <v>184</v>
      </c>
      <c r="DA415" s="31">
        <v>1</v>
      </c>
      <c r="DB415" s="31">
        <v>1</v>
      </c>
      <c r="DC415" s="31">
        <v>1</v>
      </c>
    </row>
    <row r="416" spans="1:108">
      <c r="A416" s="31" t="s">
        <v>1003</v>
      </c>
      <c r="B416" s="33" t="s">
        <v>183</v>
      </c>
      <c r="C416" s="37"/>
      <c r="E416" s="31">
        <v>11</v>
      </c>
      <c r="F416" s="31" t="str">
        <f t="shared" si="69"/>
        <v>Intelligence 8</v>
      </c>
      <c r="I416" s="44" t="s">
        <v>216</v>
      </c>
      <c r="L416" s="31">
        <f t="shared" si="70"/>
        <v>-11</v>
      </c>
      <c r="BR416" s="33"/>
      <c r="BS416" s="44"/>
      <c r="BT416" s="34"/>
      <c r="CA416" s="44" t="s">
        <v>184</v>
      </c>
      <c r="CB416" s="44"/>
      <c r="CH416" s="44"/>
      <c r="CV416" s="36" t="s">
        <v>1894</v>
      </c>
      <c r="CZ416" s="31" t="s">
        <v>184</v>
      </c>
      <c r="DA416" s="31">
        <v>1</v>
      </c>
      <c r="DB416" s="31">
        <v>1</v>
      </c>
      <c r="DC416" s="31">
        <v>1</v>
      </c>
    </row>
    <row r="417" spans="1:108" s="27" customFormat="1">
      <c r="A417" s="31" t="s">
        <v>1004</v>
      </c>
      <c r="B417" s="33" t="s">
        <v>183</v>
      </c>
      <c r="C417" s="31"/>
      <c r="D417" s="31"/>
      <c r="E417" s="31">
        <v>12</v>
      </c>
      <c r="F417" s="31" t="str">
        <f t="shared" si="69"/>
        <v>Intelligence 8</v>
      </c>
      <c r="G417" s="31"/>
      <c r="H417" s="31"/>
      <c r="I417" s="44" t="s">
        <v>216</v>
      </c>
      <c r="J417" s="31"/>
      <c r="K417" s="31"/>
      <c r="L417" s="31">
        <f t="shared" si="70"/>
        <v>-12</v>
      </c>
      <c r="M417" s="31"/>
      <c r="N417" s="31"/>
      <c r="O417" s="31"/>
      <c r="P417" s="31"/>
      <c r="Q417" s="31"/>
      <c r="R417" s="31"/>
      <c r="S417" s="31"/>
      <c r="T417" s="31"/>
      <c r="U417" s="31"/>
      <c r="V417" s="31"/>
      <c r="W417" s="31"/>
      <c r="X417" s="31"/>
      <c r="Y417" s="31"/>
      <c r="Z417" s="31"/>
      <c r="AA417" s="31"/>
      <c r="AB417" s="31"/>
      <c r="AC417" s="31"/>
      <c r="AD417" s="31"/>
      <c r="AE417" s="31"/>
      <c r="AF417" s="31"/>
      <c r="AG417" s="31"/>
      <c r="AH417" s="31"/>
      <c r="AI417" s="31"/>
      <c r="AJ417" s="31"/>
      <c r="AK417" s="31"/>
      <c r="AL417" s="31"/>
      <c r="AM417" s="31"/>
      <c r="AN417" s="31"/>
      <c r="AO417" s="31"/>
      <c r="AP417" s="31"/>
      <c r="AQ417" s="31"/>
      <c r="AR417" s="31"/>
      <c r="AS417" s="31"/>
      <c r="AT417" s="31"/>
      <c r="AU417" s="31"/>
      <c r="AV417" s="31"/>
      <c r="AW417" s="31"/>
      <c r="AX417" s="31"/>
      <c r="AY417" s="31"/>
      <c r="AZ417" s="31"/>
      <c r="BA417" s="31"/>
      <c r="BB417" s="31"/>
      <c r="BC417" s="31"/>
      <c r="BD417" s="31"/>
      <c r="BE417" s="31"/>
      <c r="BF417" s="31"/>
      <c r="BG417" s="31"/>
      <c r="BH417" s="31"/>
      <c r="BI417" s="31"/>
      <c r="BJ417" s="31"/>
      <c r="BK417" s="31"/>
      <c r="BL417" s="31"/>
      <c r="BM417" s="31"/>
      <c r="BN417" s="31"/>
      <c r="BO417" s="31"/>
      <c r="BP417" s="31"/>
      <c r="BQ417" s="31"/>
      <c r="BR417" s="31"/>
      <c r="BS417" s="31"/>
      <c r="BT417" s="31"/>
      <c r="BU417" s="31"/>
      <c r="BV417" s="31"/>
      <c r="BW417" s="31"/>
      <c r="BX417" s="31"/>
      <c r="BY417" s="31"/>
      <c r="BZ417" s="31"/>
      <c r="CA417" s="44" t="s">
        <v>184</v>
      </c>
      <c r="CB417" s="44"/>
      <c r="CC417" s="35"/>
      <c r="CD417" s="35"/>
      <c r="CE417" s="35"/>
      <c r="CF417" s="35"/>
      <c r="CG417" s="31"/>
      <c r="CH417" s="44"/>
      <c r="CI417" s="31"/>
      <c r="CJ417" s="31"/>
      <c r="CK417" s="31"/>
      <c r="CL417" s="31"/>
      <c r="CM417" s="31"/>
      <c r="CN417" s="31"/>
      <c r="CO417" s="31"/>
      <c r="CP417" s="31"/>
      <c r="CQ417" s="31"/>
      <c r="CR417" s="31"/>
      <c r="CS417" s="31"/>
      <c r="CT417" s="31"/>
      <c r="CU417" s="31"/>
      <c r="CV417" s="36" t="s">
        <v>1894</v>
      </c>
      <c r="CW417" s="33"/>
      <c r="CX417" s="33"/>
      <c r="CY417" s="33"/>
      <c r="CZ417" s="31" t="s">
        <v>184</v>
      </c>
      <c r="DA417" s="31">
        <v>1</v>
      </c>
      <c r="DB417" s="31">
        <v>1</v>
      </c>
      <c r="DC417" s="31">
        <v>1</v>
      </c>
      <c r="DD417" s="31"/>
    </row>
    <row r="418" spans="1:108">
      <c r="A418" s="31" t="s">
        <v>1005</v>
      </c>
      <c r="B418" s="33" t="s">
        <v>183</v>
      </c>
      <c r="C418" s="37"/>
      <c r="E418" s="31">
        <v>13</v>
      </c>
      <c r="F418" s="31" t="str">
        <f t="shared" si="69"/>
        <v>Intelligence 8</v>
      </c>
      <c r="I418" s="44" t="s">
        <v>216</v>
      </c>
      <c r="L418" s="31">
        <f t="shared" si="70"/>
        <v>-13</v>
      </c>
      <c r="BR418" s="33"/>
      <c r="BS418" s="44"/>
      <c r="BT418" s="34"/>
      <c r="CA418" s="44" t="s">
        <v>184</v>
      </c>
      <c r="CB418" s="44"/>
      <c r="CH418" s="44"/>
      <c r="CV418" s="36" t="s">
        <v>1081</v>
      </c>
      <c r="CZ418" s="31" t="s">
        <v>184</v>
      </c>
      <c r="DA418" s="31">
        <v>1</v>
      </c>
      <c r="DB418" s="31">
        <v>1</v>
      </c>
      <c r="DC418" s="31">
        <v>1</v>
      </c>
    </row>
    <row r="419" spans="1:108">
      <c r="A419" s="31" t="s">
        <v>1006</v>
      </c>
      <c r="B419" s="33" t="s">
        <v>183</v>
      </c>
      <c r="E419" s="31">
        <v>14</v>
      </c>
      <c r="F419" s="31" t="str">
        <f t="shared" si="69"/>
        <v>Intelligence 9</v>
      </c>
      <c r="I419" s="44" t="s">
        <v>216</v>
      </c>
      <c r="L419" s="31">
        <f t="shared" si="70"/>
        <v>-14</v>
      </c>
      <c r="BR419" s="33"/>
      <c r="BS419" s="44"/>
      <c r="BT419" s="34"/>
      <c r="CA419" s="44" t="s">
        <v>184</v>
      </c>
      <c r="CB419" s="44"/>
      <c r="CH419" s="44"/>
      <c r="CV419" s="36" t="s">
        <v>1081</v>
      </c>
      <c r="CW419" s="33"/>
      <c r="CX419" s="33"/>
      <c r="CY419" s="33"/>
      <c r="CZ419" s="31" t="s">
        <v>184</v>
      </c>
      <c r="DA419" s="31">
        <v>1</v>
      </c>
      <c r="DB419" s="31">
        <v>1</v>
      </c>
      <c r="DC419" s="31">
        <v>1</v>
      </c>
    </row>
    <row r="420" spans="1:108">
      <c r="A420" s="31" t="s">
        <v>1007</v>
      </c>
      <c r="B420" s="33" t="s">
        <v>183</v>
      </c>
      <c r="C420" s="37"/>
      <c r="E420" s="31">
        <v>15</v>
      </c>
      <c r="F420" s="31" t="str">
        <f t="shared" si="69"/>
        <v>Intelligence 9</v>
      </c>
      <c r="I420" s="44" t="s">
        <v>216</v>
      </c>
      <c r="L420" s="31">
        <f t="shared" si="70"/>
        <v>-15</v>
      </c>
      <c r="BR420" s="33"/>
      <c r="BS420" s="44"/>
      <c r="BT420" s="34"/>
      <c r="CA420" s="44" t="s">
        <v>184</v>
      </c>
      <c r="CB420" s="44"/>
      <c r="CH420" s="44"/>
      <c r="CV420" s="36" t="s">
        <v>1081</v>
      </c>
      <c r="CZ420" s="31" t="s">
        <v>184</v>
      </c>
      <c r="DA420" s="31">
        <v>1</v>
      </c>
      <c r="DB420" s="31">
        <v>1</v>
      </c>
      <c r="DC420" s="31">
        <v>1</v>
      </c>
    </row>
    <row r="421" spans="1:108">
      <c r="A421" s="31" t="s">
        <v>995</v>
      </c>
      <c r="B421" s="33" t="s">
        <v>183</v>
      </c>
      <c r="C421" s="37"/>
      <c r="E421" s="31">
        <v>16</v>
      </c>
      <c r="F421" s="31" t="str">
        <f>CONCATENATE("Intelligence ",MIN(MAX(ROUND(SQRT((IF(J421="",StaffDamage,J421)+IF(J421="",StaffDamage,J421)+IF(K421="",StaffDamageRange,K421))*(E421/1.4))+1,0),5),15))</f>
        <v>Intelligence 9</v>
      </c>
      <c r="I421" s="44" t="s">
        <v>216</v>
      </c>
      <c r="L421" s="31">
        <f t="shared" si="70"/>
        <v>-16</v>
      </c>
      <c r="BR421" s="33"/>
      <c r="BS421" s="44"/>
      <c r="BT421" s="34"/>
      <c r="CA421" s="44" t="s">
        <v>184</v>
      </c>
      <c r="CB421" s="44"/>
      <c r="CH421" s="44"/>
      <c r="CV421" s="49" t="s">
        <v>1126</v>
      </c>
      <c r="CZ421" s="31" t="s">
        <v>184</v>
      </c>
      <c r="DA421" s="31">
        <v>1</v>
      </c>
      <c r="DB421" s="31">
        <v>1</v>
      </c>
      <c r="DC421" s="31">
        <v>1</v>
      </c>
    </row>
    <row r="422" spans="1:108">
      <c r="A422" s="31" t="s">
        <v>996</v>
      </c>
      <c r="B422" s="33" t="s">
        <v>183</v>
      </c>
      <c r="C422" s="37"/>
      <c r="E422" s="31">
        <v>17</v>
      </c>
      <c r="F422" s="31" t="str">
        <f>CONCATENATE("Intelligence ",MIN(MAX(ROUND(SQRT((IF(J422="",StaffDamage,J422)+IF(J422="",StaffDamage,J422)+IF(K422="",StaffDamageRange,K422))*(E422/1.4))+1,0),5),15))</f>
        <v>Intelligence 10</v>
      </c>
      <c r="I422" s="44" t="s">
        <v>216</v>
      </c>
      <c r="L422" s="31">
        <f t="shared" si="70"/>
        <v>-17</v>
      </c>
      <c r="BR422" s="33"/>
      <c r="BS422" s="44"/>
      <c r="BT422" s="34"/>
      <c r="CA422" s="44" t="s">
        <v>184</v>
      </c>
      <c r="CB422" s="44"/>
      <c r="CH422" s="44"/>
      <c r="CV422" s="49" t="s">
        <v>1126</v>
      </c>
      <c r="CZ422" s="31" t="s">
        <v>184</v>
      </c>
      <c r="DA422" s="31">
        <v>1</v>
      </c>
      <c r="DB422" s="31">
        <v>1</v>
      </c>
      <c r="DC422" s="31">
        <v>1</v>
      </c>
    </row>
    <row r="423" spans="1:108">
      <c r="A423" s="31" t="s">
        <v>989</v>
      </c>
      <c r="B423" s="33" t="s">
        <v>183</v>
      </c>
      <c r="C423" s="37"/>
      <c r="E423" s="31">
        <v>18</v>
      </c>
      <c r="F423" s="31" t="str">
        <f>CONCATENATE("Intelligence ",MIN(MAX(ROUND(SQRT((IF(J423="",StaffDamage,J423)+IF(J423="",StaffDamage,J423)+IF(K423="",StaffDamageRange,K423))*(E423/1.4))+1,0),5),15))</f>
        <v>Intelligence 10</v>
      </c>
      <c r="I423" s="44" t="s">
        <v>216</v>
      </c>
      <c r="L423" s="31">
        <f t="shared" si="70"/>
        <v>-18</v>
      </c>
      <c r="BR423" s="33"/>
      <c r="BS423" s="44"/>
      <c r="BT423" s="34"/>
      <c r="CA423" s="44" t="s">
        <v>184</v>
      </c>
      <c r="CB423" s="44"/>
      <c r="CH423" s="44"/>
      <c r="CV423" s="36" t="s">
        <v>1264</v>
      </c>
      <c r="CW423" s="33"/>
      <c r="CX423" s="33"/>
      <c r="CY423" s="33"/>
      <c r="CZ423" s="69" t="s">
        <v>184</v>
      </c>
      <c r="DA423" s="31">
        <v>1</v>
      </c>
      <c r="DB423" s="31">
        <v>1</v>
      </c>
      <c r="DC423" s="31">
        <v>1</v>
      </c>
    </row>
    <row r="424" spans="1:108" s="27" customFormat="1">
      <c r="A424" s="31" t="s">
        <v>999</v>
      </c>
      <c r="B424" s="33" t="s">
        <v>183</v>
      </c>
      <c r="C424" s="31"/>
      <c r="D424" s="31"/>
      <c r="E424" s="31">
        <v>19</v>
      </c>
      <c r="F424" s="31" t="str">
        <f>CONCATENATE("Intelligence ",MIN(MAX(ROUND(SQRT((IF(J424="",StaffDamage,J424)+IF(J424="",StaffDamage,J424)+IF(K424="",StaffDamageRange,K424))*(E424/1.4))+1,0),5),15))</f>
        <v>Intelligence 10</v>
      </c>
      <c r="G424" s="31"/>
      <c r="H424" s="31"/>
      <c r="I424" s="44" t="s">
        <v>216</v>
      </c>
      <c r="J424" s="31"/>
      <c r="K424" s="31"/>
      <c r="L424" s="31">
        <f t="shared" si="70"/>
        <v>-19</v>
      </c>
      <c r="M424" s="31"/>
      <c r="N424" s="31"/>
      <c r="O424" s="31"/>
      <c r="P424" s="31"/>
      <c r="Q424" s="31"/>
      <c r="R424" s="31"/>
      <c r="S424" s="31"/>
      <c r="T424" s="31"/>
      <c r="U424" s="31"/>
      <c r="V424" s="31"/>
      <c r="W424" s="31"/>
      <c r="X424" s="31"/>
      <c r="Y424" s="31"/>
      <c r="Z424" s="31"/>
      <c r="AA424" s="31"/>
      <c r="AB424" s="31"/>
      <c r="AC424" s="31"/>
      <c r="AD424" s="31"/>
      <c r="AE424" s="31"/>
      <c r="AF424" s="31"/>
      <c r="AG424" s="31"/>
      <c r="AH424" s="31"/>
      <c r="AI424" s="31"/>
      <c r="AJ424" s="31"/>
      <c r="AK424" s="31"/>
      <c r="AL424" s="31"/>
      <c r="AM424" s="31"/>
      <c r="AN424" s="31"/>
      <c r="AO424" s="31"/>
      <c r="AP424" s="31"/>
      <c r="AQ424" s="31"/>
      <c r="AR424" s="31"/>
      <c r="AS424" s="31"/>
      <c r="AT424" s="31"/>
      <c r="AU424" s="31"/>
      <c r="AV424" s="31"/>
      <c r="AW424" s="31"/>
      <c r="AX424" s="31"/>
      <c r="AY424" s="31"/>
      <c r="AZ424" s="31"/>
      <c r="BA424" s="31"/>
      <c r="BB424" s="31"/>
      <c r="BC424" s="31"/>
      <c r="BD424" s="31"/>
      <c r="BE424" s="31"/>
      <c r="BF424" s="31"/>
      <c r="BG424" s="31"/>
      <c r="BH424" s="31"/>
      <c r="BI424" s="31"/>
      <c r="BJ424" s="31"/>
      <c r="BK424" s="31"/>
      <c r="BL424" s="31"/>
      <c r="BM424" s="31"/>
      <c r="BN424" s="31"/>
      <c r="BO424" s="31"/>
      <c r="BP424" s="31"/>
      <c r="BQ424" s="31"/>
      <c r="BR424" s="31"/>
      <c r="BS424" s="31"/>
      <c r="BT424" s="31"/>
      <c r="BU424" s="31"/>
      <c r="BV424" s="31"/>
      <c r="BW424" s="31"/>
      <c r="BX424" s="31"/>
      <c r="BY424" s="31"/>
      <c r="BZ424" s="31"/>
      <c r="CA424" s="44" t="s">
        <v>184</v>
      </c>
      <c r="CB424" s="44"/>
      <c r="CC424" s="35"/>
      <c r="CD424" s="35"/>
      <c r="CE424" s="35"/>
      <c r="CF424" s="35"/>
      <c r="CG424" s="31"/>
      <c r="CH424" s="44"/>
      <c r="CI424" s="31"/>
      <c r="CJ424" s="31"/>
      <c r="CK424" s="31"/>
      <c r="CL424" s="31"/>
      <c r="CM424" s="31"/>
      <c r="CN424" s="31"/>
      <c r="CO424" s="31"/>
      <c r="CP424" s="31"/>
      <c r="CQ424" s="31"/>
      <c r="CR424" s="31"/>
      <c r="CS424" s="31"/>
      <c r="CT424" s="31"/>
      <c r="CU424" s="31"/>
      <c r="CV424" s="36" t="s">
        <v>1264</v>
      </c>
      <c r="CW424" s="33"/>
      <c r="CX424" s="33"/>
      <c r="CY424" s="33"/>
      <c r="CZ424" s="31" t="s">
        <v>184</v>
      </c>
      <c r="DA424" s="31">
        <v>1</v>
      </c>
      <c r="DB424" s="31">
        <v>1</v>
      </c>
      <c r="DC424" s="31">
        <v>1</v>
      </c>
      <c r="DD424" s="31"/>
    </row>
    <row r="425" spans="1:108">
      <c r="A425" s="31" t="s">
        <v>1001</v>
      </c>
      <c r="B425" s="33" t="s">
        <v>183</v>
      </c>
      <c r="E425" s="31">
        <v>20</v>
      </c>
      <c r="F425" s="31" t="str">
        <f>CONCATENATE("Intelligence ",MIN(MAX(ROUND(SQRT((IF(J425="",StaffDamage,J425)+IF(J425="",StaffDamage,J425)+IF(K425="",StaffDamageRange,K425))*(E425/1.4))+1,0),5),15))</f>
        <v>Intelligence 10</v>
      </c>
      <c r="I425" s="44" t="s">
        <v>216</v>
      </c>
      <c r="L425" s="31">
        <f t="shared" si="70"/>
        <v>-20</v>
      </c>
      <c r="BR425" s="33"/>
      <c r="BS425" s="44"/>
      <c r="BT425" s="34"/>
      <c r="CA425" s="44" t="s">
        <v>184</v>
      </c>
      <c r="CB425" s="44"/>
      <c r="CH425" s="44"/>
      <c r="CV425" s="36" t="s">
        <v>1264</v>
      </c>
      <c r="CW425" s="33"/>
      <c r="CX425" s="33"/>
      <c r="CY425" s="33"/>
      <c r="CZ425" s="31" t="s">
        <v>184</v>
      </c>
      <c r="DA425" s="31">
        <v>1</v>
      </c>
      <c r="DB425" s="31">
        <v>1</v>
      </c>
      <c r="DC425" s="31">
        <v>1</v>
      </c>
    </row>
    <row r="426" spans="1:108" s="137" customFormat="1" ht="15">
      <c r="A426" s="137" t="s">
        <v>1526</v>
      </c>
      <c r="B426" s="138" t="s">
        <v>183</v>
      </c>
      <c r="E426" s="137">
        <v>5</v>
      </c>
      <c r="F426" s="31" t="str">
        <f t="shared" si="69"/>
        <v>Intelligence 7</v>
      </c>
      <c r="I426" s="138" t="s">
        <v>224</v>
      </c>
      <c r="J426" s="137">
        <v>3</v>
      </c>
      <c r="K426" s="137">
        <v>3</v>
      </c>
      <c r="L426" s="31">
        <f t="shared" si="70"/>
        <v>-5</v>
      </c>
      <c r="S426" s="137">
        <v>1.8</v>
      </c>
      <c r="BR426" s="138"/>
      <c r="BS426" s="138"/>
      <c r="BT426" s="139"/>
      <c r="CA426" s="138"/>
      <c r="CB426" s="138"/>
      <c r="CC426" s="140"/>
      <c r="CD426" s="140"/>
      <c r="CE426" s="140"/>
      <c r="CF426" s="140"/>
      <c r="CH426" s="138"/>
      <c r="CV426" s="141" t="s">
        <v>1532</v>
      </c>
      <c r="DD426" s="137">
        <v>1</v>
      </c>
    </row>
    <row r="427" spans="1:108" s="137" customFormat="1" ht="15">
      <c r="A427" s="137" t="s">
        <v>1527</v>
      </c>
      <c r="B427" s="138" t="s">
        <v>183</v>
      </c>
      <c r="E427" s="137">
        <v>10</v>
      </c>
      <c r="F427" s="31" t="str">
        <f t="shared" si="69"/>
        <v>Intelligence 9</v>
      </c>
      <c r="I427" s="138" t="s">
        <v>224</v>
      </c>
      <c r="J427" s="137">
        <v>3</v>
      </c>
      <c r="K427" s="137">
        <v>3</v>
      </c>
      <c r="L427" s="31">
        <f t="shared" si="70"/>
        <v>-10</v>
      </c>
      <c r="Q427" s="137">
        <v>7</v>
      </c>
      <c r="S427" s="137">
        <v>2</v>
      </c>
      <c r="AC427" s="137">
        <v>1</v>
      </c>
      <c r="BR427" s="138"/>
      <c r="BS427" s="138"/>
      <c r="BT427" s="139"/>
      <c r="CA427" s="138"/>
      <c r="CB427" s="138"/>
      <c r="CC427" s="140"/>
      <c r="CD427" s="140" t="s">
        <v>821</v>
      </c>
      <c r="CE427" s="140"/>
      <c r="CF427" s="140"/>
      <c r="CH427" s="138"/>
      <c r="CV427" s="141" t="s">
        <v>1533</v>
      </c>
      <c r="DD427" s="137">
        <v>1</v>
      </c>
    </row>
    <row r="428" spans="1:108" s="137" customFormat="1" ht="15">
      <c r="A428" s="137" t="s">
        <v>1528</v>
      </c>
      <c r="B428" s="138" t="s">
        <v>183</v>
      </c>
      <c r="E428" s="137">
        <v>15</v>
      </c>
      <c r="F428" s="31" t="str">
        <f t="shared" si="69"/>
        <v>Intelligence 11</v>
      </c>
      <c r="I428" s="138" t="s">
        <v>224</v>
      </c>
      <c r="J428" s="137">
        <v>3</v>
      </c>
      <c r="K428" s="137">
        <v>3</v>
      </c>
      <c r="L428" s="31">
        <f t="shared" si="70"/>
        <v>-15</v>
      </c>
      <c r="Q428" s="137">
        <v>8</v>
      </c>
      <c r="S428" s="137">
        <v>2.2000000000000002</v>
      </c>
      <c r="AC428" s="137">
        <v>1</v>
      </c>
      <c r="AV428" s="137">
        <v>1</v>
      </c>
      <c r="BR428" s="138"/>
      <c r="BS428" s="138"/>
      <c r="BT428" s="139"/>
      <c r="CA428" s="138"/>
      <c r="CB428" s="138"/>
      <c r="CC428" s="140"/>
      <c r="CD428" s="140" t="s">
        <v>1530</v>
      </c>
      <c r="CE428" s="140"/>
      <c r="CF428" s="140"/>
      <c r="CH428" s="138"/>
      <c r="CV428" s="141" t="s">
        <v>1534</v>
      </c>
      <c r="DD428" s="137">
        <v>1</v>
      </c>
    </row>
    <row r="429" spans="1:108" s="137" customFormat="1" ht="15">
      <c r="A429" s="137" t="s">
        <v>1529</v>
      </c>
      <c r="B429" s="138" t="s">
        <v>183</v>
      </c>
      <c r="E429" s="137">
        <v>20</v>
      </c>
      <c r="F429" s="31" t="str">
        <f t="shared" si="69"/>
        <v>Intelligence 14</v>
      </c>
      <c r="I429" s="138" t="s">
        <v>224</v>
      </c>
      <c r="J429" s="137">
        <v>4</v>
      </c>
      <c r="K429" s="137">
        <v>3</v>
      </c>
      <c r="L429" s="31">
        <f t="shared" si="70"/>
        <v>-20</v>
      </c>
      <c r="Q429" s="137">
        <v>9</v>
      </c>
      <c r="S429" s="137">
        <v>2.4</v>
      </c>
      <c r="AC429" s="137">
        <v>2</v>
      </c>
      <c r="AV429" s="137">
        <v>2</v>
      </c>
      <c r="BR429" s="138"/>
      <c r="BS429" s="138"/>
      <c r="BT429" s="139"/>
      <c r="CA429" s="138"/>
      <c r="CB429" s="138"/>
      <c r="CC429" s="140"/>
      <c r="CD429" s="140" t="s">
        <v>1531</v>
      </c>
      <c r="CE429" s="140"/>
      <c r="CF429" s="140"/>
      <c r="CH429" s="138"/>
      <c r="CV429" s="141" t="s">
        <v>1535</v>
      </c>
      <c r="DD429" s="137">
        <v>1</v>
      </c>
    </row>
    <row r="430" spans="1:108" ht="15">
      <c r="A430" s="27" t="s">
        <v>193</v>
      </c>
      <c r="B430" s="27"/>
      <c r="C430" s="28" t="s">
        <v>73</v>
      </c>
      <c r="D430" s="27">
        <v>1</v>
      </c>
      <c r="E430" s="27"/>
      <c r="F430" s="27" t="s">
        <v>703</v>
      </c>
      <c r="G430" s="27" t="s">
        <v>606</v>
      </c>
      <c r="H430" s="27">
        <v>4</v>
      </c>
      <c r="I430" s="27" t="s">
        <v>78</v>
      </c>
      <c r="J430" s="27">
        <v>3</v>
      </c>
      <c r="K430" s="27">
        <v>2</v>
      </c>
      <c r="L430" s="27"/>
      <c r="M430" s="27"/>
      <c r="N430" s="27">
        <v>2</v>
      </c>
      <c r="O430" s="27">
        <v>0</v>
      </c>
      <c r="P430" s="27">
        <v>5</v>
      </c>
      <c r="Q430" s="27">
        <v>6</v>
      </c>
      <c r="R430" s="27">
        <v>6</v>
      </c>
      <c r="S430" s="27">
        <v>5</v>
      </c>
      <c r="T430" s="27">
        <v>1000</v>
      </c>
      <c r="U430" s="27">
        <v>0</v>
      </c>
      <c r="V430" s="27"/>
      <c r="W430" s="27" t="s">
        <v>194</v>
      </c>
      <c r="X430" s="27"/>
      <c r="Y430" s="27" t="s">
        <v>76</v>
      </c>
      <c r="Z430" s="27" t="s">
        <v>1488</v>
      </c>
      <c r="AA430" s="27"/>
      <c r="AB430" s="27"/>
      <c r="AC430" s="27"/>
      <c r="AD430" s="27"/>
      <c r="AE430" s="27"/>
      <c r="AF430" s="27"/>
      <c r="AG430" s="27"/>
      <c r="AH430" s="27"/>
      <c r="AI430" s="27"/>
      <c r="AJ430" s="27"/>
      <c r="AK430" s="27"/>
      <c r="AL430" s="27"/>
      <c r="AM430" s="27"/>
      <c r="AN430" s="27"/>
      <c r="AO430" s="27"/>
      <c r="AP430" s="27"/>
      <c r="AQ430" s="27"/>
      <c r="AR430" s="27"/>
      <c r="AS430" s="27"/>
      <c r="AT430" s="27"/>
      <c r="AU430" s="27"/>
      <c r="AV430" s="27"/>
      <c r="AW430" s="27"/>
      <c r="AX430" s="27"/>
      <c r="AY430" s="27"/>
      <c r="AZ430" s="27"/>
      <c r="BA430" s="27"/>
      <c r="BB430" s="27"/>
      <c r="BC430" s="27"/>
      <c r="BD430" s="27"/>
      <c r="BE430" s="27"/>
      <c r="BF430" s="27"/>
      <c r="BG430" s="27"/>
      <c r="BH430" s="27"/>
      <c r="BI430" s="27"/>
      <c r="BJ430" s="27"/>
      <c r="BK430" s="27"/>
      <c r="BL430" s="27"/>
      <c r="BM430" s="27"/>
      <c r="BN430" s="27"/>
      <c r="BO430" s="27"/>
      <c r="BP430" s="27"/>
      <c r="BQ430" s="27"/>
      <c r="BR430" s="29"/>
      <c r="BS430" s="30"/>
      <c r="BT430" s="27"/>
      <c r="BU430" s="27"/>
      <c r="BV430" s="27"/>
      <c r="BW430" s="27"/>
      <c r="BX430" s="27"/>
      <c r="BY430" s="27"/>
      <c r="BZ430" s="27"/>
      <c r="CA430" s="27"/>
      <c r="CB430" s="142"/>
      <c r="CC430" s="143"/>
      <c r="CD430" s="143"/>
      <c r="CE430" s="143"/>
      <c r="CF430" s="143"/>
      <c r="CG430" s="144" t="s">
        <v>730</v>
      </c>
      <c r="CH430" s="142">
        <v>0</v>
      </c>
      <c r="CI430" s="144"/>
      <c r="CJ430" s="144"/>
      <c r="CK430" s="144"/>
      <c r="CL430" s="144"/>
      <c r="CM430" s="144"/>
      <c r="CN430" s="142"/>
      <c r="CO430" s="27"/>
      <c r="CP430" s="27"/>
      <c r="CQ430" s="27"/>
      <c r="CR430" s="27"/>
      <c r="CS430" s="27"/>
      <c r="CT430" s="27"/>
      <c r="CU430" s="27"/>
      <c r="CV430" s="32"/>
      <c r="CW430" s="27"/>
      <c r="CX430" s="27"/>
      <c r="CY430" s="27"/>
      <c r="CZ430" s="27"/>
      <c r="DA430" s="27"/>
      <c r="DB430" s="27"/>
      <c r="DC430" s="27"/>
      <c r="DD430" s="27">
        <v>0</v>
      </c>
    </row>
    <row r="431" spans="1:108">
      <c r="A431" s="85" t="s">
        <v>885</v>
      </c>
      <c r="B431" s="31" t="s">
        <v>193</v>
      </c>
      <c r="E431" s="31">
        <v>1</v>
      </c>
      <c r="F431" s="31" t="s">
        <v>890</v>
      </c>
      <c r="K431" s="31">
        <v>3</v>
      </c>
      <c r="L431" s="31">
        <v>-15</v>
      </c>
      <c r="P431" s="31">
        <v>5</v>
      </c>
      <c r="Q431" s="31">
        <v>7</v>
      </c>
      <c r="S431" s="31">
        <v>4</v>
      </c>
      <c r="BR431" s="33"/>
      <c r="BS431" s="34"/>
      <c r="CA431" s="44" t="s">
        <v>194</v>
      </c>
      <c r="CB431" s="44"/>
      <c r="CH431" s="44"/>
      <c r="CV431" s="36" t="s">
        <v>1896</v>
      </c>
      <c r="CW431" s="33"/>
      <c r="CX431" s="33"/>
      <c r="CY431" s="33"/>
    </row>
    <row r="432" spans="1:108">
      <c r="A432" s="85" t="s">
        <v>886</v>
      </c>
      <c r="B432" s="31" t="s">
        <v>193</v>
      </c>
      <c r="E432" s="31">
        <v>1</v>
      </c>
      <c r="F432" s="31" t="s">
        <v>890</v>
      </c>
      <c r="K432" s="31">
        <v>3</v>
      </c>
      <c r="L432" s="31">
        <v>-15</v>
      </c>
      <c r="P432" s="31">
        <v>5</v>
      </c>
      <c r="Q432" s="31">
        <v>7</v>
      </c>
      <c r="S432" s="31">
        <v>4</v>
      </c>
      <c r="BR432" s="33"/>
      <c r="BS432" s="34"/>
      <c r="CA432" s="44" t="s">
        <v>194</v>
      </c>
      <c r="CB432" s="44"/>
      <c r="CH432" s="44"/>
      <c r="CV432" s="31" t="s">
        <v>1897</v>
      </c>
      <c r="CW432" s="33"/>
      <c r="CX432" s="33"/>
      <c r="CY432" s="33"/>
    </row>
    <row r="433" spans="1:108">
      <c r="A433" s="85" t="s">
        <v>887</v>
      </c>
      <c r="B433" s="31" t="s">
        <v>193</v>
      </c>
      <c r="E433" s="31">
        <v>1</v>
      </c>
      <c r="F433" s="31" t="s">
        <v>890</v>
      </c>
      <c r="K433" s="31">
        <v>3</v>
      </c>
      <c r="L433" s="31">
        <v>-15</v>
      </c>
      <c r="Q433" s="31">
        <v>7</v>
      </c>
      <c r="S433" s="31">
        <v>4</v>
      </c>
      <c r="BR433" s="33"/>
      <c r="BS433" s="34"/>
      <c r="CA433" s="44" t="s">
        <v>194</v>
      </c>
      <c r="CB433" s="44"/>
      <c r="CH433" s="44"/>
      <c r="CV433" s="31" t="s">
        <v>1898</v>
      </c>
      <c r="CW433" s="33"/>
      <c r="CX433" s="33"/>
      <c r="CY433" s="33"/>
    </row>
    <row r="434" spans="1:108">
      <c r="A434" s="85" t="s">
        <v>888</v>
      </c>
      <c r="B434" s="31" t="s">
        <v>193</v>
      </c>
      <c r="E434" s="31">
        <v>1</v>
      </c>
      <c r="F434" s="31" t="s">
        <v>890</v>
      </c>
      <c r="K434" s="31">
        <v>3</v>
      </c>
      <c r="L434" s="31">
        <v>-15</v>
      </c>
      <c r="Q434" s="31">
        <v>7</v>
      </c>
      <c r="S434" s="31">
        <v>4</v>
      </c>
      <c r="BR434" s="33"/>
      <c r="BS434" s="34"/>
      <c r="CA434" s="44" t="s">
        <v>194</v>
      </c>
      <c r="CB434" s="44"/>
      <c r="CH434" s="44"/>
      <c r="CV434" s="31" t="s">
        <v>1130</v>
      </c>
      <c r="CW434" s="33"/>
      <c r="CX434" s="33"/>
      <c r="CY434" s="33"/>
    </row>
    <row r="435" spans="1:108" s="38" customFormat="1">
      <c r="A435" s="87" t="s">
        <v>889</v>
      </c>
      <c r="B435" s="38" t="s">
        <v>193</v>
      </c>
      <c r="E435" s="38">
        <v>1</v>
      </c>
      <c r="F435" s="38" t="s">
        <v>890</v>
      </c>
      <c r="J435" s="38">
        <v>4</v>
      </c>
      <c r="K435" s="38">
        <v>3</v>
      </c>
      <c r="L435" s="31">
        <v>-15</v>
      </c>
      <c r="O435" s="38">
        <v>2</v>
      </c>
      <c r="Q435" s="38">
        <v>8</v>
      </c>
      <c r="S435" s="38">
        <v>4.5</v>
      </c>
      <c r="BS435" s="40"/>
      <c r="CA435" s="45" t="s">
        <v>194</v>
      </c>
      <c r="CB435" s="45"/>
      <c r="CC435" s="41"/>
      <c r="CD435" s="41"/>
      <c r="CE435" s="41"/>
      <c r="CF435" s="41"/>
      <c r="CH435" s="45"/>
      <c r="CV435" s="31" t="s">
        <v>1899</v>
      </c>
    </row>
    <row r="436" spans="1:108" s="81" customFormat="1">
      <c r="A436" s="81" t="s">
        <v>689</v>
      </c>
      <c r="B436" s="81" t="s">
        <v>193</v>
      </c>
      <c r="E436" s="81">
        <v>14</v>
      </c>
      <c r="F436" s="31" t="str">
        <f t="shared" ref="F436:F457" si="71">CONCATENATE("Dexterity ",MIN(MAX(ROUND(SQRT((IF(J436="",BowDamage,J436)+IF(J436="",BowDamage,J436)+IF(K436="",BowDamageRange,K436))*(E436/1.4))+1,0),5),15))</f>
        <v>Dexterity 10</v>
      </c>
      <c r="Q436" s="81">
        <v>9</v>
      </c>
      <c r="S436" s="81">
        <v>7</v>
      </c>
      <c r="AB436" s="81">
        <v>1</v>
      </c>
      <c r="AF436" s="81">
        <v>1</v>
      </c>
      <c r="BR436" s="83"/>
      <c r="BS436" s="92"/>
      <c r="CA436" s="83" t="s">
        <v>194</v>
      </c>
      <c r="CB436" s="83"/>
      <c r="CC436" s="82"/>
      <c r="CD436" s="82"/>
      <c r="CE436" s="82"/>
      <c r="CF436" s="81" t="s">
        <v>1282</v>
      </c>
      <c r="CH436" s="83"/>
      <c r="CV436" s="93" t="s">
        <v>196</v>
      </c>
      <c r="CW436" s="83"/>
      <c r="CX436" s="83"/>
      <c r="CY436" s="83"/>
      <c r="DD436" s="81">
        <v>1</v>
      </c>
    </row>
    <row r="437" spans="1:108">
      <c r="A437" s="31" t="s">
        <v>197</v>
      </c>
      <c r="B437" s="31" t="s">
        <v>193</v>
      </c>
      <c r="E437" s="31">
        <v>1</v>
      </c>
      <c r="F437" s="31" t="str">
        <f>CONCATENATE("Dexterity ",MIN(MAX(ROUND(SQRT((IF(J437="",BowDamage,J437)+IF(J437="",BowDamage,J437)+IF(K437="",BowDamageRange,K437))*(E437/1.4))+1,0),5),15))</f>
        <v>Dexterity 5</v>
      </c>
      <c r="L437" s="31">
        <f>-E437-5</f>
        <v>-6</v>
      </c>
      <c r="BR437" s="33"/>
      <c r="BS437" s="34"/>
      <c r="CA437" s="44" t="s">
        <v>194</v>
      </c>
      <c r="CB437" s="44"/>
      <c r="CH437" s="44"/>
      <c r="CV437" s="36" t="s">
        <v>818</v>
      </c>
      <c r="CW437" s="33"/>
      <c r="CX437" s="33"/>
      <c r="CY437" s="33"/>
      <c r="CZ437" s="31" t="s">
        <v>194</v>
      </c>
      <c r="DA437" s="31">
        <v>1</v>
      </c>
      <c r="DB437" s="31">
        <v>1</v>
      </c>
      <c r="DC437" s="31">
        <v>1</v>
      </c>
    </row>
    <row r="438" spans="1:108">
      <c r="A438" s="31" t="s">
        <v>195</v>
      </c>
      <c r="B438" s="31" t="s">
        <v>193</v>
      </c>
      <c r="E438" s="31">
        <v>1</v>
      </c>
      <c r="F438" s="31" t="str">
        <f t="shared" si="71"/>
        <v>Dexterity 5</v>
      </c>
      <c r="L438" s="31">
        <f t="shared" ref="L438:L456" si="72">-E438-5</f>
        <v>-6</v>
      </c>
      <c r="Q438" s="44"/>
      <c r="S438" s="31">
        <v>4.9000000000000004</v>
      </c>
      <c r="BR438" s="33"/>
      <c r="BS438" s="34"/>
      <c r="CA438" s="44" t="s">
        <v>194</v>
      </c>
      <c r="CB438" s="44"/>
      <c r="CC438" s="43"/>
      <c r="CD438" s="43"/>
      <c r="CE438" s="43"/>
      <c r="CF438" s="43"/>
      <c r="CH438" s="44"/>
      <c r="CV438" s="36" t="s">
        <v>818</v>
      </c>
      <c r="CW438" s="33"/>
      <c r="CX438" s="33"/>
      <c r="CY438" s="33"/>
    </row>
    <row r="439" spans="1:108">
      <c r="A439" s="31" t="s">
        <v>458</v>
      </c>
      <c r="B439" s="31" t="s">
        <v>193</v>
      </c>
      <c r="E439" s="31">
        <v>2</v>
      </c>
      <c r="F439" s="31" t="str">
        <f>CONCATENATE("Dexterity ",MIN(MAX(ROUND(SQRT((IF(J439="",BowDamage,J439)+IF(J439="",BowDamage,J439)+IF(K439="",BowDamageRange,K439))*(E439/1.4))+1,0),5),15))</f>
        <v>Dexterity 5</v>
      </c>
      <c r="L439" s="31">
        <f>-E439-5</f>
        <v>-7</v>
      </c>
      <c r="BR439" s="33"/>
      <c r="BS439" s="34"/>
      <c r="CA439" s="44" t="s">
        <v>194</v>
      </c>
      <c r="CB439" s="44"/>
      <c r="CH439" s="44"/>
      <c r="CV439" s="31" t="s">
        <v>1895</v>
      </c>
      <c r="CW439" s="33"/>
      <c r="CX439" s="33"/>
      <c r="CY439" s="33"/>
      <c r="CZ439" s="31" t="s">
        <v>194</v>
      </c>
      <c r="DA439" s="31">
        <v>1</v>
      </c>
      <c r="DB439" s="31">
        <v>1</v>
      </c>
      <c r="DC439" s="31">
        <v>1</v>
      </c>
    </row>
    <row r="440" spans="1:108">
      <c r="A440" s="113" t="s">
        <v>1131</v>
      </c>
      <c r="B440" s="31" t="s">
        <v>193</v>
      </c>
      <c r="E440" s="31">
        <v>3</v>
      </c>
      <c r="F440" s="31" t="str">
        <f>CONCATENATE("Dexterity ",MIN(MAX(ROUND(SQRT((IF(J440="",BowDamage,J440)+IF(J440="",BowDamage,J440)+IF(K440="",BowDamageRange,K440))*(E440/1.4))+1,0),5),15))</f>
        <v>Dexterity 5</v>
      </c>
      <c r="L440" s="31">
        <f>-E440-5</f>
        <v>-8</v>
      </c>
      <c r="BR440" s="33"/>
      <c r="BS440" s="34"/>
      <c r="CA440" s="44" t="s">
        <v>194</v>
      </c>
      <c r="CB440" s="44"/>
      <c r="CH440" s="44"/>
      <c r="CV440" s="31" t="s">
        <v>1895</v>
      </c>
      <c r="CW440" s="33"/>
      <c r="CX440" s="33"/>
      <c r="CY440" s="33"/>
      <c r="CZ440" s="31" t="s">
        <v>194</v>
      </c>
      <c r="DA440" s="31">
        <v>1</v>
      </c>
      <c r="DB440" s="31">
        <v>1</v>
      </c>
      <c r="DC440" s="31">
        <v>1</v>
      </c>
    </row>
    <row r="441" spans="1:108">
      <c r="A441" s="113" t="s">
        <v>198</v>
      </c>
      <c r="B441" s="31" t="s">
        <v>193</v>
      </c>
      <c r="E441" s="31">
        <v>4</v>
      </c>
      <c r="F441" s="31" t="str">
        <f t="shared" si="71"/>
        <v>Dexterity 6</v>
      </c>
      <c r="L441" s="31">
        <f t="shared" si="72"/>
        <v>-9</v>
      </c>
      <c r="S441" s="31">
        <v>4.9000000000000004</v>
      </c>
      <c r="BR441" s="33"/>
      <c r="BS441" s="34"/>
      <c r="CA441" s="44" t="s">
        <v>194</v>
      </c>
      <c r="CB441" s="44"/>
      <c r="CH441" s="44"/>
      <c r="CV441" s="36" t="s">
        <v>1896</v>
      </c>
      <c r="CW441" s="33"/>
      <c r="CX441" s="33"/>
      <c r="CY441" s="33"/>
      <c r="CZ441" s="31" t="s">
        <v>194</v>
      </c>
      <c r="DA441" s="31">
        <v>1</v>
      </c>
      <c r="DB441" s="31">
        <v>1</v>
      </c>
      <c r="DC441" s="31">
        <v>1</v>
      </c>
    </row>
    <row r="442" spans="1:108">
      <c r="A442" s="113" t="s">
        <v>501</v>
      </c>
      <c r="B442" s="31" t="s">
        <v>193</v>
      </c>
      <c r="E442" s="31">
        <v>5</v>
      </c>
      <c r="F442" s="31" t="str">
        <f>CONCATENATE("Dexterity ",MIN(MAX(ROUND(SQRT((IF(J442="",BowDamage,J442)+IF(J442="",BowDamage,J442)+IF(K442="",BowDamageRange,K442))*(E442/1.4))+1,0),5),15))</f>
        <v>Dexterity 6</v>
      </c>
      <c r="L442" s="31">
        <f>-E442-5</f>
        <v>-10</v>
      </c>
      <c r="BR442" s="33"/>
      <c r="BS442" s="34"/>
      <c r="CA442" s="44" t="s">
        <v>194</v>
      </c>
      <c r="CB442" s="44"/>
      <c r="CH442" s="44"/>
      <c r="CV442" s="36" t="s">
        <v>1896</v>
      </c>
      <c r="CW442" s="33"/>
      <c r="CX442" s="33"/>
      <c r="CY442" s="33"/>
      <c r="CZ442" s="31" t="s">
        <v>194</v>
      </c>
      <c r="DA442" s="31">
        <v>1</v>
      </c>
      <c r="DB442" s="31">
        <v>1</v>
      </c>
      <c r="DC442" s="31">
        <v>1</v>
      </c>
    </row>
    <row r="443" spans="1:108">
      <c r="A443" s="113" t="s">
        <v>677</v>
      </c>
      <c r="B443" s="31" t="s">
        <v>193</v>
      </c>
      <c r="E443" s="31">
        <v>6</v>
      </c>
      <c r="F443" s="31" t="str">
        <f>CONCATENATE("Dexterity ",MIN(MAX(ROUND(SQRT((IF(J443="",BowDamage,J443)+IF(J443="",BowDamage,J443)+IF(K443="",BowDamageRange,K443))*(E443/1.4))+1,0),5),15))</f>
        <v>Dexterity 7</v>
      </c>
      <c r="L443" s="31">
        <f>-E443-5</f>
        <v>-11</v>
      </c>
      <c r="BR443" s="33"/>
      <c r="BS443" s="34"/>
      <c r="CA443" s="44" t="s">
        <v>194</v>
      </c>
      <c r="CB443" s="44"/>
      <c r="CH443" s="44"/>
      <c r="CV443" s="36" t="s">
        <v>1896</v>
      </c>
      <c r="CW443" s="33"/>
      <c r="CX443" s="33"/>
      <c r="CY443" s="33"/>
      <c r="CZ443" s="31" t="s">
        <v>194</v>
      </c>
      <c r="DA443" s="31">
        <v>1</v>
      </c>
      <c r="DB443" s="31">
        <v>1</v>
      </c>
      <c r="DC443" s="31">
        <v>1</v>
      </c>
    </row>
    <row r="444" spans="1:108">
      <c r="A444" s="113" t="s">
        <v>199</v>
      </c>
      <c r="B444" s="31" t="s">
        <v>193</v>
      </c>
      <c r="E444" s="31">
        <v>7</v>
      </c>
      <c r="F444" s="31" t="str">
        <f t="shared" si="71"/>
        <v>Dexterity 7</v>
      </c>
      <c r="L444" s="31">
        <f t="shared" si="72"/>
        <v>-12</v>
      </c>
      <c r="BR444" s="33"/>
      <c r="BS444" s="34"/>
      <c r="CA444" s="44" t="s">
        <v>194</v>
      </c>
      <c r="CB444" s="44"/>
      <c r="CH444" s="44"/>
      <c r="CV444" s="36" t="s">
        <v>445</v>
      </c>
      <c r="CW444" s="33"/>
      <c r="CX444" s="33"/>
      <c r="CY444" s="33"/>
      <c r="CZ444" s="31" t="s">
        <v>194</v>
      </c>
      <c r="DA444" s="31">
        <v>1</v>
      </c>
      <c r="DB444" s="31">
        <v>1</v>
      </c>
      <c r="DC444" s="31">
        <v>1</v>
      </c>
    </row>
    <row r="445" spans="1:108">
      <c r="A445" s="113" t="s">
        <v>203</v>
      </c>
      <c r="B445" s="31" t="s">
        <v>193</v>
      </c>
      <c r="E445" s="31">
        <v>8</v>
      </c>
      <c r="F445" s="31" t="str">
        <f t="shared" si="71"/>
        <v>Dexterity 8</v>
      </c>
      <c r="L445" s="31">
        <f t="shared" si="72"/>
        <v>-13</v>
      </c>
      <c r="BR445" s="33"/>
      <c r="BS445" s="34"/>
      <c r="CA445" s="44" t="s">
        <v>194</v>
      </c>
      <c r="CB445" s="44"/>
      <c r="CH445" s="44"/>
      <c r="CV445" s="36" t="s">
        <v>445</v>
      </c>
      <c r="CW445" s="33"/>
      <c r="CX445" s="33"/>
      <c r="CY445" s="33"/>
      <c r="CZ445" s="31" t="s">
        <v>194</v>
      </c>
      <c r="DA445" s="31">
        <v>1</v>
      </c>
      <c r="DB445" s="31">
        <v>1</v>
      </c>
      <c r="DC445" s="31">
        <v>1</v>
      </c>
    </row>
    <row r="446" spans="1:108">
      <c r="A446" s="113" t="s">
        <v>502</v>
      </c>
      <c r="B446" s="31" t="s">
        <v>193</v>
      </c>
      <c r="E446" s="31">
        <v>9</v>
      </c>
      <c r="F446" s="31" t="str">
        <f t="shared" si="71"/>
        <v>Dexterity 8</v>
      </c>
      <c r="L446" s="31">
        <f t="shared" si="72"/>
        <v>-14</v>
      </c>
      <c r="BR446" s="33"/>
      <c r="BS446" s="34"/>
      <c r="CA446" s="44" t="s">
        <v>194</v>
      </c>
      <c r="CB446" s="44"/>
      <c r="CH446" s="44"/>
      <c r="CV446" s="31" t="s">
        <v>1897</v>
      </c>
      <c r="CW446" s="33"/>
      <c r="CX446" s="33"/>
      <c r="CY446" s="33"/>
      <c r="CZ446" s="31" t="s">
        <v>194</v>
      </c>
      <c r="DA446" s="31">
        <v>1</v>
      </c>
      <c r="DB446" s="31">
        <v>1</v>
      </c>
      <c r="DC446" s="31">
        <v>1</v>
      </c>
    </row>
    <row r="447" spans="1:108">
      <c r="A447" s="113" t="s">
        <v>503</v>
      </c>
      <c r="B447" s="31" t="s">
        <v>193</v>
      </c>
      <c r="E447" s="31">
        <v>10</v>
      </c>
      <c r="F447" s="31" t="str">
        <f>CONCATENATE("Dexterity ",MIN(MAX(ROUND(SQRT((IF(J447="",BowDamage,J447)+IF(J447="",BowDamage,J447)+IF(K447="",BowDamageRange,K447))*(E447/1.4))+1,0),5),15))</f>
        <v>Dexterity 9</v>
      </c>
      <c r="L447" s="31">
        <f>-E447-5</f>
        <v>-15</v>
      </c>
      <c r="BR447" s="33"/>
      <c r="BS447" s="34"/>
      <c r="CA447" s="44" t="s">
        <v>194</v>
      </c>
      <c r="CB447" s="44"/>
      <c r="CH447" s="44"/>
      <c r="CV447" s="31" t="s">
        <v>1897</v>
      </c>
      <c r="CW447" s="33"/>
      <c r="CX447" s="33"/>
      <c r="CY447" s="33"/>
      <c r="CZ447" s="31" t="s">
        <v>194</v>
      </c>
      <c r="DA447" s="31">
        <v>1</v>
      </c>
      <c r="DB447" s="31">
        <v>1</v>
      </c>
      <c r="DC447" s="31">
        <v>1</v>
      </c>
    </row>
    <row r="448" spans="1:108">
      <c r="A448" s="31" t="s">
        <v>204</v>
      </c>
      <c r="B448" s="31" t="s">
        <v>193</v>
      </c>
      <c r="E448" s="31">
        <v>11</v>
      </c>
      <c r="F448" s="31" t="str">
        <f t="shared" si="71"/>
        <v>Dexterity 9</v>
      </c>
      <c r="L448" s="31">
        <f t="shared" si="72"/>
        <v>-16</v>
      </c>
      <c r="BR448" s="33"/>
      <c r="BS448" s="34"/>
      <c r="CA448" s="44" t="s">
        <v>194</v>
      </c>
      <c r="CB448" s="44"/>
      <c r="CH448" s="44"/>
      <c r="CV448" s="31" t="s">
        <v>1898</v>
      </c>
      <c r="CW448" s="33"/>
      <c r="CX448" s="33"/>
      <c r="CY448" s="33"/>
      <c r="CZ448" s="31" t="s">
        <v>194</v>
      </c>
      <c r="DA448" s="31">
        <v>1</v>
      </c>
      <c r="DB448" s="31">
        <v>1</v>
      </c>
      <c r="DC448" s="31">
        <v>1</v>
      </c>
    </row>
    <row r="449" spans="1:107">
      <c r="A449" s="31" t="s">
        <v>504</v>
      </c>
      <c r="B449" s="31" t="s">
        <v>193</v>
      </c>
      <c r="E449" s="31">
        <v>12</v>
      </c>
      <c r="F449" s="31" t="str">
        <f t="shared" si="71"/>
        <v>Dexterity 9</v>
      </c>
      <c r="L449" s="31">
        <f t="shared" si="72"/>
        <v>-17</v>
      </c>
      <c r="BR449" s="33"/>
      <c r="BS449" s="34"/>
      <c r="CA449" s="44" t="s">
        <v>194</v>
      </c>
      <c r="CB449" s="44"/>
      <c r="CH449" s="44"/>
      <c r="CV449" s="31" t="s">
        <v>1898</v>
      </c>
      <c r="CW449" s="33"/>
      <c r="CX449" s="33"/>
      <c r="CY449" s="33"/>
      <c r="CZ449" s="31" t="s">
        <v>194</v>
      </c>
      <c r="DA449" s="31">
        <v>1</v>
      </c>
      <c r="DB449" s="31">
        <v>1</v>
      </c>
      <c r="DC449" s="31">
        <v>1</v>
      </c>
    </row>
    <row r="450" spans="1:107">
      <c r="A450" s="31" t="s">
        <v>505</v>
      </c>
      <c r="B450" s="31" t="s">
        <v>193</v>
      </c>
      <c r="E450" s="31">
        <v>13</v>
      </c>
      <c r="F450" s="31" t="str">
        <f t="shared" si="71"/>
        <v>Dexterity 10</v>
      </c>
      <c r="L450" s="31">
        <f t="shared" si="72"/>
        <v>-18</v>
      </c>
      <c r="BR450" s="33"/>
      <c r="BS450" s="34"/>
      <c r="CA450" s="44" t="s">
        <v>194</v>
      </c>
      <c r="CB450" s="44"/>
      <c r="CH450" s="44"/>
      <c r="CV450" s="31" t="s">
        <v>819</v>
      </c>
      <c r="CW450" s="33"/>
      <c r="CX450" s="33"/>
      <c r="CY450" s="33"/>
      <c r="CZ450" s="31" t="s">
        <v>194</v>
      </c>
      <c r="DA450" s="31">
        <v>1</v>
      </c>
      <c r="DB450" s="31">
        <v>1</v>
      </c>
      <c r="DC450" s="31">
        <v>1</v>
      </c>
    </row>
    <row r="451" spans="1:107">
      <c r="A451" s="31" t="s">
        <v>678</v>
      </c>
      <c r="B451" s="31" t="s">
        <v>193</v>
      </c>
      <c r="E451" s="31">
        <v>14</v>
      </c>
      <c r="F451" s="31" t="str">
        <f t="shared" si="71"/>
        <v>Dexterity 10</v>
      </c>
      <c r="L451" s="31">
        <f t="shared" si="72"/>
        <v>-19</v>
      </c>
      <c r="BR451" s="33"/>
      <c r="BS451" s="34"/>
      <c r="CA451" s="44" t="s">
        <v>194</v>
      </c>
      <c r="CB451" s="44"/>
      <c r="CH451" s="44"/>
      <c r="CV451" s="31" t="s">
        <v>819</v>
      </c>
      <c r="CW451" s="33"/>
      <c r="CX451" s="33"/>
      <c r="CY451" s="33"/>
      <c r="CZ451" s="31" t="s">
        <v>194</v>
      </c>
      <c r="DA451" s="31">
        <v>1</v>
      </c>
      <c r="DB451" s="31">
        <v>1</v>
      </c>
      <c r="DC451" s="31">
        <v>1</v>
      </c>
    </row>
    <row r="452" spans="1:107">
      <c r="A452" s="113" t="s">
        <v>679</v>
      </c>
      <c r="B452" s="31" t="s">
        <v>193</v>
      </c>
      <c r="E452" s="31">
        <v>15</v>
      </c>
      <c r="F452" s="31" t="str">
        <f>CONCATENATE("Dexterity ",MIN(MAX(ROUND(SQRT((IF(J452="",BowDamage,J452)+IF(J452="",BowDamage,J452)+IF(K452="",BowDamageRange,K452))*(E452/1.4))+1,0),5),15))</f>
        <v>Dexterity 10</v>
      </c>
      <c r="L452" s="31">
        <f>-E452-5</f>
        <v>-20</v>
      </c>
      <c r="BR452" s="33"/>
      <c r="BS452" s="34"/>
      <c r="CA452" s="44" t="s">
        <v>194</v>
      </c>
      <c r="CB452" s="44"/>
      <c r="CH452" s="44"/>
      <c r="CV452" s="31" t="s">
        <v>1900</v>
      </c>
      <c r="CW452" s="33"/>
      <c r="CX452" s="33"/>
      <c r="CY452" s="33"/>
      <c r="CZ452" s="31" t="s">
        <v>194</v>
      </c>
      <c r="DA452" s="31">
        <v>1</v>
      </c>
      <c r="DB452" s="31">
        <v>1</v>
      </c>
      <c r="DC452" s="31">
        <v>1</v>
      </c>
    </row>
    <row r="453" spans="1:107">
      <c r="A453" s="113" t="s">
        <v>680</v>
      </c>
      <c r="B453" s="31" t="s">
        <v>193</v>
      </c>
      <c r="E453" s="31">
        <v>16</v>
      </c>
      <c r="F453" s="31" t="str">
        <f>CONCATENATE("Dexterity ",MIN(MAX(ROUND(SQRT((IF(J453="",BowDamage,J453)+IF(J453="",BowDamage,J453)+IF(K453="",BowDamageRange,K453))*(E453/1.4))+1,0),5),15))</f>
        <v>Dexterity 11</v>
      </c>
      <c r="L453" s="31">
        <f>-E453-5</f>
        <v>-21</v>
      </c>
      <c r="BR453" s="33"/>
      <c r="BS453" s="34"/>
      <c r="CA453" s="44" t="s">
        <v>194</v>
      </c>
      <c r="CB453" s="44"/>
      <c r="CH453" s="44"/>
      <c r="CV453" s="31" t="s">
        <v>1900</v>
      </c>
      <c r="CW453" s="33"/>
      <c r="CX453" s="33"/>
      <c r="CY453" s="33"/>
      <c r="CZ453" s="31" t="s">
        <v>194</v>
      </c>
      <c r="DA453" s="31">
        <v>1</v>
      </c>
      <c r="DB453" s="31">
        <v>1</v>
      </c>
      <c r="DC453" s="31">
        <v>1</v>
      </c>
    </row>
    <row r="454" spans="1:107">
      <c r="A454" s="113" t="s">
        <v>681</v>
      </c>
      <c r="B454" s="31" t="s">
        <v>193</v>
      </c>
      <c r="E454" s="31">
        <v>17</v>
      </c>
      <c r="F454" s="31" t="str">
        <f>CONCATENATE("Dexterity ",MIN(MAX(ROUND(SQRT((IF(J454="",BowDamage,J454)+IF(J454="",BowDamage,J454)+IF(K454="",BowDamageRange,K454))*(E454/1.4))+1,0),5),15))</f>
        <v>Dexterity 11</v>
      </c>
      <c r="L454" s="31">
        <f>-E454-5</f>
        <v>-22</v>
      </c>
      <c r="BR454" s="33"/>
      <c r="BS454" s="34"/>
      <c r="CA454" s="44" t="s">
        <v>194</v>
      </c>
      <c r="CB454" s="44"/>
      <c r="CH454" s="44"/>
      <c r="CV454" s="31" t="s">
        <v>1900</v>
      </c>
      <c r="CW454" s="33"/>
      <c r="CX454" s="33"/>
      <c r="CY454" s="33"/>
      <c r="CZ454" s="31" t="s">
        <v>194</v>
      </c>
      <c r="DA454" s="31">
        <v>1</v>
      </c>
      <c r="DB454" s="31">
        <v>1</v>
      </c>
      <c r="DC454" s="31">
        <v>1</v>
      </c>
    </row>
    <row r="455" spans="1:107">
      <c r="A455" s="31" t="s">
        <v>201</v>
      </c>
      <c r="B455" s="31" t="s">
        <v>193</v>
      </c>
      <c r="E455" s="31">
        <v>18</v>
      </c>
      <c r="F455" s="31" t="str">
        <f>CONCATENATE("Dexterity ",MIN(MAX(ROUND(SQRT((IF(J455="",BowDamage,J455)+IF(J455="",BowDamage,J455)+IF(K455="",BowDamageRange,K455))*(E455/1.4))+1,0),5),15))</f>
        <v>Dexterity 11</v>
      </c>
      <c r="L455" s="31">
        <f>-E455-5</f>
        <v>-23</v>
      </c>
      <c r="BR455" s="33"/>
      <c r="BS455" s="34"/>
      <c r="CA455" s="44" t="s">
        <v>194</v>
      </c>
      <c r="CB455" s="44"/>
      <c r="CH455" s="44"/>
      <c r="CV455" s="31" t="s">
        <v>1130</v>
      </c>
      <c r="CW455" s="33"/>
      <c r="CX455" s="33"/>
      <c r="CY455" s="33"/>
      <c r="CZ455" s="31" t="s">
        <v>194</v>
      </c>
      <c r="DA455" s="31">
        <v>1</v>
      </c>
      <c r="DB455" s="31">
        <v>1</v>
      </c>
      <c r="DC455" s="31">
        <v>1</v>
      </c>
    </row>
    <row r="456" spans="1:107">
      <c r="A456" s="31" t="s">
        <v>202</v>
      </c>
      <c r="B456" s="31" t="s">
        <v>193</v>
      </c>
      <c r="E456" s="31">
        <v>19</v>
      </c>
      <c r="F456" s="31" t="str">
        <f t="shared" si="71"/>
        <v>Dexterity 11</v>
      </c>
      <c r="L456" s="31">
        <f t="shared" si="72"/>
        <v>-24</v>
      </c>
      <c r="BR456" s="33"/>
      <c r="BS456" s="34"/>
      <c r="CA456" s="44" t="s">
        <v>194</v>
      </c>
      <c r="CB456" s="44"/>
      <c r="CH456" s="44"/>
      <c r="CV456" s="31" t="s">
        <v>1899</v>
      </c>
      <c r="CW456" s="33"/>
      <c r="CX456" s="33"/>
      <c r="CY456" s="33"/>
      <c r="CZ456" s="31" t="s">
        <v>194</v>
      </c>
      <c r="DA456" s="31">
        <v>1</v>
      </c>
      <c r="DB456" s="31">
        <v>1</v>
      </c>
      <c r="DC456" s="31">
        <v>1</v>
      </c>
    </row>
    <row r="457" spans="1:107">
      <c r="A457" s="113" t="s">
        <v>682</v>
      </c>
      <c r="B457" s="31" t="s">
        <v>193</v>
      </c>
      <c r="E457" s="31">
        <v>20</v>
      </c>
      <c r="F457" s="31" t="str">
        <f t="shared" si="71"/>
        <v>Dexterity 12</v>
      </c>
      <c r="L457" s="31">
        <f>-E457-5</f>
        <v>-25</v>
      </c>
      <c r="BR457" s="33"/>
      <c r="BS457" s="34"/>
      <c r="CA457" s="44" t="s">
        <v>194</v>
      </c>
      <c r="CB457" s="44"/>
      <c r="CH457" s="44"/>
      <c r="CV457" s="31" t="s">
        <v>1899</v>
      </c>
      <c r="CW457" s="33"/>
      <c r="CX457" s="33"/>
      <c r="CY457" s="33"/>
      <c r="CZ457" s="31" t="s">
        <v>194</v>
      </c>
      <c r="DA457" s="31">
        <v>1</v>
      </c>
      <c r="DB457" s="31">
        <v>1</v>
      </c>
      <c r="DC457" s="31">
        <v>1</v>
      </c>
    </row>
    <row r="458" spans="1:107">
      <c r="A458" s="31" t="s">
        <v>1353</v>
      </c>
      <c r="B458" s="31" t="s">
        <v>193</v>
      </c>
      <c r="C458" s="37"/>
      <c r="E458" s="31">
        <v>14</v>
      </c>
      <c r="F458" s="31" t="str">
        <f>CONCATENATE("Dexterity ",MIN(MAX(ROUND(SQRT((IF(J458="",BowDamage,J458)+IF(J458="",BowDamage,J458)+IF(K458="",BowDamageRange,K458))*(E458/1.4))+1,0),5),15),";Blackrock 1")</f>
        <v>Dexterity 10;Blackrock 1</v>
      </c>
      <c r="L458" s="31">
        <v>-20</v>
      </c>
      <c r="Q458" s="31">
        <v>8</v>
      </c>
      <c r="S458" s="31">
        <v>7</v>
      </c>
      <c r="T458" s="31">
        <v>500</v>
      </c>
      <c r="BR458" s="33"/>
      <c r="BS458" s="34"/>
      <c r="CA458" s="44"/>
      <c r="CB458" s="44"/>
      <c r="CF458" s="35" t="s">
        <v>1296</v>
      </c>
      <c r="CH458" s="44"/>
      <c r="CV458" s="36" t="s">
        <v>1360</v>
      </c>
      <c r="CW458" s="33"/>
      <c r="CX458" s="33"/>
      <c r="CY458" s="33"/>
      <c r="CZ458" s="113" t="s">
        <v>1427</v>
      </c>
      <c r="DA458" s="31">
        <v>1</v>
      </c>
      <c r="DB458" s="31">
        <v>1</v>
      </c>
      <c r="DC458" s="31">
        <v>1</v>
      </c>
    </row>
    <row r="459" spans="1:107">
      <c r="A459" s="113" t="s">
        <v>1354</v>
      </c>
      <c r="B459" s="31" t="s">
        <v>193</v>
      </c>
      <c r="C459" s="37"/>
      <c r="E459" s="31">
        <v>15</v>
      </c>
      <c r="F459" s="31" t="str">
        <f>CONCATENATE("Dexterity ",MIN(MAX(ROUND(SQRT((IF(J459="",BowDamage,J459)+IF(J459="",BowDamage,J459)+IF(K459="",BowDamageRange,K459))*(E459/1.4))+1,0),5),15),";Blackrock 1")</f>
        <v>Dexterity 10;Blackrock 1</v>
      </c>
      <c r="L459" s="31">
        <v>-20</v>
      </c>
      <c r="Q459" s="31">
        <v>8</v>
      </c>
      <c r="S459" s="31">
        <v>7</v>
      </c>
      <c r="T459" s="31">
        <v>500</v>
      </c>
      <c r="BR459" s="33"/>
      <c r="BS459" s="34"/>
      <c r="CA459" s="44"/>
      <c r="CB459" s="44"/>
      <c r="CF459" s="35" t="s">
        <v>1296</v>
      </c>
      <c r="CH459" s="44"/>
      <c r="CV459" s="36" t="s">
        <v>1360</v>
      </c>
      <c r="CW459" s="33"/>
      <c r="CX459" s="33"/>
      <c r="CY459" s="33"/>
      <c r="CZ459" s="113" t="s">
        <v>1427</v>
      </c>
      <c r="DA459" s="31">
        <v>1</v>
      </c>
      <c r="DB459" s="31">
        <v>1</v>
      </c>
      <c r="DC459" s="31">
        <v>1</v>
      </c>
    </row>
    <row r="460" spans="1:107">
      <c r="A460" s="113" t="s">
        <v>1355</v>
      </c>
      <c r="B460" s="31" t="s">
        <v>193</v>
      </c>
      <c r="C460" s="37"/>
      <c r="E460" s="31">
        <v>16</v>
      </c>
      <c r="F460" s="31" t="str">
        <f>CONCATENATE("Dexterity ",MIN(MAX(ROUND(SQRT((IF(J460="",BowDamage,J460)+IF(J460="",BowDamage,J460)+IF(K460="",BowDamageRange,K460))*(E460/1.4))+1,0),5),15),";Blackrock 2")</f>
        <v>Dexterity 11;Blackrock 2</v>
      </c>
      <c r="L460" s="31">
        <v>-20</v>
      </c>
      <c r="Q460" s="31">
        <v>8</v>
      </c>
      <c r="S460" s="31">
        <v>7</v>
      </c>
      <c r="T460" s="31">
        <v>500</v>
      </c>
      <c r="BR460" s="33"/>
      <c r="BS460" s="34"/>
      <c r="CA460" s="44"/>
      <c r="CB460" s="44"/>
      <c r="CF460" s="35" t="s">
        <v>1296</v>
      </c>
      <c r="CH460" s="44"/>
      <c r="CV460" s="36" t="s">
        <v>1360</v>
      </c>
      <c r="CW460" s="33"/>
      <c r="CX460" s="33"/>
      <c r="CY460" s="33"/>
      <c r="CZ460" s="113" t="s">
        <v>1427</v>
      </c>
      <c r="DA460" s="31">
        <v>1</v>
      </c>
      <c r="DB460" s="31">
        <v>1</v>
      </c>
      <c r="DC460" s="31">
        <v>1</v>
      </c>
    </row>
    <row r="461" spans="1:107">
      <c r="A461" s="113" t="s">
        <v>1356</v>
      </c>
      <c r="B461" s="31" t="s">
        <v>193</v>
      </c>
      <c r="C461" s="37"/>
      <c r="E461" s="31">
        <v>17</v>
      </c>
      <c r="F461" s="31" t="str">
        <f>CONCATENATE("Dexterity ",MIN(MAX(ROUND(SQRT((IF(J461="",BowDamage,J461)+IF(J461="",BowDamage,J461)+IF(K461="",BowDamageRange,K461))*(E461/1.4))+1,0),5),15),";Blackrock 2")</f>
        <v>Dexterity 11;Blackrock 2</v>
      </c>
      <c r="L461" s="31">
        <v>-20</v>
      </c>
      <c r="Q461" s="31">
        <v>8</v>
      </c>
      <c r="S461" s="31">
        <v>7</v>
      </c>
      <c r="T461" s="31">
        <v>500</v>
      </c>
      <c r="BR461" s="33"/>
      <c r="BS461" s="34"/>
      <c r="CA461" s="44"/>
      <c r="CB461" s="44"/>
      <c r="CF461" s="35" t="s">
        <v>1296</v>
      </c>
      <c r="CH461" s="44"/>
      <c r="CV461" s="36" t="s">
        <v>1360</v>
      </c>
      <c r="CW461" s="33"/>
      <c r="CX461" s="33"/>
      <c r="CY461" s="33"/>
      <c r="CZ461" s="113" t="s">
        <v>1427</v>
      </c>
      <c r="DA461" s="31">
        <v>1</v>
      </c>
      <c r="DB461" s="31">
        <v>1</v>
      </c>
      <c r="DC461" s="31">
        <v>1</v>
      </c>
    </row>
    <row r="462" spans="1:107">
      <c r="A462" s="113" t="s">
        <v>1357</v>
      </c>
      <c r="B462" s="31" t="s">
        <v>193</v>
      </c>
      <c r="C462" s="37"/>
      <c r="E462" s="31">
        <v>18</v>
      </c>
      <c r="F462" s="31" t="str">
        <f>CONCATENATE("Dexterity ",MIN(MAX(ROUND(SQRT((IF(J462="",BowDamage,J462)+IF(J462="",BowDamage,J462)+IF(K462="",BowDamageRange,K462))*(E462/1.4))+1,0),5),15),";Blackrock 2")</f>
        <v>Dexterity 11;Blackrock 2</v>
      </c>
      <c r="L462" s="31">
        <v>-20</v>
      </c>
      <c r="Q462" s="31">
        <v>8</v>
      </c>
      <c r="S462" s="31">
        <v>7</v>
      </c>
      <c r="T462" s="31">
        <v>500</v>
      </c>
      <c r="BR462" s="33"/>
      <c r="BS462" s="34"/>
      <c r="CA462" s="44"/>
      <c r="CB462" s="44"/>
      <c r="CF462" s="35" t="s">
        <v>1296</v>
      </c>
      <c r="CH462" s="44"/>
      <c r="CV462" s="36" t="s">
        <v>1360</v>
      </c>
      <c r="CW462" s="33"/>
      <c r="CX462" s="33"/>
      <c r="CY462" s="33"/>
      <c r="CZ462" s="113" t="s">
        <v>1427</v>
      </c>
      <c r="DA462" s="31">
        <v>1</v>
      </c>
      <c r="DB462" s="31">
        <v>1</v>
      </c>
      <c r="DC462" s="31">
        <v>1</v>
      </c>
    </row>
    <row r="463" spans="1:107">
      <c r="A463" s="113" t="s">
        <v>1358</v>
      </c>
      <c r="B463" s="31" t="s">
        <v>193</v>
      </c>
      <c r="C463" s="37"/>
      <c r="E463" s="31">
        <v>19</v>
      </c>
      <c r="F463" s="31" t="str">
        <f>CONCATENATE("Dexterity ",MIN(MAX(ROUND(SQRT((IF(J463="",BowDamage,J463)+IF(J463="",BowDamage,J463)+IF(K463="",BowDamageRange,K463))*(E463/1.4))+1,0),5),15),";Blackrock 3")</f>
        <v>Dexterity 11;Blackrock 3</v>
      </c>
      <c r="L463" s="31">
        <v>-20</v>
      </c>
      <c r="Q463" s="31">
        <v>8</v>
      </c>
      <c r="S463" s="31">
        <v>7</v>
      </c>
      <c r="T463" s="31">
        <v>500</v>
      </c>
      <c r="BR463" s="33"/>
      <c r="BS463" s="34"/>
      <c r="CA463" s="44"/>
      <c r="CB463" s="44"/>
      <c r="CF463" s="35" t="s">
        <v>1296</v>
      </c>
      <c r="CH463" s="44"/>
      <c r="CV463" s="36" t="s">
        <v>1360</v>
      </c>
      <c r="CW463" s="33"/>
      <c r="CX463" s="33"/>
      <c r="CY463" s="33"/>
      <c r="CZ463" s="113" t="s">
        <v>1427</v>
      </c>
      <c r="DA463" s="31">
        <v>1</v>
      </c>
      <c r="DB463" s="31">
        <v>1</v>
      </c>
      <c r="DC463" s="31">
        <v>1</v>
      </c>
    </row>
    <row r="464" spans="1:107">
      <c r="A464" s="113" t="s">
        <v>1359</v>
      </c>
      <c r="B464" s="31" t="s">
        <v>193</v>
      </c>
      <c r="C464" s="37"/>
      <c r="E464" s="31">
        <v>20</v>
      </c>
      <c r="F464" s="31" t="str">
        <f>CONCATENATE("Dexterity ",MIN(MAX(ROUND(SQRT((IF(J464="",BowDamage,J464)+IF(J464="",BowDamage,J464)+IF(K464="",BowDamageRange,K464))*(E464/1.4))+1,0),5),15),";Blackrock 3")</f>
        <v>Dexterity 12;Blackrock 3</v>
      </c>
      <c r="L464" s="31">
        <v>-20</v>
      </c>
      <c r="Q464" s="31">
        <v>8</v>
      </c>
      <c r="S464" s="31">
        <v>7</v>
      </c>
      <c r="T464" s="31">
        <v>500</v>
      </c>
      <c r="BR464" s="33"/>
      <c r="BS464" s="34"/>
      <c r="CA464" s="44"/>
      <c r="CB464" s="44"/>
      <c r="CF464" s="35" t="s">
        <v>1296</v>
      </c>
      <c r="CH464" s="44"/>
      <c r="CV464" s="36" t="s">
        <v>1360</v>
      </c>
      <c r="CW464" s="33"/>
      <c r="CX464" s="33"/>
      <c r="CY464" s="33"/>
      <c r="CZ464" s="113" t="s">
        <v>1427</v>
      </c>
      <c r="DA464" s="31">
        <v>1</v>
      </c>
      <c r="DB464" s="31">
        <v>1</v>
      </c>
      <c r="DC464" s="31">
        <v>1</v>
      </c>
    </row>
    <row r="465" spans="1:108" s="137" customFormat="1" ht="15">
      <c r="A465" s="137" t="s">
        <v>1536</v>
      </c>
      <c r="B465" s="137" t="s">
        <v>193</v>
      </c>
      <c r="E465" s="137">
        <v>5</v>
      </c>
      <c r="F465" s="31" t="str">
        <f>CONCATENATE("Dexterity ",MIN(MAX(ROUND(SQRT((IF(J465="",BowDamage,J465)+IF(J465="",BowDamage,J465)+IF(K465="",BowDamageRange,K465))*(E465/1.4))+1,0),5),15))</f>
        <v>Dexterity 7</v>
      </c>
      <c r="J465" s="137">
        <v>4</v>
      </c>
      <c r="L465" s="137">
        <v>-10</v>
      </c>
      <c r="Q465" s="137">
        <v>7</v>
      </c>
      <c r="S465" s="137">
        <v>1.9</v>
      </c>
      <c r="BR465" s="138"/>
      <c r="BS465" s="139"/>
      <c r="CA465" s="138"/>
      <c r="CB465" s="138"/>
      <c r="CC465" s="140"/>
      <c r="CD465" s="140"/>
      <c r="CE465" s="140"/>
      <c r="CF465" s="140"/>
      <c r="CH465" s="138"/>
      <c r="CV465" s="141" t="s">
        <v>1543</v>
      </c>
      <c r="CW465" s="138"/>
      <c r="CX465" s="138"/>
      <c r="CY465" s="138"/>
      <c r="DD465" s="137">
        <v>1</v>
      </c>
    </row>
    <row r="466" spans="1:108" s="137" customFormat="1" ht="15">
      <c r="A466" s="137" t="s">
        <v>1537</v>
      </c>
      <c r="B466" s="137" t="s">
        <v>193</v>
      </c>
      <c r="E466" s="137">
        <v>10</v>
      </c>
      <c r="F466" s="31" t="str">
        <f>CONCATENATE("Dexterity ",MIN(MAX(ROUND(SQRT((IF(J466="",BowDamage,J466)+IF(J466="",BowDamage,J466)+IF(K466="",BowDamageRange,K466))*(E466/1.4))+1,0),5),15))</f>
        <v>Dexterity 10</v>
      </c>
      <c r="J466" s="137">
        <v>4</v>
      </c>
      <c r="K466" s="137">
        <v>3</v>
      </c>
      <c r="L466" s="137">
        <v>-15</v>
      </c>
      <c r="N466" s="137">
        <v>3</v>
      </c>
      <c r="Q466" s="137">
        <v>7</v>
      </c>
      <c r="S466" s="137">
        <v>2.1</v>
      </c>
      <c r="AB466" s="137">
        <v>1</v>
      </c>
      <c r="BR466" s="138"/>
      <c r="BS466" s="139"/>
      <c r="CA466" s="138"/>
      <c r="CB466" s="138"/>
      <c r="CC466" s="140"/>
      <c r="CD466" s="140" t="s">
        <v>1540</v>
      </c>
      <c r="CE466" s="140"/>
      <c r="CF466" s="140"/>
      <c r="CH466" s="138"/>
      <c r="CV466" s="141" t="s">
        <v>1544</v>
      </c>
      <c r="CW466" s="138"/>
      <c r="CX466" s="138"/>
      <c r="CY466" s="138"/>
      <c r="DD466" s="137">
        <v>1</v>
      </c>
    </row>
    <row r="467" spans="1:108" s="137" customFormat="1" ht="15">
      <c r="A467" s="137" t="s">
        <v>1538</v>
      </c>
      <c r="B467" s="137" t="s">
        <v>193</v>
      </c>
      <c r="E467" s="137">
        <v>15</v>
      </c>
      <c r="F467" s="31" t="str">
        <f>CONCATENATE("Dexterity ",MIN(MAX(ROUND(SQRT((IF(J467="",BowDamage,J467)+IF(J467="",BowDamage,J467)+IF(K467="",BowDamageRange,K467))*(E467/1.4))+1,0),5),15))</f>
        <v>Dexterity 12</v>
      </c>
      <c r="J467" s="137">
        <v>4</v>
      </c>
      <c r="K467" s="137">
        <v>4</v>
      </c>
      <c r="L467" s="137">
        <v>-20</v>
      </c>
      <c r="N467" s="137">
        <v>3</v>
      </c>
      <c r="O467" s="137">
        <v>1</v>
      </c>
      <c r="Q467" s="137">
        <v>7</v>
      </c>
      <c r="S467" s="137">
        <v>2.2999999999999998</v>
      </c>
      <c r="AB467" s="137">
        <v>1</v>
      </c>
      <c r="BE467" s="137">
        <v>1</v>
      </c>
      <c r="BR467" s="138"/>
      <c r="BS467" s="139"/>
      <c r="CA467" s="138"/>
      <c r="CB467" s="138"/>
      <c r="CC467" s="140"/>
      <c r="CD467" s="140" t="s">
        <v>1541</v>
      </c>
      <c r="CE467" s="140"/>
      <c r="CF467" s="140"/>
      <c r="CH467" s="138"/>
      <c r="CV467" s="141" t="s">
        <v>1545</v>
      </c>
      <c r="CW467" s="138"/>
      <c r="CX467" s="138"/>
      <c r="CY467" s="138"/>
      <c r="DD467" s="137">
        <v>1</v>
      </c>
    </row>
    <row r="468" spans="1:108" s="137" customFormat="1" ht="15">
      <c r="A468" s="137" t="s">
        <v>1539</v>
      </c>
      <c r="B468" s="137" t="s">
        <v>193</v>
      </c>
      <c r="E468" s="137">
        <v>20</v>
      </c>
      <c r="F468" s="31" t="str">
        <f>CONCATENATE("Dexterity ",MIN(MAX(ROUND(SQRT((IF(J468="",BowDamage,J468)+IF(J468="",BowDamage,J468)+IF(K468="",BowDamageRange,K468))*(E468/1.4))+1,0),5),15))</f>
        <v>Dexterity 15</v>
      </c>
      <c r="J468" s="137">
        <v>5</v>
      </c>
      <c r="K468" s="137">
        <v>3</v>
      </c>
      <c r="L468" s="137">
        <v>-20</v>
      </c>
      <c r="N468" s="137">
        <v>4</v>
      </c>
      <c r="O468" s="137">
        <v>1</v>
      </c>
      <c r="Q468" s="137">
        <v>7</v>
      </c>
      <c r="S468" s="137">
        <v>2.5</v>
      </c>
      <c r="AB468" s="137">
        <v>2</v>
      </c>
      <c r="AE468" s="137">
        <v>1</v>
      </c>
      <c r="BE468" s="137">
        <v>1</v>
      </c>
      <c r="BR468" s="138"/>
      <c r="BS468" s="139"/>
      <c r="CA468" s="138"/>
      <c r="CB468" s="138"/>
      <c r="CC468" s="140"/>
      <c r="CD468" s="140" t="s">
        <v>1542</v>
      </c>
      <c r="CE468" s="140"/>
      <c r="CF468" s="140"/>
      <c r="CH468" s="138"/>
      <c r="CV468" s="141" t="s">
        <v>1546</v>
      </c>
      <c r="CW468" s="138"/>
      <c r="CX468" s="138"/>
      <c r="CY468" s="138"/>
      <c r="DD468" s="137">
        <v>1</v>
      </c>
    </row>
    <row r="469" spans="1:108" s="27" customFormat="1">
      <c r="A469" s="27" t="s">
        <v>205</v>
      </c>
      <c r="C469" s="27" t="s">
        <v>73</v>
      </c>
      <c r="D469" s="27">
        <v>1</v>
      </c>
      <c r="F469" s="27" t="s">
        <v>703</v>
      </c>
      <c r="G469" s="27" t="s">
        <v>606</v>
      </c>
      <c r="H469" s="27">
        <v>5</v>
      </c>
      <c r="I469" s="27" t="s">
        <v>78</v>
      </c>
      <c r="J469" s="27">
        <v>4</v>
      </c>
      <c r="K469" s="27">
        <v>2</v>
      </c>
      <c r="N469" s="27">
        <v>2</v>
      </c>
      <c r="O469" s="27">
        <v>0</v>
      </c>
      <c r="P469" s="27">
        <v>6</v>
      </c>
      <c r="Q469" s="27">
        <v>8</v>
      </c>
      <c r="R469" s="27">
        <v>6</v>
      </c>
      <c r="S469" s="27">
        <v>5.2</v>
      </c>
      <c r="T469" s="27">
        <v>2000</v>
      </c>
      <c r="U469" s="27">
        <v>-1</v>
      </c>
      <c r="W469" s="27" t="s">
        <v>206</v>
      </c>
      <c r="Y469" s="27" t="s">
        <v>76</v>
      </c>
      <c r="Z469" s="27" t="s">
        <v>1489</v>
      </c>
      <c r="CG469" s="27" t="s">
        <v>730</v>
      </c>
      <c r="CH469" s="27">
        <v>0</v>
      </c>
      <c r="DD469" s="27">
        <v>0</v>
      </c>
    </row>
    <row r="470" spans="1:108">
      <c r="A470" s="113" t="s">
        <v>891</v>
      </c>
      <c r="B470" s="31" t="s">
        <v>205</v>
      </c>
      <c r="C470" s="37"/>
      <c r="E470" s="31">
        <v>1</v>
      </c>
      <c r="F470" s="113" t="s">
        <v>890</v>
      </c>
      <c r="K470" s="31">
        <v>3</v>
      </c>
      <c r="L470" s="31">
        <v>-5</v>
      </c>
      <c r="S470" s="31">
        <v>5.0999999999999996</v>
      </c>
      <c r="BR470" s="33"/>
      <c r="BS470" s="34"/>
      <c r="CA470" s="44" t="s">
        <v>206</v>
      </c>
      <c r="CB470" s="44"/>
      <c r="CH470" s="44"/>
      <c r="CV470" s="36" t="s">
        <v>435</v>
      </c>
      <c r="CW470" s="33"/>
      <c r="CX470" s="33"/>
      <c r="CY470" s="33"/>
    </row>
    <row r="471" spans="1:108">
      <c r="A471" s="31" t="s">
        <v>892</v>
      </c>
      <c r="B471" s="31" t="s">
        <v>205</v>
      </c>
      <c r="C471" s="37"/>
      <c r="E471" s="31">
        <v>1</v>
      </c>
      <c r="F471" s="113" t="s">
        <v>890</v>
      </c>
      <c r="K471" s="31">
        <v>3</v>
      </c>
      <c r="L471" s="31">
        <v>-5</v>
      </c>
      <c r="S471" s="31">
        <v>5.0999999999999996</v>
      </c>
      <c r="BR471" s="33"/>
      <c r="BS471" s="34"/>
      <c r="CA471" s="44" t="s">
        <v>206</v>
      </c>
      <c r="CB471" s="44"/>
      <c r="CH471" s="44"/>
      <c r="CV471" s="36" t="s">
        <v>435</v>
      </c>
      <c r="CW471" s="33"/>
      <c r="CX471" s="33"/>
      <c r="CY471" s="33"/>
    </row>
    <row r="472" spans="1:108">
      <c r="A472" s="31" t="s">
        <v>893</v>
      </c>
      <c r="B472" s="31" t="s">
        <v>205</v>
      </c>
      <c r="E472" s="31">
        <v>1</v>
      </c>
      <c r="F472" s="113" t="s">
        <v>890</v>
      </c>
      <c r="K472" s="31">
        <v>3</v>
      </c>
      <c r="L472" s="31">
        <v>-5</v>
      </c>
      <c r="S472" s="31">
        <v>5.2</v>
      </c>
      <c r="BR472" s="33"/>
      <c r="BS472" s="34"/>
      <c r="CA472" s="44" t="s">
        <v>206</v>
      </c>
      <c r="CB472" s="44"/>
      <c r="CH472" s="44"/>
      <c r="CV472" s="36" t="s">
        <v>435</v>
      </c>
      <c r="CW472" s="33"/>
      <c r="CX472" s="33"/>
      <c r="CY472" s="33"/>
    </row>
    <row r="473" spans="1:108" s="38" customFormat="1">
      <c r="A473" s="38" t="s">
        <v>894</v>
      </c>
      <c r="B473" s="38" t="s">
        <v>205</v>
      </c>
      <c r="E473" s="38">
        <v>1</v>
      </c>
      <c r="F473" s="38" t="str">
        <f t="shared" ref="F473" si="73">CONCATENATE("Dexterity ",ROUND(5+(((IF(J473="",CrossbowDamage,J473)+IF(J473="",CrossbowDamage,J473)+IF(K473="",CrossbowDamageRange,K473))/2-3)/(10-3))*5+($E473/3),0))</f>
        <v>Dexterity 7</v>
      </c>
      <c r="K473" s="38">
        <v>3</v>
      </c>
      <c r="L473" s="31">
        <v>-5</v>
      </c>
      <c r="S473" s="38">
        <v>5.3</v>
      </c>
      <c r="BS473" s="40"/>
      <c r="CA473" s="45" t="s">
        <v>206</v>
      </c>
      <c r="CB473" s="45"/>
      <c r="CC473" s="41"/>
      <c r="CD473" s="41"/>
      <c r="CE473" s="41"/>
      <c r="CF473" s="41"/>
      <c r="CH473" s="45"/>
      <c r="CV473" s="36" t="s">
        <v>715</v>
      </c>
    </row>
    <row r="474" spans="1:108">
      <c r="A474" s="31" t="s">
        <v>207</v>
      </c>
      <c r="B474" s="31" t="s">
        <v>205</v>
      </c>
      <c r="C474" s="37"/>
      <c r="E474" s="31">
        <v>1</v>
      </c>
      <c r="F474" s="31" t="str">
        <f t="shared" ref="F474:F490" si="74">CONCATENATE("Dexterity ",MIN(MAX(ROUND(SQRT((IF(J474="",CrossbowDamage,J474)+IF(J474="",CrossbowDamage,J474)+IF(K474="",CrossbowDamageRange,K474))*(E474/1.4))+1,0),5),15))</f>
        <v>Dexterity 5</v>
      </c>
      <c r="L474" s="31">
        <f t="shared" ref="L474:L489" si="75">-E474+5</f>
        <v>4</v>
      </c>
      <c r="BR474" s="33"/>
      <c r="BS474" s="34"/>
      <c r="CA474" s="44" t="s">
        <v>206</v>
      </c>
      <c r="CB474" s="44"/>
      <c r="CC474" s="43"/>
      <c r="CD474" s="43"/>
      <c r="CE474" s="43"/>
      <c r="CF474" s="43"/>
      <c r="CH474" s="44"/>
      <c r="CV474" s="36" t="s">
        <v>435</v>
      </c>
      <c r="CW474" s="33"/>
      <c r="CX474" s="33"/>
      <c r="CY474" s="33"/>
      <c r="CZ474" s="31" t="s">
        <v>206</v>
      </c>
      <c r="DA474" s="31">
        <v>1</v>
      </c>
      <c r="DB474" s="31">
        <v>1</v>
      </c>
      <c r="DC474" s="31">
        <v>1</v>
      </c>
    </row>
    <row r="475" spans="1:108">
      <c r="A475" s="31" t="s">
        <v>457</v>
      </c>
      <c r="B475" s="31" t="s">
        <v>205</v>
      </c>
      <c r="C475" s="37"/>
      <c r="E475" s="31">
        <v>2</v>
      </c>
      <c r="F475" s="31" t="str">
        <f t="shared" si="74"/>
        <v>Dexterity 5</v>
      </c>
      <c r="L475" s="31">
        <f t="shared" si="75"/>
        <v>3</v>
      </c>
      <c r="BR475" s="33"/>
      <c r="BS475" s="34"/>
      <c r="CA475" s="44" t="s">
        <v>206</v>
      </c>
      <c r="CB475" s="44"/>
      <c r="CH475" s="44"/>
      <c r="CV475" s="36" t="s">
        <v>435</v>
      </c>
      <c r="CW475" s="33"/>
      <c r="CX475" s="33"/>
      <c r="CY475" s="33"/>
      <c r="CZ475" s="31" t="s">
        <v>206</v>
      </c>
      <c r="DA475" s="31">
        <v>1</v>
      </c>
      <c r="DB475" s="31">
        <v>1</v>
      </c>
      <c r="DC475" s="31">
        <v>1</v>
      </c>
    </row>
    <row r="476" spans="1:108">
      <c r="A476" s="31" t="s">
        <v>208</v>
      </c>
      <c r="B476" s="31" t="s">
        <v>205</v>
      </c>
      <c r="E476" s="31">
        <v>3</v>
      </c>
      <c r="F476" s="31" t="str">
        <f t="shared" si="74"/>
        <v>Dexterity 6</v>
      </c>
      <c r="L476" s="31">
        <f t="shared" si="75"/>
        <v>2</v>
      </c>
      <c r="BR476" s="33"/>
      <c r="BS476" s="34"/>
      <c r="CA476" s="44" t="s">
        <v>206</v>
      </c>
      <c r="CB476" s="44"/>
      <c r="CH476" s="44"/>
      <c r="CV476" s="36" t="s">
        <v>1901</v>
      </c>
      <c r="CW476" s="33"/>
      <c r="CX476" s="33"/>
      <c r="CY476" s="33"/>
      <c r="CZ476" s="31" t="s">
        <v>206</v>
      </c>
      <c r="DA476" s="31">
        <v>1</v>
      </c>
      <c r="DB476" s="31">
        <v>1</v>
      </c>
      <c r="DC476" s="31">
        <v>1</v>
      </c>
    </row>
    <row r="477" spans="1:108">
      <c r="A477" s="31" t="s">
        <v>506</v>
      </c>
      <c r="B477" s="31" t="s">
        <v>205</v>
      </c>
      <c r="E477" s="31">
        <v>4</v>
      </c>
      <c r="F477" s="31" t="str">
        <f t="shared" si="74"/>
        <v>Dexterity 6</v>
      </c>
      <c r="L477" s="31">
        <f t="shared" si="75"/>
        <v>1</v>
      </c>
      <c r="BR477" s="33"/>
      <c r="BS477" s="34"/>
      <c r="CA477" s="44" t="s">
        <v>206</v>
      </c>
      <c r="CB477" s="44"/>
      <c r="CH477" s="44"/>
      <c r="CV477" s="36" t="s">
        <v>1901</v>
      </c>
      <c r="CW477" s="33"/>
      <c r="CX477" s="33"/>
      <c r="CY477" s="33"/>
      <c r="CZ477" s="31" t="s">
        <v>206</v>
      </c>
      <c r="DA477" s="31">
        <v>1</v>
      </c>
      <c r="DB477" s="31">
        <v>1</v>
      </c>
      <c r="DC477" s="31">
        <v>1</v>
      </c>
    </row>
    <row r="478" spans="1:108">
      <c r="A478" s="31" t="s">
        <v>209</v>
      </c>
      <c r="B478" s="31" t="s">
        <v>205</v>
      </c>
      <c r="C478" s="37"/>
      <c r="E478" s="31">
        <v>5</v>
      </c>
      <c r="F478" s="31" t="str">
        <f t="shared" si="74"/>
        <v>Dexterity 7</v>
      </c>
      <c r="L478" s="31">
        <f t="shared" si="75"/>
        <v>0</v>
      </c>
      <c r="BR478" s="33"/>
      <c r="BS478" s="34"/>
      <c r="CA478" s="44" t="s">
        <v>206</v>
      </c>
      <c r="CB478" s="44"/>
      <c r="CH478" s="44"/>
      <c r="CV478" s="36" t="s">
        <v>1902</v>
      </c>
      <c r="CW478" s="33"/>
      <c r="CX478" s="33"/>
      <c r="CY478" s="33"/>
      <c r="CZ478" s="31" t="s">
        <v>206</v>
      </c>
      <c r="DA478" s="31">
        <v>1</v>
      </c>
      <c r="DB478" s="31">
        <v>1</v>
      </c>
      <c r="DC478" s="31">
        <v>1</v>
      </c>
    </row>
    <row r="479" spans="1:108">
      <c r="A479" s="31" t="s">
        <v>507</v>
      </c>
      <c r="B479" s="31" t="s">
        <v>205</v>
      </c>
      <c r="C479" s="37"/>
      <c r="E479" s="31">
        <v>6</v>
      </c>
      <c r="F479" s="31" t="str">
        <f t="shared" si="74"/>
        <v>Dexterity 8</v>
      </c>
      <c r="L479" s="31">
        <f t="shared" si="75"/>
        <v>-1</v>
      </c>
      <c r="BR479" s="33"/>
      <c r="BS479" s="34"/>
      <c r="CA479" s="44" t="s">
        <v>206</v>
      </c>
      <c r="CB479" s="44"/>
      <c r="CH479" s="44"/>
      <c r="CV479" s="36" t="s">
        <v>1902</v>
      </c>
      <c r="CW479" s="33"/>
      <c r="CX479" s="33"/>
      <c r="CY479" s="33"/>
      <c r="CZ479" s="31" t="s">
        <v>206</v>
      </c>
      <c r="DA479" s="31">
        <v>1</v>
      </c>
      <c r="DB479" s="31">
        <v>1</v>
      </c>
      <c r="DC479" s="31">
        <v>1</v>
      </c>
    </row>
    <row r="480" spans="1:108" s="27" customFormat="1">
      <c r="A480" s="31" t="s">
        <v>210</v>
      </c>
      <c r="B480" s="31" t="s">
        <v>205</v>
      </c>
      <c r="C480" s="37"/>
      <c r="D480" s="31"/>
      <c r="E480" s="31">
        <v>8</v>
      </c>
      <c r="F480" s="31" t="str">
        <f t="shared" si="74"/>
        <v>Dexterity 9</v>
      </c>
      <c r="G480" s="31"/>
      <c r="H480" s="31"/>
      <c r="I480" s="31"/>
      <c r="J480" s="31"/>
      <c r="K480" s="31"/>
      <c r="L480" s="31">
        <f t="shared" si="75"/>
        <v>-3</v>
      </c>
      <c r="M480" s="31"/>
      <c r="N480" s="31"/>
      <c r="O480" s="31"/>
      <c r="P480" s="31"/>
      <c r="Q480" s="31"/>
      <c r="R480" s="31"/>
      <c r="S480" s="31"/>
      <c r="T480" s="31"/>
      <c r="U480" s="31"/>
      <c r="V480" s="31"/>
      <c r="W480" s="31"/>
      <c r="X480" s="31"/>
      <c r="Y480" s="31"/>
      <c r="Z480" s="31"/>
      <c r="AA480" s="31"/>
      <c r="AB480" s="31"/>
      <c r="AC480" s="31"/>
      <c r="AD480" s="31"/>
      <c r="AE480" s="31"/>
      <c r="AF480" s="31"/>
      <c r="AG480" s="31"/>
      <c r="AH480" s="31"/>
      <c r="AI480" s="31"/>
      <c r="AJ480" s="31"/>
      <c r="AK480" s="31"/>
      <c r="AL480" s="31"/>
      <c r="AM480" s="31"/>
      <c r="AN480" s="31"/>
      <c r="AO480" s="31"/>
      <c r="AP480" s="31"/>
      <c r="AQ480" s="31"/>
      <c r="AR480" s="31"/>
      <c r="AS480" s="31"/>
      <c r="AT480" s="31"/>
      <c r="AU480" s="31"/>
      <c r="AV480" s="31"/>
      <c r="AW480" s="31"/>
      <c r="AX480" s="31"/>
      <c r="AY480" s="31"/>
      <c r="AZ480" s="31"/>
      <c r="BA480" s="31"/>
      <c r="BB480" s="31"/>
      <c r="BC480" s="31"/>
      <c r="BD480" s="31"/>
      <c r="BE480" s="31"/>
      <c r="BF480" s="31"/>
      <c r="BG480" s="31"/>
      <c r="BH480" s="31"/>
      <c r="BI480" s="31"/>
      <c r="BJ480" s="31"/>
      <c r="BK480" s="31"/>
      <c r="BL480" s="31"/>
      <c r="BM480" s="31"/>
      <c r="BN480" s="31"/>
      <c r="BO480" s="31"/>
      <c r="BP480" s="31"/>
      <c r="BQ480" s="31"/>
      <c r="BR480" s="33"/>
      <c r="BS480" s="34"/>
      <c r="BT480" s="31"/>
      <c r="BU480" s="31"/>
      <c r="BV480" s="31"/>
      <c r="BW480" s="31"/>
      <c r="BX480" s="31"/>
      <c r="BY480" s="31"/>
      <c r="BZ480" s="31"/>
      <c r="CA480" s="44" t="s">
        <v>206</v>
      </c>
      <c r="CB480" s="44"/>
      <c r="CC480" s="35"/>
      <c r="CD480" s="35"/>
      <c r="CE480" s="35"/>
      <c r="CF480" s="35"/>
      <c r="CG480" s="31"/>
      <c r="CH480" s="44"/>
      <c r="CI480" s="31"/>
      <c r="CJ480" s="31"/>
      <c r="CK480" s="31"/>
      <c r="CL480" s="31"/>
      <c r="CM480" s="31"/>
      <c r="CN480" s="31"/>
      <c r="CO480" s="31"/>
      <c r="CP480" s="31"/>
      <c r="CQ480" s="31"/>
      <c r="CR480" s="31"/>
      <c r="CS480" s="31"/>
      <c r="CT480" s="31"/>
      <c r="CU480" s="31"/>
      <c r="CV480" s="36" t="s">
        <v>1902</v>
      </c>
      <c r="CW480" s="33"/>
      <c r="CX480" s="33"/>
      <c r="CY480" s="33"/>
      <c r="CZ480" s="31" t="s">
        <v>206</v>
      </c>
      <c r="DA480" s="31">
        <v>1</v>
      </c>
      <c r="DB480" s="31">
        <v>1</v>
      </c>
      <c r="DC480" s="31">
        <v>1</v>
      </c>
      <c r="DD480" s="31"/>
    </row>
    <row r="481" spans="1:108" s="27" customFormat="1">
      <c r="A481" s="31" t="s">
        <v>508</v>
      </c>
      <c r="B481" s="31" t="s">
        <v>205</v>
      </c>
      <c r="C481" s="37"/>
      <c r="D481" s="31"/>
      <c r="E481" s="31">
        <v>9</v>
      </c>
      <c r="F481" s="31" t="str">
        <f t="shared" si="74"/>
        <v>Dexterity 9</v>
      </c>
      <c r="G481" s="31"/>
      <c r="H481" s="31"/>
      <c r="I481" s="31"/>
      <c r="J481" s="31"/>
      <c r="K481" s="31"/>
      <c r="L481" s="31">
        <f t="shared" si="75"/>
        <v>-4</v>
      </c>
      <c r="M481" s="31"/>
      <c r="N481" s="31"/>
      <c r="O481" s="31"/>
      <c r="P481" s="31"/>
      <c r="Q481" s="31"/>
      <c r="R481" s="31"/>
      <c r="S481" s="31"/>
      <c r="T481" s="31"/>
      <c r="U481" s="31"/>
      <c r="V481" s="31"/>
      <c r="W481" s="31"/>
      <c r="X481" s="31"/>
      <c r="Y481" s="31"/>
      <c r="Z481" s="31"/>
      <c r="AA481" s="31"/>
      <c r="AB481" s="31"/>
      <c r="AC481" s="31"/>
      <c r="AD481" s="31"/>
      <c r="AE481" s="31"/>
      <c r="AF481" s="31"/>
      <c r="AG481" s="31"/>
      <c r="AH481" s="31"/>
      <c r="AI481" s="31"/>
      <c r="AJ481" s="31"/>
      <c r="AK481" s="31"/>
      <c r="AL481" s="31"/>
      <c r="AM481" s="31"/>
      <c r="AN481" s="31"/>
      <c r="AO481" s="31"/>
      <c r="AP481" s="31"/>
      <c r="AQ481" s="31"/>
      <c r="AR481" s="31"/>
      <c r="AS481" s="31"/>
      <c r="AT481" s="31"/>
      <c r="AU481" s="31"/>
      <c r="AV481" s="31"/>
      <c r="AW481" s="31"/>
      <c r="AX481" s="31"/>
      <c r="AY481" s="31"/>
      <c r="AZ481" s="31"/>
      <c r="BA481" s="31"/>
      <c r="BB481" s="31"/>
      <c r="BC481" s="31"/>
      <c r="BD481" s="31"/>
      <c r="BE481" s="31"/>
      <c r="BF481" s="31"/>
      <c r="BG481" s="31"/>
      <c r="BH481" s="31"/>
      <c r="BI481" s="31"/>
      <c r="BJ481" s="31"/>
      <c r="BK481" s="31"/>
      <c r="BL481" s="31"/>
      <c r="BM481" s="31"/>
      <c r="BN481" s="31"/>
      <c r="BO481" s="31"/>
      <c r="BP481" s="31"/>
      <c r="BQ481" s="31"/>
      <c r="BR481" s="33"/>
      <c r="BS481" s="34"/>
      <c r="BT481" s="31"/>
      <c r="BU481" s="31"/>
      <c r="BV481" s="31"/>
      <c r="BW481" s="31"/>
      <c r="BX481" s="31"/>
      <c r="BY481" s="31"/>
      <c r="BZ481" s="31"/>
      <c r="CA481" s="44" t="s">
        <v>206</v>
      </c>
      <c r="CB481" s="44"/>
      <c r="CC481" s="35"/>
      <c r="CD481" s="35"/>
      <c r="CE481" s="35"/>
      <c r="CF481" s="35"/>
      <c r="CG481" s="31"/>
      <c r="CH481" s="44"/>
      <c r="CI481" s="31"/>
      <c r="CJ481" s="31"/>
      <c r="CK481" s="31"/>
      <c r="CL481" s="31"/>
      <c r="CM481" s="31"/>
      <c r="CN481" s="31"/>
      <c r="CO481" s="31"/>
      <c r="CP481" s="31"/>
      <c r="CQ481" s="31"/>
      <c r="CR481" s="31"/>
      <c r="CS481" s="31"/>
      <c r="CT481" s="31"/>
      <c r="CU481" s="31"/>
      <c r="CV481" s="36" t="s">
        <v>1902</v>
      </c>
      <c r="CW481" s="33"/>
      <c r="CX481" s="33"/>
      <c r="CY481" s="33"/>
      <c r="CZ481" s="31" t="s">
        <v>206</v>
      </c>
      <c r="DA481" s="31">
        <v>1</v>
      </c>
      <c r="DB481" s="31">
        <v>1</v>
      </c>
      <c r="DC481" s="31">
        <v>1</v>
      </c>
      <c r="DD481" s="31"/>
    </row>
    <row r="482" spans="1:108">
      <c r="A482" s="31" t="s">
        <v>211</v>
      </c>
      <c r="B482" s="31" t="s">
        <v>205</v>
      </c>
      <c r="C482" s="37"/>
      <c r="E482" s="31">
        <v>10</v>
      </c>
      <c r="F482" s="31" t="str">
        <f t="shared" si="74"/>
        <v>Dexterity 9</v>
      </c>
      <c r="L482" s="31">
        <f t="shared" si="75"/>
        <v>-5</v>
      </c>
      <c r="BR482" s="33"/>
      <c r="BS482" s="34"/>
      <c r="CA482" s="44" t="s">
        <v>206</v>
      </c>
      <c r="CB482" s="44"/>
      <c r="CH482" s="44"/>
      <c r="CV482" s="36" t="s">
        <v>715</v>
      </c>
      <c r="CW482" s="33"/>
      <c r="CX482" s="33"/>
      <c r="CY482" s="33"/>
      <c r="CZ482" s="31" t="s">
        <v>206</v>
      </c>
      <c r="DA482" s="31">
        <v>1</v>
      </c>
      <c r="DB482" s="31">
        <v>1</v>
      </c>
      <c r="DC482" s="31">
        <v>1</v>
      </c>
    </row>
    <row r="483" spans="1:108">
      <c r="A483" s="31" t="s">
        <v>509</v>
      </c>
      <c r="B483" s="31" t="s">
        <v>205</v>
      </c>
      <c r="C483" s="37"/>
      <c r="E483" s="31">
        <v>12</v>
      </c>
      <c r="F483" s="31" t="str">
        <f t="shared" si="74"/>
        <v>Dexterity 10</v>
      </c>
      <c r="L483" s="31">
        <f t="shared" si="75"/>
        <v>-7</v>
      </c>
      <c r="BR483" s="33"/>
      <c r="BS483" s="34"/>
      <c r="CA483" s="44" t="s">
        <v>206</v>
      </c>
      <c r="CB483" s="44"/>
      <c r="CH483" s="44"/>
      <c r="CV483" s="36" t="s">
        <v>715</v>
      </c>
      <c r="CW483" s="33"/>
      <c r="CX483" s="33"/>
      <c r="CY483" s="33"/>
      <c r="CZ483" s="31" t="s">
        <v>206</v>
      </c>
      <c r="DA483" s="31">
        <v>1</v>
      </c>
      <c r="DB483" s="31">
        <v>1</v>
      </c>
      <c r="DC483" s="31">
        <v>1</v>
      </c>
    </row>
    <row r="484" spans="1:108">
      <c r="A484" s="31" t="s">
        <v>510</v>
      </c>
      <c r="B484" s="31" t="s">
        <v>205</v>
      </c>
      <c r="C484" s="37"/>
      <c r="E484" s="31">
        <v>13</v>
      </c>
      <c r="F484" s="31" t="str">
        <f t="shared" si="74"/>
        <v>Dexterity 11</v>
      </c>
      <c r="L484" s="31">
        <f t="shared" si="75"/>
        <v>-8</v>
      </c>
      <c r="BR484" s="33"/>
      <c r="BS484" s="34"/>
      <c r="CA484" s="44" t="s">
        <v>206</v>
      </c>
      <c r="CB484" s="44"/>
      <c r="CH484" s="44"/>
      <c r="CV484" s="36" t="s">
        <v>715</v>
      </c>
      <c r="CW484" s="33"/>
      <c r="CX484" s="33"/>
      <c r="CY484" s="33"/>
      <c r="CZ484" s="31" t="s">
        <v>206</v>
      </c>
      <c r="DA484" s="31">
        <v>1</v>
      </c>
      <c r="DB484" s="31">
        <v>1</v>
      </c>
      <c r="DC484" s="31">
        <v>1</v>
      </c>
    </row>
    <row r="485" spans="1:108">
      <c r="A485" s="31" t="s">
        <v>1132</v>
      </c>
      <c r="B485" s="31" t="s">
        <v>205</v>
      </c>
      <c r="C485" s="37"/>
      <c r="E485" s="31">
        <v>14</v>
      </c>
      <c r="F485" s="31" t="str">
        <f t="shared" si="74"/>
        <v>Dexterity 11</v>
      </c>
      <c r="L485" s="31">
        <f t="shared" si="75"/>
        <v>-9</v>
      </c>
      <c r="BR485" s="33"/>
      <c r="BS485" s="34"/>
      <c r="CA485" s="44" t="s">
        <v>206</v>
      </c>
      <c r="CB485" s="44"/>
      <c r="CH485" s="44"/>
      <c r="CV485" s="36" t="s">
        <v>1903</v>
      </c>
      <c r="CW485" s="33"/>
      <c r="CX485" s="33"/>
      <c r="CY485" s="33"/>
      <c r="CZ485" s="31" t="s">
        <v>206</v>
      </c>
      <c r="DA485" s="31">
        <v>1</v>
      </c>
      <c r="DB485" s="31">
        <v>1</v>
      </c>
      <c r="DC485" s="31">
        <v>1</v>
      </c>
    </row>
    <row r="486" spans="1:108">
      <c r="A486" s="31" t="s">
        <v>1133</v>
      </c>
      <c r="B486" s="31" t="s">
        <v>205</v>
      </c>
      <c r="C486" s="37"/>
      <c r="E486" s="31">
        <v>15</v>
      </c>
      <c r="F486" s="31" t="str">
        <f t="shared" si="74"/>
        <v>Dexterity 11</v>
      </c>
      <c r="L486" s="31">
        <f t="shared" si="75"/>
        <v>-10</v>
      </c>
      <c r="BR486" s="33"/>
      <c r="BS486" s="34"/>
      <c r="CA486" s="44" t="s">
        <v>206</v>
      </c>
      <c r="CB486" s="44"/>
      <c r="CH486" s="44"/>
      <c r="CV486" s="36" t="s">
        <v>1903</v>
      </c>
      <c r="CW486" s="33"/>
      <c r="CX486" s="33"/>
      <c r="CY486" s="33"/>
      <c r="CZ486" s="31" t="s">
        <v>206</v>
      </c>
      <c r="DA486" s="31">
        <v>1</v>
      </c>
      <c r="DB486" s="31">
        <v>1</v>
      </c>
      <c r="DC486" s="31">
        <v>1</v>
      </c>
    </row>
    <row r="487" spans="1:108">
      <c r="A487" s="31" t="s">
        <v>1134</v>
      </c>
      <c r="B487" s="31" t="s">
        <v>205</v>
      </c>
      <c r="C487" s="37"/>
      <c r="E487" s="31">
        <v>16</v>
      </c>
      <c r="F487" s="31" t="str">
        <f t="shared" si="74"/>
        <v>Dexterity 12</v>
      </c>
      <c r="L487" s="31">
        <f t="shared" si="75"/>
        <v>-11</v>
      </c>
      <c r="BR487" s="33"/>
      <c r="BS487" s="34"/>
      <c r="CA487" s="44" t="s">
        <v>206</v>
      </c>
      <c r="CB487" s="44"/>
      <c r="CH487" s="44"/>
      <c r="CV487" s="36" t="s">
        <v>1903</v>
      </c>
      <c r="CW487" s="33"/>
      <c r="CX487" s="33"/>
      <c r="CY487" s="33"/>
      <c r="CZ487" s="31" t="s">
        <v>206</v>
      </c>
      <c r="DA487" s="31">
        <v>1</v>
      </c>
      <c r="DB487" s="31">
        <v>1</v>
      </c>
      <c r="DC487" s="31">
        <v>1</v>
      </c>
    </row>
    <row r="488" spans="1:108">
      <c r="A488" s="31" t="s">
        <v>1135</v>
      </c>
      <c r="B488" s="31" t="s">
        <v>205</v>
      </c>
      <c r="C488" s="37"/>
      <c r="E488" s="31">
        <v>17</v>
      </c>
      <c r="F488" s="31" t="str">
        <f t="shared" si="74"/>
        <v>Dexterity 12</v>
      </c>
      <c r="L488" s="31">
        <f t="shared" si="75"/>
        <v>-12</v>
      </c>
      <c r="BR488" s="33"/>
      <c r="BS488" s="34"/>
      <c r="CA488" s="44" t="s">
        <v>206</v>
      </c>
      <c r="CB488" s="44"/>
      <c r="CH488" s="44"/>
      <c r="CV488" s="36" t="s">
        <v>1904</v>
      </c>
      <c r="CW488" s="33"/>
      <c r="CX488" s="33"/>
      <c r="CY488" s="33"/>
      <c r="CZ488" s="31" t="s">
        <v>206</v>
      </c>
      <c r="DA488" s="31">
        <v>1</v>
      </c>
      <c r="DB488" s="31">
        <v>1</v>
      </c>
      <c r="DC488" s="31">
        <v>1</v>
      </c>
    </row>
    <row r="489" spans="1:108">
      <c r="A489" s="31" t="s">
        <v>1136</v>
      </c>
      <c r="B489" s="31" t="s">
        <v>205</v>
      </c>
      <c r="C489" s="37"/>
      <c r="E489" s="31">
        <v>18</v>
      </c>
      <c r="F489" s="31" t="str">
        <f t="shared" si="74"/>
        <v>Dexterity 12</v>
      </c>
      <c r="L489" s="31">
        <f t="shared" si="75"/>
        <v>-13</v>
      </c>
      <c r="BR489" s="33"/>
      <c r="BS489" s="34"/>
      <c r="CA489" s="44" t="s">
        <v>206</v>
      </c>
      <c r="CB489" s="44"/>
      <c r="CH489" s="44"/>
      <c r="CV489" s="36" t="s">
        <v>1904</v>
      </c>
      <c r="CW489" s="33"/>
      <c r="CX489" s="33"/>
      <c r="CY489" s="33"/>
      <c r="CZ489" s="31" t="s">
        <v>206</v>
      </c>
      <c r="DA489" s="31">
        <v>1</v>
      </c>
      <c r="DB489" s="31">
        <v>1</v>
      </c>
      <c r="DC489" s="31">
        <v>1</v>
      </c>
    </row>
    <row r="490" spans="1:108">
      <c r="A490" s="31" t="s">
        <v>1137</v>
      </c>
      <c r="B490" s="31" t="s">
        <v>205</v>
      </c>
      <c r="C490" s="37"/>
      <c r="E490" s="31">
        <v>20</v>
      </c>
      <c r="F490" s="31" t="str">
        <f t="shared" si="74"/>
        <v>Dexterity 13</v>
      </c>
      <c r="L490" s="31">
        <f>-E490+5</f>
        <v>-15</v>
      </c>
      <c r="BR490" s="33"/>
      <c r="BS490" s="34"/>
      <c r="CA490" s="44" t="s">
        <v>206</v>
      </c>
      <c r="CB490" s="44"/>
      <c r="CH490" s="44"/>
      <c r="CV490" s="36" t="s">
        <v>1904</v>
      </c>
      <c r="CW490" s="33"/>
      <c r="CX490" s="33"/>
      <c r="CY490" s="33"/>
      <c r="CZ490" s="31" t="s">
        <v>206</v>
      </c>
      <c r="DA490" s="31">
        <v>1</v>
      </c>
      <c r="DB490" s="31">
        <v>1</v>
      </c>
      <c r="DC490" s="31">
        <v>1</v>
      </c>
    </row>
    <row r="491" spans="1:108">
      <c r="A491" s="31" t="s">
        <v>1362</v>
      </c>
      <c r="B491" s="31" t="s">
        <v>205</v>
      </c>
      <c r="C491" s="37"/>
      <c r="E491" s="31">
        <v>14</v>
      </c>
      <c r="F491" s="31" t="str">
        <f>CONCATENATE("Dexterity ",MIN(MAX(ROUND(SQRT((IF(J491="",CrossbowDamage,J491)+IF(J491="",CrossbowDamage,J491)+IF(K491="",CrossbowDamageRange,K491))*(E491/1.4))+1,0),5),15),";Blackrock 1")</f>
        <v>Dexterity 11;Blackrock 1</v>
      </c>
      <c r="L491" s="31">
        <v>-5</v>
      </c>
      <c r="Q491" s="31">
        <v>10</v>
      </c>
      <c r="S491" s="31">
        <v>7.2</v>
      </c>
      <c r="T491" s="31">
        <v>1000</v>
      </c>
      <c r="BR491" s="33"/>
      <c r="BS491" s="34"/>
      <c r="CA491" s="44"/>
      <c r="CB491" s="44"/>
      <c r="CF491" s="35" t="s">
        <v>1296</v>
      </c>
      <c r="CH491" s="44"/>
      <c r="CV491" s="36" t="s">
        <v>1361</v>
      </c>
      <c r="CW491" s="33"/>
      <c r="CX491" s="33"/>
      <c r="CY491" s="33"/>
      <c r="CZ491" s="113" t="s">
        <v>1428</v>
      </c>
      <c r="DA491" s="31">
        <v>1</v>
      </c>
      <c r="DB491" s="31">
        <v>1</v>
      </c>
      <c r="DC491" s="31">
        <v>1</v>
      </c>
    </row>
    <row r="492" spans="1:108">
      <c r="A492" s="113" t="s">
        <v>1363</v>
      </c>
      <c r="B492" s="31" t="s">
        <v>205</v>
      </c>
      <c r="C492" s="37"/>
      <c r="E492" s="31">
        <v>15</v>
      </c>
      <c r="F492" s="31" t="str">
        <f>CONCATENATE("Dexterity ",MIN(MAX(ROUND(SQRT((IF(J492="",CrossbowDamage,J492)+IF(J492="",CrossbowDamage,J492)+IF(K492="",CrossbowDamageRange,K492))*(E492/1.4))+1,0),5),15),";Blackrock 1")</f>
        <v>Dexterity 11;Blackrock 1</v>
      </c>
      <c r="L492" s="31">
        <v>-10</v>
      </c>
      <c r="Q492" s="31">
        <v>10</v>
      </c>
      <c r="S492" s="31">
        <v>7.2</v>
      </c>
      <c r="T492" s="31">
        <v>1000</v>
      </c>
      <c r="BR492" s="33"/>
      <c r="BS492" s="34"/>
      <c r="CA492" s="44"/>
      <c r="CB492" s="44"/>
      <c r="CF492" s="35" t="s">
        <v>1296</v>
      </c>
      <c r="CH492" s="44"/>
      <c r="CV492" s="36" t="s">
        <v>1361</v>
      </c>
      <c r="CW492" s="33"/>
      <c r="CX492" s="33"/>
      <c r="CY492" s="33"/>
      <c r="CZ492" s="113" t="s">
        <v>1428</v>
      </c>
      <c r="DA492" s="31">
        <v>1</v>
      </c>
      <c r="DB492" s="31">
        <v>1</v>
      </c>
      <c r="DC492" s="31">
        <v>1</v>
      </c>
    </row>
    <row r="493" spans="1:108">
      <c r="A493" s="113" t="s">
        <v>1364</v>
      </c>
      <c r="B493" s="31" t="s">
        <v>205</v>
      </c>
      <c r="C493" s="37"/>
      <c r="E493" s="31">
        <v>16</v>
      </c>
      <c r="F493" s="31" t="str">
        <f>CONCATENATE("Dexterity ",MIN(MAX(ROUND(SQRT((IF(J493="",CrossbowDamage,J493)+IF(J493="",CrossbowDamage,J493)+IF(K493="",CrossbowDamageRange,K493))*(E493/1.4))+1,0),5),15),";Blackrock 2")</f>
        <v>Dexterity 12;Blackrock 2</v>
      </c>
      <c r="L493" s="31">
        <v>-10</v>
      </c>
      <c r="Q493" s="31">
        <v>10</v>
      </c>
      <c r="S493" s="31">
        <v>7.2</v>
      </c>
      <c r="T493" s="31">
        <v>1000</v>
      </c>
      <c r="BR493" s="33"/>
      <c r="BS493" s="34"/>
      <c r="CA493" s="44"/>
      <c r="CB493" s="44"/>
      <c r="CF493" s="35" t="s">
        <v>1296</v>
      </c>
      <c r="CH493" s="44"/>
      <c r="CV493" s="36" t="s">
        <v>1361</v>
      </c>
      <c r="CW493" s="33"/>
      <c r="CX493" s="33"/>
      <c r="CY493" s="33"/>
      <c r="CZ493" s="113" t="s">
        <v>1428</v>
      </c>
      <c r="DA493" s="31">
        <v>1</v>
      </c>
      <c r="DB493" s="31">
        <v>1</v>
      </c>
      <c r="DC493" s="31">
        <v>1</v>
      </c>
    </row>
    <row r="494" spans="1:108">
      <c r="A494" s="113" t="s">
        <v>1365</v>
      </c>
      <c r="B494" s="31" t="s">
        <v>205</v>
      </c>
      <c r="C494" s="37"/>
      <c r="E494" s="31">
        <v>17</v>
      </c>
      <c r="F494" s="31" t="str">
        <f>CONCATENATE("Dexterity ",MIN(MAX(ROUND(SQRT((IF(J494="",CrossbowDamage,J494)+IF(J494="",CrossbowDamage,J494)+IF(K494="",CrossbowDamageRange,K494))*(E494/1.4))+1,0),5),15),";Blackrock 2")</f>
        <v>Dexterity 12;Blackrock 2</v>
      </c>
      <c r="L494" s="31">
        <v>-10</v>
      </c>
      <c r="Q494" s="31">
        <v>10</v>
      </c>
      <c r="S494" s="31">
        <v>7.2</v>
      </c>
      <c r="T494" s="31">
        <v>1000</v>
      </c>
      <c r="BR494" s="33"/>
      <c r="BS494" s="34"/>
      <c r="CA494" s="44"/>
      <c r="CB494" s="44"/>
      <c r="CF494" s="35" t="s">
        <v>1296</v>
      </c>
      <c r="CH494" s="44"/>
      <c r="CV494" s="36" t="s">
        <v>1361</v>
      </c>
      <c r="CW494" s="33"/>
      <c r="CX494" s="33"/>
      <c r="CY494" s="33"/>
      <c r="CZ494" s="113" t="s">
        <v>1428</v>
      </c>
      <c r="DA494" s="31">
        <v>1</v>
      </c>
      <c r="DB494" s="31">
        <v>1</v>
      </c>
      <c r="DC494" s="31">
        <v>1</v>
      </c>
    </row>
    <row r="495" spans="1:108">
      <c r="A495" s="113" t="s">
        <v>1366</v>
      </c>
      <c r="B495" s="31" t="s">
        <v>205</v>
      </c>
      <c r="C495" s="37"/>
      <c r="E495" s="31">
        <v>18</v>
      </c>
      <c r="F495" s="31" t="str">
        <f>CONCATENATE("Dexterity ",MIN(MAX(ROUND(SQRT((IF(J495="",CrossbowDamage,J495)+IF(J495="",CrossbowDamage,J495)+IF(K495="",CrossbowDamageRange,K495))*(E495/1.4))+1,0),5),15),";Blackrock 2")</f>
        <v>Dexterity 12;Blackrock 2</v>
      </c>
      <c r="L495" s="31">
        <v>-10</v>
      </c>
      <c r="Q495" s="31">
        <v>10</v>
      </c>
      <c r="S495" s="31">
        <v>7.2</v>
      </c>
      <c r="T495" s="31">
        <v>1000</v>
      </c>
      <c r="BR495" s="33"/>
      <c r="BS495" s="34"/>
      <c r="CA495" s="44"/>
      <c r="CB495" s="44"/>
      <c r="CF495" s="35" t="s">
        <v>1296</v>
      </c>
      <c r="CH495" s="44"/>
      <c r="CV495" s="36" t="s">
        <v>1361</v>
      </c>
      <c r="CW495" s="33"/>
      <c r="CX495" s="33"/>
      <c r="CY495" s="33"/>
      <c r="CZ495" s="113" t="s">
        <v>1428</v>
      </c>
      <c r="DA495" s="31">
        <v>1</v>
      </c>
      <c r="DB495" s="31">
        <v>1</v>
      </c>
      <c r="DC495" s="31">
        <v>1</v>
      </c>
    </row>
    <row r="496" spans="1:108">
      <c r="A496" s="113" t="s">
        <v>1367</v>
      </c>
      <c r="B496" s="31" t="s">
        <v>205</v>
      </c>
      <c r="C496" s="37"/>
      <c r="E496" s="31">
        <v>19</v>
      </c>
      <c r="F496" s="31" t="str">
        <f>CONCATENATE("Dexterity ",MIN(MAX(ROUND(SQRT((IF(J496="",CrossbowDamage,J496)+IF(J496="",CrossbowDamage,J496)+IF(K496="",CrossbowDamageRange,K496))*(E496/1.4))+1,0),5),15),";Blackrock 3")</f>
        <v>Dexterity 13;Blackrock 3</v>
      </c>
      <c r="L496" s="31">
        <v>-10</v>
      </c>
      <c r="Q496" s="31">
        <v>10</v>
      </c>
      <c r="S496" s="31">
        <v>7.2</v>
      </c>
      <c r="T496" s="31">
        <v>1000</v>
      </c>
      <c r="BR496" s="33"/>
      <c r="BS496" s="34"/>
      <c r="CA496" s="44"/>
      <c r="CB496" s="44"/>
      <c r="CF496" s="35" t="s">
        <v>1296</v>
      </c>
      <c r="CH496" s="44"/>
      <c r="CV496" s="36" t="s">
        <v>1361</v>
      </c>
      <c r="CW496" s="33"/>
      <c r="CX496" s="33"/>
      <c r="CY496" s="33"/>
      <c r="CZ496" s="113" t="s">
        <v>1428</v>
      </c>
      <c r="DA496" s="31">
        <v>1</v>
      </c>
      <c r="DB496" s="31">
        <v>1</v>
      </c>
      <c r="DC496" s="31">
        <v>1</v>
      </c>
    </row>
    <row r="497" spans="1:108">
      <c r="A497" s="113" t="s">
        <v>1368</v>
      </c>
      <c r="B497" s="31" t="s">
        <v>205</v>
      </c>
      <c r="C497" s="37"/>
      <c r="E497" s="31">
        <v>20</v>
      </c>
      <c r="F497" s="31" t="str">
        <f>CONCATENATE("Dexterity ",MIN(MAX(ROUND(SQRT((IF(J497="",CrossbowDamage,J497)+IF(J497="",CrossbowDamage,J497)+IF(K497="",CrossbowDamageRange,K497))*(E497/1.4))+1,0),5),15),";Blackrock 3")</f>
        <v>Dexterity 13;Blackrock 3</v>
      </c>
      <c r="L497" s="31">
        <v>-10</v>
      </c>
      <c r="Q497" s="31">
        <v>10</v>
      </c>
      <c r="S497" s="31">
        <v>7.2</v>
      </c>
      <c r="T497" s="31">
        <v>1000</v>
      </c>
      <c r="BR497" s="33"/>
      <c r="BS497" s="34"/>
      <c r="CA497" s="44"/>
      <c r="CB497" s="44"/>
      <c r="CF497" s="35" t="s">
        <v>1296</v>
      </c>
      <c r="CH497" s="44"/>
      <c r="CV497" s="36" t="s">
        <v>1361</v>
      </c>
      <c r="CW497" s="33"/>
      <c r="CX497" s="33"/>
      <c r="CY497" s="33"/>
      <c r="CZ497" s="113" t="s">
        <v>1428</v>
      </c>
      <c r="DA497" s="31">
        <v>1</v>
      </c>
      <c r="DB497" s="31">
        <v>1</v>
      </c>
      <c r="DC497" s="31">
        <v>1</v>
      </c>
    </row>
    <row r="498" spans="1:108" s="27" customFormat="1">
      <c r="A498" s="27" t="s">
        <v>1481</v>
      </c>
      <c r="C498" s="27" t="s">
        <v>73</v>
      </c>
      <c r="D498" s="27">
        <v>1</v>
      </c>
      <c r="F498" s="27" t="s">
        <v>731</v>
      </c>
      <c r="G498" s="27" t="s">
        <v>607</v>
      </c>
      <c r="H498" s="27">
        <v>3</v>
      </c>
      <c r="I498" s="27" t="s">
        <v>219</v>
      </c>
      <c r="J498" s="27">
        <v>2</v>
      </c>
      <c r="K498" s="27">
        <v>1</v>
      </c>
      <c r="N498" s="27">
        <v>2</v>
      </c>
      <c r="O498" s="27">
        <v>0</v>
      </c>
      <c r="P498" s="27">
        <v>4</v>
      </c>
      <c r="Q498" s="27">
        <v>5</v>
      </c>
      <c r="R498" s="27">
        <v>10</v>
      </c>
      <c r="S498" s="27">
        <v>6</v>
      </c>
      <c r="T498" s="27">
        <v>500</v>
      </c>
      <c r="U498" s="27">
        <v>0</v>
      </c>
      <c r="W498" s="27" t="s">
        <v>212</v>
      </c>
      <c r="Y498" s="27" t="s">
        <v>76</v>
      </c>
      <c r="CG498" s="27" t="s">
        <v>730</v>
      </c>
      <c r="CH498" s="27">
        <v>0</v>
      </c>
      <c r="DD498" s="27">
        <v>0</v>
      </c>
    </row>
    <row r="499" spans="1:108">
      <c r="A499" s="113" t="s">
        <v>1482</v>
      </c>
      <c r="B499" s="113" t="s">
        <v>1481</v>
      </c>
      <c r="C499" s="37"/>
      <c r="E499" s="31">
        <v>1</v>
      </c>
      <c r="F499" s="31" t="str">
        <f t="shared" ref="F499:F542" si="76">CONCATENATE("Intelligence ",MIN(MAX(ROUND(SQRT((IF(J499="",WandDamage,J499)+IF(J499="",WandDamage,J499)+IF(K499="",WandDamageRange,K499))*(E499/1.4))+1,0),5),15))</f>
        <v>Intelligence 5</v>
      </c>
      <c r="I499" s="113" t="s">
        <v>219</v>
      </c>
      <c r="L499" s="31">
        <f>-E499*1.1-2.4</f>
        <v>-3.5</v>
      </c>
      <c r="Z499" s="156" t="s">
        <v>1803</v>
      </c>
      <c r="BR499" s="33"/>
      <c r="BS499" s="34"/>
      <c r="CA499" s="44"/>
      <c r="CB499" s="44"/>
      <c r="CH499" s="44"/>
      <c r="CV499" s="136" t="s">
        <v>1673</v>
      </c>
      <c r="CW499" s="33"/>
      <c r="CX499" s="33"/>
      <c r="CY499" s="33"/>
      <c r="CZ499" s="113" t="s">
        <v>212</v>
      </c>
      <c r="DA499" s="31">
        <v>1</v>
      </c>
      <c r="DB499" s="31">
        <v>1</v>
      </c>
      <c r="DC499" s="31">
        <v>1</v>
      </c>
    </row>
    <row r="500" spans="1:108">
      <c r="A500" s="113" t="s">
        <v>1483</v>
      </c>
      <c r="B500" s="113" t="s">
        <v>1481</v>
      </c>
      <c r="C500" s="37"/>
      <c r="E500" s="31">
        <v>1</v>
      </c>
      <c r="F500" s="31" t="str">
        <f t="shared" si="76"/>
        <v>Intelligence 5</v>
      </c>
      <c r="I500" s="113" t="s">
        <v>224</v>
      </c>
      <c r="L500" s="31">
        <f t="shared" ref="L500:L563" si="77">-E500*1.1-2.4</f>
        <v>-3.5</v>
      </c>
      <c r="Z500" s="156" t="s">
        <v>1804</v>
      </c>
      <c r="BR500" s="33"/>
      <c r="BS500" s="34"/>
      <c r="CA500" s="44"/>
      <c r="CB500" s="44"/>
      <c r="CH500" s="44"/>
      <c r="CV500" s="31" t="s">
        <v>1674</v>
      </c>
      <c r="CW500" s="33"/>
      <c r="CX500" s="33"/>
      <c r="CY500" s="33"/>
      <c r="CZ500" s="113" t="s">
        <v>212</v>
      </c>
      <c r="DA500" s="31">
        <v>1</v>
      </c>
      <c r="DB500" s="31">
        <v>1</v>
      </c>
      <c r="DC500" s="31">
        <v>1</v>
      </c>
    </row>
    <row r="501" spans="1:108">
      <c r="A501" s="113" t="s">
        <v>1484</v>
      </c>
      <c r="B501" s="113" t="s">
        <v>1481</v>
      </c>
      <c r="C501" s="37"/>
      <c r="E501" s="31">
        <v>1</v>
      </c>
      <c r="F501" s="31" t="str">
        <f t="shared" si="76"/>
        <v>Intelligence 5</v>
      </c>
      <c r="I501" s="113" t="s">
        <v>216</v>
      </c>
      <c r="L501" s="31">
        <f t="shared" si="77"/>
        <v>-3.5</v>
      </c>
      <c r="Z501" s="156" t="s">
        <v>1805</v>
      </c>
      <c r="BR501" s="33"/>
      <c r="BS501" s="34"/>
      <c r="CA501" s="44"/>
      <c r="CB501" s="44"/>
      <c r="CH501" s="44"/>
      <c r="CV501" s="31" t="s">
        <v>1675</v>
      </c>
      <c r="CW501" s="33"/>
      <c r="CX501" s="33"/>
      <c r="CY501" s="33"/>
      <c r="CZ501" s="113" t="s">
        <v>212</v>
      </c>
      <c r="DA501" s="31">
        <v>1</v>
      </c>
      <c r="DB501" s="31">
        <v>1</v>
      </c>
      <c r="DC501" s="31">
        <v>1</v>
      </c>
    </row>
    <row r="502" spans="1:108">
      <c r="A502" s="113" t="s">
        <v>1485</v>
      </c>
      <c r="B502" s="113" t="s">
        <v>1481</v>
      </c>
      <c r="C502" s="37"/>
      <c r="E502" s="31">
        <v>1</v>
      </c>
      <c r="F502" s="31" t="str">
        <f t="shared" si="76"/>
        <v>Intelligence 5</v>
      </c>
      <c r="I502" s="113" t="s">
        <v>222</v>
      </c>
      <c r="L502" s="31">
        <f t="shared" si="77"/>
        <v>-3.5</v>
      </c>
      <c r="Z502" s="156" t="s">
        <v>1806</v>
      </c>
      <c r="BR502" s="33"/>
      <c r="BS502" s="34"/>
      <c r="CA502" s="44"/>
      <c r="CB502" s="44"/>
      <c r="CH502" s="44"/>
      <c r="CV502" s="31" t="s">
        <v>1676</v>
      </c>
      <c r="CW502" s="33"/>
      <c r="CX502" s="33"/>
      <c r="CY502" s="33"/>
      <c r="CZ502" s="113" t="s">
        <v>212</v>
      </c>
      <c r="DA502" s="31">
        <v>1</v>
      </c>
      <c r="DB502" s="31">
        <v>1</v>
      </c>
      <c r="DC502" s="31">
        <v>1</v>
      </c>
    </row>
    <row r="503" spans="1:108">
      <c r="A503" s="113" t="s">
        <v>1752</v>
      </c>
      <c r="B503" s="113" t="s">
        <v>1481</v>
      </c>
      <c r="C503" s="37"/>
      <c r="E503" s="31">
        <v>2</v>
      </c>
      <c r="F503" s="31" t="str">
        <f t="shared" ref="F503:F506" si="78">CONCATENATE("Intelligence ",MIN(MAX(ROUND(SQRT((IF(J503="",WandDamage,J503)+IF(J503="",WandDamage,J503)+IF(K503="",WandDamageRange,K503))*(E503/1.4))+1,0),5),15))</f>
        <v>Intelligence 5</v>
      </c>
      <c r="I503" s="113" t="s">
        <v>219</v>
      </c>
      <c r="L503" s="31">
        <f t="shared" si="77"/>
        <v>-4.5999999999999996</v>
      </c>
      <c r="Z503" s="156" t="s">
        <v>1803</v>
      </c>
      <c r="BR503" s="33"/>
      <c r="BS503" s="34"/>
      <c r="CA503" s="44"/>
      <c r="CB503" s="44"/>
      <c r="CH503" s="44"/>
      <c r="CV503" s="136" t="s">
        <v>1673</v>
      </c>
      <c r="CW503" s="33"/>
      <c r="CX503" s="33"/>
      <c r="CY503" s="33"/>
      <c r="CZ503" s="113" t="s">
        <v>212</v>
      </c>
      <c r="DA503" s="31">
        <v>1</v>
      </c>
      <c r="DB503" s="31">
        <v>1</v>
      </c>
      <c r="DC503" s="31">
        <v>1</v>
      </c>
    </row>
    <row r="504" spans="1:108">
      <c r="A504" s="113" t="s">
        <v>1753</v>
      </c>
      <c r="B504" s="113" t="s">
        <v>1481</v>
      </c>
      <c r="C504" s="37"/>
      <c r="E504" s="31">
        <v>2</v>
      </c>
      <c r="F504" s="31" t="str">
        <f t="shared" si="78"/>
        <v>Intelligence 5</v>
      </c>
      <c r="I504" s="113" t="s">
        <v>224</v>
      </c>
      <c r="L504" s="31">
        <f t="shared" si="77"/>
        <v>-4.5999999999999996</v>
      </c>
      <c r="Z504" s="156" t="s">
        <v>1804</v>
      </c>
      <c r="BR504" s="33"/>
      <c r="BS504" s="34"/>
      <c r="CA504" s="44"/>
      <c r="CB504" s="44"/>
      <c r="CH504" s="44"/>
      <c r="CV504" s="31" t="s">
        <v>1674</v>
      </c>
      <c r="CW504" s="33"/>
      <c r="CX504" s="33"/>
      <c r="CY504" s="33"/>
      <c r="CZ504" s="113" t="s">
        <v>212</v>
      </c>
      <c r="DA504" s="31">
        <v>1</v>
      </c>
      <c r="DB504" s="31">
        <v>1</v>
      </c>
      <c r="DC504" s="31">
        <v>1</v>
      </c>
    </row>
    <row r="505" spans="1:108">
      <c r="A505" s="113" t="s">
        <v>1754</v>
      </c>
      <c r="B505" s="113" t="s">
        <v>1481</v>
      </c>
      <c r="C505" s="37"/>
      <c r="E505" s="31">
        <v>2</v>
      </c>
      <c r="F505" s="31" t="str">
        <f t="shared" si="78"/>
        <v>Intelligence 5</v>
      </c>
      <c r="I505" s="113" t="s">
        <v>216</v>
      </c>
      <c r="L505" s="31">
        <f t="shared" si="77"/>
        <v>-4.5999999999999996</v>
      </c>
      <c r="Z505" s="156" t="s">
        <v>1805</v>
      </c>
      <c r="BR505" s="33"/>
      <c r="BS505" s="34"/>
      <c r="CA505" s="44"/>
      <c r="CB505" s="44"/>
      <c r="CH505" s="44"/>
      <c r="CV505" s="31" t="s">
        <v>1675</v>
      </c>
      <c r="CW505" s="33"/>
      <c r="CX505" s="33"/>
      <c r="CY505" s="33"/>
      <c r="CZ505" s="113" t="s">
        <v>212</v>
      </c>
      <c r="DA505" s="31">
        <v>1</v>
      </c>
      <c r="DB505" s="31">
        <v>1</v>
      </c>
      <c r="DC505" s="31">
        <v>1</v>
      </c>
    </row>
    <row r="506" spans="1:108">
      <c r="A506" s="113" t="s">
        <v>1755</v>
      </c>
      <c r="B506" s="113" t="s">
        <v>1481</v>
      </c>
      <c r="C506" s="37"/>
      <c r="E506" s="31">
        <v>2</v>
      </c>
      <c r="F506" s="31" t="str">
        <f t="shared" si="78"/>
        <v>Intelligence 5</v>
      </c>
      <c r="I506" s="113" t="s">
        <v>222</v>
      </c>
      <c r="L506" s="31">
        <f t="shared" si="77"/>
        <v>-4.5999999999999996</v>
      </c>
      <c r="Z506" s="156" t="s">
        <v>1806</v>
      </c>
      <c r="BR506" s="33"/>
      <c r="BS506" s="34"/>
      <c r="CA506" s="44"/>
      <c r="CB506" s="44"/>
      <c r="CH506" s="44"/>
      <c r="CV506" s="31" t="s">
        <v>1676</v>
      </c>
      <c r="CW506" s="33"/>
      <c r="CX506" s="33"/>
      <c r="CY506" s="33"/>
      <c r="CZ506" s="113" t="s">
        <v>212</v>
      </c>
      <c r="DA506" s="31">
        <v>1</v>
      </c>
      <c r="DB506" s="31">
        <v>1</v>
      </c>
      <c r="DC506" s="31">
        <v>1</v>
      </c>
    </row>
    <row r="507" spans="1:108">
      <c r="A507" s="113" t="s">
        <v>1609</v>
      </c>
      <c r="B507" s="113" t="s">
        <v>1481</v>
      </c>
      <c r="C507" s="37"/>
      <c r="E507" s="31">
        <v>3</v>
      </c>
      <c r="F507" s="31" t="str">
        <f t="shared" si="76"/>
        <v>Intelligence 5</v>
      </c>
      <c r="I507" s="113" t="s">
        <v>219</v>
      </c>
      <c r="L507" s="31">
        <f t="shared" si="77"/>
        <v>-5.7</v>
      </c>
      <c r="Z507" s="156" t="s">
        <v>1803</v>
      </c>
      <c r="BR507" s="33"/>
      <c r="BS507" s="34"/>
      <c r="CA507" s="44"/>
      <c r="CB507" s="44"/>
      <c r="CH507" s="44"/>
      <c r="CV507" s="136" t="s">
        <v>1673</v>
      </c>
      <c r="CW507" s="33"/>
      <c r="CX507" s="33"/>
      <c r="CY507" s="33"/>
      <c r="CZ507" s="113" t="s">
        <v>212</v>
      </c>
      <c r="DA507" s="31">
        <v>1</v>
      </c>
      <c r="DB507" s="31">
        <v>1</v>
      </c>
      <c r="DC507" s="31">
        <v>1</v>
      </c>
    </row>
    <row r="508" spans="1:108">
      <c r="A508" s="113" t="s">
        <v>1610</v>
      </c>
      <c r="B508" s="113" t="s">
        <v>1481</v>
      </c>
      <c r="C508" s="37"/>
      <c r="E508" s="31">
        <v>3</v>
      </c>
      <c r="F508" s="31" t="str">
        <f t="shared" si="76"/>
        <v>Intelligence 5</v>
      </c>
      <c r="I508" s="113" t="s">
        <v>224</v>
      </c>
      <c r="L508" s="31">
        <f t="shared" si="77"/>
        <v>-5.7</v>
      </c>
      <c r="Z508" s="156" t="s">
        <v>1804</v>
      </c>
      <c r="BR508" s="33"/>
      <c r="BS508" s="34"/>
      <c r="CA508" s="44"/>
      <c r="CB508" s="44"/>
      <c r="CH508" s="44"/>
      <c r="CV508" s="31" t="s">
        <v>1674</v>
      </c>
      <c r="CW508" s="33"/>
      <c r="CX508" s="33"/>
      <c r="CY508" s="33"/>
      <c r="CZ508" s="113" t="s">
        <v>212</v>
      </c>
      <c r="DA508" s="31">
        <v>1</v>
      </c>
      <c r="DB508" s="31">
        <v>1</v>
      </c>
      <c r="DC508" s="31">
        <v>1</v>
      </c>
    </row>
    <row r="509" spans="1:108">
      <c r="A509" s="113" t="s">
        <v>1611</v>
      </c>
      <c r="B509" s="113" t="s">
        <v>1481</v>
      </c>
      <c r="C509" s="37"/>
      <c r="E509" s="31">
        <v>3</v>
      </c>
      <c r="F509" s="31" t="str">
        <f t="shared" si="76"/>
        <v>Intelligence 5</v>
      </c>
      <c r="I509" s="113" t="s">
        <v>216</v>
      </c>
      <c r="L509" s="31">
        <f t="shared" si="77"/>
        <v>-5.7</v>
      </c>
      <c r="Z509" s="156" t="s">
        <v>1805</v>
      </c>
      <c r="BR509" s="33"/>
      <c r="BS509" s="34"/>
      <c r="CA509" s="44"/>
      <c r="CB509" s="44"/>
      <c r="CH509" s="44"/>
      <c r="CV509" s="31" t="s">
        <v>1675</v>
      </c>
      <c r="CW509" s="33"/>
      <c r="CX509" s="33"/>
      <c r="CY509" s="33"/>
      <c r="CZ509" s="113" t="s">
        <v>212</v>
      </c>
      <c r="DA509" s="31">
        <v>1</v>
      </c>
      <c r="DB509" s="31">
        <v>1</v>
      </c>
      <c r="DC509" s="31">
        <v>1</v>
      </c>
    </row>
    <row r="510" spans="1:108">
      <c r="A510" s="113" t="s">
        <v>1612</v>
      </c>
      <c r="B510" s="113" t="s">
        <v>1481</v>
      </c>
      <c r="C510" s="37"/>
      <c r="E510" s="31">
        <v>3</v>
      </c>
      <c r="F510" s="31" t="str">
        <f t="shared" si="76"/>
        <v>Intelligence 5</v>
      </c>
      <c r="I510" s="113" t="s">
        <v>222</v>
      </c>
      <c r="L510" s="31">
        <f t="shared" si="77"/>
        <v>-5.7</v>
      </c>
      <c r="Z510" s="156" t="s">
        <v>1806</v>
      </c>
      <c r="BR510" s="33"/>
      <c r="BS510" s="34"/>
      <c r="CA510" s="44"/>
      <c r="CB510" s="44"/>
      <c r="CH510" s="44"/>
      <c r="CV510" s="31" t="s">
        <v>1676</v>
      </c>
      <c r="CW510" s="33"/>
      <c r="CX510" s="33"/>
      <c r="CY510" s="33"/>
      <c r="CZ510" s="113" t="s">
        <v>212</v>
      </c>
      <c r="DA510" s="31">
        <v>1</v>
      </c>
      <c r="DB510" s="31">
        <v>1</v>
      </c>
      <c r="DC510" s="31">
        <v>1</v>
      </c>
    </row>
    <row r="511" spans="1:108">
      <c r="A511" s="113" t="s">
        <v>1756</v>
      </c>
      <c r="B511" s="113" t="s">
        <v>1481</v>
      </c>
      <c r="C511" s="37"/>
      <c r="E511" s="31">
        <v>4</v>
      </c>
      <c r="F511" s="31" t="str">
        <f t="shared" ref="F511:F514" si="79">CONCATENATE("Intelligence ",MIN(MAX(ROUND(SQRT((IF(J511="",WandDamage,J511)+IF(J511="",WandDamage,J511)+IF(K511="",WandDamageRange,K511))*(E511/1.4))+1,0),5),15))</f>
        <v>Intelligence 5</v>
      </c>
      <c r="I511" s="113" t="s">
        <v>219</v>
      </c>
      <c r="L511" s="31">
        <f t="shared" si="77"/>
        <v>-6.8000000000000007</v>
      </c>
      <c r="Z511" s="156" t="s">
        <v>1803</v>
      </c>
      <c r="BR511" s="33"/>
      <c r="BS511" s="34"/>
      <c r="CA511" s="44"/>
      <c r="CB511" s="44"/>
      <c r="CH511" s="44"/>
      <c r="CV511" s="136" t="s">
        <v>1673</v>
      </c>
      <c r="CW511" s="33"/>
      <c r="CX511" s="33"/>
      <c r="CY511" s="33"/>
      <c r="CZ511" s="113" t="s">
        <v>212</v>
      </c>
      <c r="DA511" s="31">
        <v>1</v>
      </c>
      <c r="DB511" s="31">
        <v>1</v>
      </c>
      <c r="DC511" s="31">
        <v>1</v>
      </c>
    </row>
    <row r="512" spans="1:108">
      <c r="A512" s="113" t="s">
        <v>1757</v>
      </c>
      <c r="B512" s="113" t="s">
        <v>1481</v>
      </c>
      <c r="C512" s="37"/>
      <c r="E512" s="31">
        <v>4</v>
      </c>
      <c r="F512" s="31" t="str">
        <f t="shared" si="79"/>
        <v>Intelligence 5</v>
      </c>
      <c r="I512" s="113" t="s">
        <v>224</v>
      </c>
      <c r="L512" s="31">
        <f t="shared" si="77"/>
        <v>-6.8000000000000007</v>
      </c>
      <c r="Z512" s="156" t="s">
        <v>1804</v>
      </c>
      <c r="BR512" s="33"/>
      <c r="BS512" s="34"/>
      <c r="CA512" s="44"/>
      <c r="CB512" s="44"/>
      <c r="CH512" s="44"/>
      <c r="CV512" s="31" t="s">
        <v>1674</v>
      </c>
      <c r="CW512" s="33"/>
      <c r="CX512" s="33"/>
      <c r="CY512" s="33"/>
      <c r="CZ512" s="113" t="s">
        <v>212</v>
      </c>
      <c r="DA512" s="31">
        <v>1</v>
      </c>
      <c r="DB512" s="31">
        <v>1</v>
      </c>
      <c r="DC512" s="31">
        <v>1</v>
      </c>
    </row>
    <row r="513" spans="1:107">
      <c r="A513" s="113" t="s">
        <v>1758</v>
      </c>
      <c r="B513" s="113" t="s">
        <v>1481</v>
      </c>
      <c r="C513" s="37"/>
      <c r="E513" s="31">
        <v>4</v>
      </c>
      <c r="F513" s="31" t="str">
        <f t="shared" si="79"/>
        <v>Intelligence 5</v>
      </c>
      <c r="I513" s="113" t="s">
        <v>216</v>
      </c>
      <c r="L513" s="31">
        <f t="shared" si="77"/>
        <v>-6.8000000000000007</v>
      </c>
      <c r="Z513" s="156" t="s">
        <v>1805</v>
      </c>
      <c r="BR513" s="33"/>
      <c r="BS513" s="34"/>
      <c r="CA513" s="44"/>
      <c r="CB513" s="44"/>
      <c r="CH513" s="44"/>
      <c r="CV513" s="31" t="s">
        <v>1675</v>
      </c>
      <c r="CW513" s="33"/>
      <c r="CX513" s="33"/>
      <c r="CY513" s="33"/>
      <c r="CZ513" s="113" t="s">
        <v>212</v>
      </c>
      <c r="DA513" s="31">
        <v>1</v>
      </c>
      <c r="DB513" s="31">
        <v>1</v>
      </c>
      <c r="DC513" s="31">
        <v>1</v>
      </c>
    </row>
    <row r="514" spans="1:107">
      <c r="A514" s="113" t="s">
        <v>1759</v>
      </c>
      <c r="B514" s="113" t="s">
        <v>1481</v>
      </c>
      <c r="C514" s="37"/>
      <c r="E514" s="31">
        <v>4</v>
      </c>
      <c r="F514" s="31" t="str">
        <f t="shared" si="79"/>
        <v>Intelligence 5</v>
      </c>
      <c r="I514" s="113" t="s">
        <v>222</v>
      </c>
      <c r="L514" s="31">
        <f t="shared" si="77"/>
        <v>-6.8000000000000007</v>
      </c>
      <c r="Z514" s="156" t="s">
        <v>1806</v>
      </c>
      <c r="BR514" s="33"/>
      <c r="BS514" s="34"/>
      <c r="CA514" s="44"/>
      <c r="CB514" s="44"/>
      <c r="CH514" s="44"/>
      <c r="CV514" s="31" t="s">
        <v>1676</v>
      </c>
      <c r="CW514" s="33"/>
      <c r="CX514" s="33"/>
      <c r="CY514" s="33"/>
      <c r="CZ514" s="113" t="s">
        <v>212</v>
      </c>
      <c r="DA514" s="31">
        <v>1</v>
      </c>
      <c r="DB514" s="31">
        <v>1</v>
      </c>
      <c r="DC514" s="31">
        <v>1</v>
      </c>
    </row>
    <row r="515" spans="1:107">
      <c r="A515" s="113" t="s">
        <v>1613</v>
      </c>
      <c r="B515" s="113" t="s">
        <v>1481</v>
      </c>
      <c r="C515" s="37"/>
      <c r="E515" s="31">
        <v>5</v>
      </c>
      <c r="F515" s="31" t="str">
        <f t="shared" si="76"/>
        <v>Intelligence 5</v>
      </c>
      <c r="I515" s="113" t="s">
        <v>219</v>
      </c>
      <c r="L515" s="31">
        <f t="shared" si="77"/>
        <v>-7.9</v>
      </c>
      <c r="Z515" s="156" t="s">
        <v>1803</v>
      </c>
      <c r="BR515" s="33"/>
      <c r="BS515" s="34"/>
      <c r="CA515" s="44"/>
      <c r="CB515" s="44"/>
      <c r="CH515" s="44"/>
      <c r="CV515" s="136" t="s">
        <v>1673</v>
      </c>
      <c r="CW515" s="33"/>
      <c r="CX515" s="33"/>
      <c r="CY515" s="33"/>
      <c r="CZ515" s="113" t="s">
        <v>212</v>
      </c>
      <c r="DA515" s="31">
        <v>1</v>
      </c>
      <c r="DB515" s="31">
        <v>1</v>
      </c>
      <c r="DC515" s="31">
        <v>1</v>
      </c>
    </row>
    <row r="516" spans="1:107">
      <c r="A516" s="113" t="s">
        <v>1614</v>
      </c>
      <c r="B516" s="113" t="s">
        <v>1481</v>
      </c>
      <c r="C516" s="37"/>
      <c r="E516" s="31">
        <v>5</v>
      </c>
      <c r="F516" s="31" t="str">
        <f t="shared" si="76"/>
        <v>Intelligence 5</v>
      </c>
      <c r="I516" s="113" t="s">
        <v>224</v>
      </c>
      <c r="L516" s="31">
        <f t="shared" si="77"/>
        <v>-7.9</v>
      </c>
      <c r="Z516" s="156" t="s">
        <v>1804</v>
      </c>
      <c r="BR516" s="33"/>
      <c r="BS516" s="34"/>
      <c r="CA516" s="44"/>
      <c r="CB516" s="44"/>
      <c r="CH516" s="44"/>
      <c r="CV516" s="31" t="s">
        <v>1674</v>
      </c>
      <c r="CW516" s="33"/>
      <c r="CX516" s="33"/>
      <c r="CY516" s="33"/>
      <c r="CZ516" s="113" t="s">
        <v>212</v>
      </c>
      <c r="DA516" s="31">
        <v>1</v>
      </c>
      <c r="DB516" s="31">
        <v>1</v>
      </c>
      <c r="DC516" s="31">
        <v>1</v>
      </c>
    </row>
    <row r="517" spans="1:107">
      <c r="A517" s="113" t="s">
        <v>1615</v>
      </c>
      <c r="B517" s="113" t="s">
        <v>1481</v>
      </c>
      <c r="C517" s="37"/>
      <c r="E517" s="31">
        <v>5</v>
      </c>
      <c r="F517" s="31" t="str">
        <f t="shared" si="76"/>
        <v>Intelligence 5</v>
      </c>
      <c r="I517" s="113" t="s">
        <v>216</v>
      </c>
      <c r="L517" s="31">
        <f t="shared" si="77"/>
        <v>-7.9</v>
      </c>
      <c r="Z517" s="156" t="s">
        <v>1805</v>
      </c>
      <c r="BR517" s="33"/>
      <c r="BS517" s="34"/>
      <c r="CA517" s="44"/>
      <c r="CB517" s="44"/>
      <c r="CH517" s="44"/>
      <c r="CV517" s="31" t="s">
        <v>1675</v>
      </c>
      <c r="CW517" s="33"/>
      <c r="CX517" s="33"/>
      <c r="CY517" s="33"/>
      <c r="CZ517" s="113" t="s">
        <v>212</v>
      </c>
      <c r="DA517" s="31">
        <v>1</v>
      </c>
      <c r="DB517" s="31">
        <v>1</v>
      </c>
      <c r="DC517" s="31">
        <v>1</v>
      </c>
    </row>
    <row r="518" spans="1:107">
      <c r="A518" s="113" t="s">
        <v>1616</v>
      </c>
      <c r="B518" s="113" t="s">
        <v>1481</v>
      </c>
      <c r="C518" s="37"/>
      <c r="E518" s="31">
        <v>5</v>
      </c>
      <c r="F518" s="31" t="str">
        <f t="shared" si="76"/>
        <v>Intelligence 5</v>
      </c>
      <c r="I518" s="113" t="s">
        <v>222</v>
      </c>
      <c r="L518" s="31">
        <f t="shared" si="77"/>
        <v>-7.9</v>
      </c>
      <c r="Z518" s="156" t="s">
        <v>1806</v>
      </c>
      <c r="BR518" s="33"/>
      <c r="BS518" s="34"/>
      <c r="CA518" s="44"/>
      <c r="CB518" s="44"/>
      <c r="CH518" s="44"/>
      <c r="CV518" s="31" t="s">
        <v>1676</v>
      </c>
      <c r="CW518" s="33"/>
      <c r="CX518" s="33"/>
      <c r="CY518" s="33"/>
      <c r="CZ518" s="113" t="s">
        <v>212</v>
      </c>
      <c r="DA518" s="31">
        <v>1</v>
      </c>
      <c r="DB518" s="31">
        <v>1</v>
      </c>
      <c r="DC518" s="31">
        <v>1</v>
      </c>
    </row>
    <row r="519" spans="1:107">
      <c r="A519" s="113" t="s">
        <v>1760</v>
      </c>
      <c r="B519" s="113" t="s">
        <v>1481</v>
      </c>
      <c r="C519" s="37"/>
      <c r="E519" s="31">
        <v>6</v>
      </c>
      <c r="F519" s="31" t="str">
        <f t="shared" ref="F519:F522" si="80">CONCATENATE("Intelligence ",MIN(MAX(ROUND(SQRT((IF(J519="",WandDamage,J519)+IF(J519="",WandDamage,J519)+IF(K519="",WandDamageRange,K519))*(E519/1.4))+1,0),5),15))</f>
        <v>Intelligence 5</v>
      </c>
      <c r="I519" s="113" t="s">
        <v>219</v>
      </c>
      <c r="L519" s="31">
        <f t="shared" si="77"/>
        <v>-9</v>
      </c>
      <c r="Z519" s="156" t="s">
        <v>1803</v>
      </c>
      <c r="BR519" s="33"/>
      <c r="BS519" s="34"/>
      <c r="CA519" s="44"/>
      <c r="CB519" s="44"/>
      <c r="CH519" s="44"/>
      <c r="CV519" s="136" t="s">
        <v>1673</v>
      </c>
      <c r="CW519" s="33"/>
      <c r="CX519" s="33"/>
      <c r="CY519" s="33"/>
      <c r="CZ519" s="113" t="s">
        <v>212</v>
      </c>
      <c r="DA519" s="31">
        <v>1</v>
      </c>
      <c r="DB519" s="31">
        <v>1</v>
      </c>
      <c r="DC519" s="31">
        <v>1</v>
      </c>
    </row>
    <row r="520" spans="1:107">
      <c r="A520" s="113" t="s">
        <v>1761</v>
      </c>
      <c r="B520" s="113" t="s">
        <v>1481</v>
      </c>
      <c r="C520" s="37"/>
      <c r="E520" s="31">
        <v>6</v>
      </c>
      <c r="F520" s="31" t="str">
        <f t="shared" si="80"/>
        <v>Intelligence 5</v>
      </c>
      <c r="I520" s="113" t="s">
        <v>224</v>
      </c>
      <c r="L520" s="31">
        <f t="shared" si="77"/>
        <v>-9</v>
      </c>
      <c r="Z520" s="156" t="s">
        <v>1804</v>
      </c>
      <c r="BR520" s="33"/>
      <c r="BS520" s="34"/>
      <c r="CA520" s="44"/>
      <c r="CB520" s="44"/>
      <c r="CH520" s="44"/>
      <c r="CV520" s="31" t="s">
        <v>1674</v>
      </c>
      <c r="CW520" s="33"/>
      <c r="CX520" s="33"/>
      <c r="CY520" s="33"/>
      <c r="CZ520" s="113" t="s">
        <v>212</v>
      </c>
      <c r="DA520" s="31">
        <v>1</v>
      </c>
      <c r="DB520" s="31">
        <v>1</v>
      </c>
      <c r="DC520" s="31">
        <v>1</v>
      </c>
    </row>
    <row r="521" spans="1:107">
      <c r="A521" s="113" t="s">
        <v>1762</v>
      </c>
      <c r="B521" s="113" t="s">
        <v>1481</v>
      </c>
      <c r="C521" s="37"/>
      <c r="E521" s="31">
        <v>6</v>
      </c>
      <c r="F521" s="31" t="str">
        <f t="shared" si="80"/>
        <v>Intelligence 5</v>
      </c>
      <c r="I521" s="113" t="s">
        <v>216</v>
      </c>
      <c r="L521" s="31">
        <f t="shared" si="77"/>
        <v>-9</v>
      </c>
      <c r="Z521" s="156" t="s">
        <v>1805</v>
      </c>
      <c r="BR521" s="33"/>
      <c r="BS521" s="34"/>
      <c r="CA521" s="44"/>
      <c r="CB521" s="44"/>
      <c r="CH521" s="44"/>
      <c r="CV521" s="31" t="s">
        <v>1675</v>
      </c>
      <c r="CW521" s="33"/>
      <c r="CX521" s="33"/>
      <c r="CY521" s="33"/>
      <c r="CZ521" s="113" t="s">
        <v>212</v>
      </c>
      <c r="DA521" s="31">
        <v>1</v>
      </c>
      <c r="DB521" s="31">
        <v>1</v>
      </c>
      <c r="DC521" s="31">
        <v>1</v>
      </c>
    </row>
    <row r="522" spans="1:107">
      <c r="A522" s="113" t="s">
        <v>1763</v>
      </c>
      <c r="B522" s="113" t="s">
        <v>1481</v>
      </c>
      <c r="C522" s="37"/>
      <c r="E522" s="31">
        <v>6</v>
      </c>
      <c r="F522" s="31" t="str">
        <f t="shared" si="80"/>
        <v>Intelligence 5</v>
      </c>
      <c r="I522" s="113" t="s">
        <v>222</v>
      </c>
      <c r="L522" s="31">
        <f t="shared" si="77"/>
        <v>-9</v>
      </c>
      <c r="Z522" s="156" t="s">
        <v>1806</v>
      </c>
      <c r="BR522" s="33"/>
      <c r="BS522" s="34"/>
      <c r="CA522" s="44"/>
      <c r="CB522" s="44"/>
      <c r="CH522" s="44"/>
      <c r="CV522" s="31" t="s">
        <v>1676</v>
      </c>
      <c r="CW522" s="33"/>
      <c r="CX522" s="33"/>
      <c r="CY522" s="33"/>
      <c r="CZ522" s="113" t="s">
        <v>212</v>
      </c>
      <c r="DA522" s="31">
        <v>1</v>
      </c>
      <c r="DB522" s="31">
        <v>1</v>
      </c>
      <c r="DC522" s="31">
        <v>1</v>
      </c>
    </row>
    <row r="523" spans="1:107">
      <c r="A523" s="113" t="s">
        <v>1617</v>
      </c>
      <c r="B523" s="113" t="s">
        <v>1481</v>
      </c>
      <c r="C523" s="37"/>
      <c r="E523" s="31">
        <v>7</v>
      </c>
      <c r="F523" s="31" t="str">
        <f t="shared" si="76"/>
        <v>Intelligence 5</v>
      </c>
      <c r="I523" s="113" t="s">
        <v>219</v>
      </c>
      <c r="L523" s="31">
        <f t="shared" si="77"/>
        <v>-10.100000000000001</v>
      </c>
      <c r="Z523" s="156" t="s">
        <v>1803</v>
      </c>
      <c r="BR523" s="33"/>
      <c r="BS523" s="34"/>
      <c r="CA523" s="44"/>
      <c r="CB523" s="44"/>
      <c r="CH523" s="44"/>
      <c r="CV523" s="136" t="s">
        <v>1677</v>
      </c>
      <c r="CW523" s="33"/>
      <c r="CX523" s="33"/>
      <c r="CY523" s="33"/>
      <c r="CZ523" s="113" t="s">
        <v>212</v>
      </c>
      <c r="DA523" s="31">
        <v>1</v>
      </c>
      <c r="DB523" s="31">
        <v>1</v>
      </c>
      <c r="DC523" s="31">
        <v>1</v>
      </c>
    </row>
    <row r="524" spans="1:107">
      <c r="A524" s="113" t="s">
        <v>1618</v>
      </c>
      <c r="B524" s="113" t="s">
        <v>1481</v>
      </c>
      <c r="C524" s="37"/>
      <c r="E524" s="31">
        <v>7</v>
      </c>
      <c r="F524" s="31" t="str">
        <f t="shared" si="76"/>
        <v>Intelligence 5</v>
      </c>
      <c r="I524" s="113" t="s">
        <v>224</v>
      </c>
      <c r="L524" s="31">
        <f t="shared" si="77"/>
        <v>-10.100000000000001</v>
      </c>
      <c r="Z524" s="156" t="s">
        <v>1804</v>
      </c>
      <c r="BR524" s="33"/>
      <c r="BS524" s="34"/>
      <c r="CA524" s="44"/>
      <c r="CB524" s="44"/>
      <c r="CH524" s="44"/>
      <c r="CV524" s="31" t="s">
        <v>1678</v>
      </c>
      <c r="CW524" s="33"/>
      <c r="CX524" s="33"/>
      <c r="CY524" s="33"/>
      <c r="CZ524" s="113" t="s">
        <v>212</v>
      </c>
      <c r="DA524" s="31">
        <v>1</v>
      </c>
      <c r="DB524" s="31">
        <v>1</v>
      </c>
      <c r="DC524" s="31">
        <v>1</v>
      </c>
    </row>
    <row r="525" spans="1:107">
      <c r="A525" s="113" t="s">
        <v>1619</v>
      </c>
      <c r="B525" s="113" t="s">
        <v>1481</v>
      </c>
      <c r="C525" s="37"/>
      <c r="E525" s="31">
        <v>7</v>
      </c>
      <c r="F525" s="31" t="str">
        <f t="shared" si="76"/>
        <v>Intelligence 5</v>
      </c>
      <c r="I525" s="113" t="s">
        <v>216</v>
      </c>
      <c r="L525" s="31">
        <f t="shared" si="77"/>
        <v>-10.100000000000001</v>
      </c>
      <c r="Z525" s="156" t="s">
        <v>1805</v>
      </c>
      <c r="BR525" s="33"/>
      <c r="BS525" s="34"/>
      <c r="CA525" s="44"/>
      <c r="CB525" s="44"/>
      <c r="CH525" s="44"/>
      <c r="CV525" s="31" t="s">
        <v>1679</v>
      </c>
      <c r="CW525" s="33"/>
      <c r="CX525" s="33"/>
      <c r="CY525" s="33"/>
      <c r="CZ525" s="113" t="s">
        <v>212</v>
      </c>
      <c r="DA525" s="31">
        <v>1</v>
      </c>
      <c r="DB525" s="31">
        <v>1</v>
      </c>
      <c r="DC525" s="31">
        <v>1</v>
      </c>
    </row>
    <row r="526" spans="1:107">
      <c r="A526" s="113" t="s">
        <v>1620</v>
      </c>
      <c r="B526" s="113" t="s">
        <v>1481</v>
      </c>
      <c r="C526" s="37"/>
      <c r="E526" s="31">
        <v>7</v>
      </c>
      <c r="F526" s="31" t="str">
        <f t="shared" si="76"/>
        <v>Intelligence 5</v>
      </c>
      <c r="I526" s="113" t="s">
        <v>222</v>
      </c>
      <c r="L526" s="31">
        <f t="shared" si="77"/>
        <v>-10.100000000000001</v>
      </c>
      <c r="Z526" s="156" t="s">
        <v>1806</v>
      </c>
      <c r="BR526" s="33"/>
      <c r="BS526" s="34"/>
      <c r="CA526" s="44"/>
      <c r="CB526" s="44"/>
      <c r="CH526" s="44"/>
      <c r="CV526" s="31" t="s">
        <v>1680</v>
      </c>
      <c r="CW526" s="33"/>
      <c r="CX526" s="33"/>
      <c r="CY526" s="33"/>
      <c r="CZ526" s="113" t="s">
        <v>212</v>
      </c>
      <c r="DA526" s="31">
        <v>1</v>
      </c>
      <c r="DB526" s="31">
        <v>1</v>
      </c>
      <c r="DC526" s="31">
        <v>1</v>
      </c>
    </row>
    <row r="527" spans="1:107">
      <c r="A527" s="113" t="s">
        <v>1621</v>
      </c>
      <c r="B527" s="113" t="s">
        <v>1481</v>
      </c>
      <c r="C527" s="37"/>
      <c r="E527" s="31">
        <v>8</v>
      </c>
      <c r="F527" s="31" t="str">
        <f t="shared" si="76"/>
        <v>Intelligence 5</v>
      </c>
      <c r="I527" s="113" t="s">
        <v>219</v>
      </c>
      <c r="L527" s="31">
        <f t="shared" si="77"/>
        <v>-11.200000000000001</v>
      </c>
      <c r="Z527" s="156" t="s">
        <v>1803</v>
      </c>
      <c r="BR527" s="33"/>
      <c r="BS527" s="34"/>
      <c r="CA527" s="44"/>
      <c r="CB527" s="44"/>
      <c r="CH527" s="44"/>
      <c r="CV527" s="136" t="s">
        <v>1677</v>
      </c>
      <c r="CW527" s="33"/>
      <c r="CX527" s="33"/>
      <c r="CY527" s="33"/>
      <c r="CZ527" s="113" t="s">
        <v>212</v>
      </c>
      <c r="DA527" s="31">
        <v>1</v>
      </c>
      <c r="DB527" s="31">
        <v>1</v>
      </c>
      <c r="DC527" s="31">
        <v>1</v>
      </c>
    </row>
    <row r="528" spans="1:107">
      <c r="A528" s="113" t="s">
        <v>1622</v>
      </c>
      <c r="B528" s="113" t="s">
        <v>1481</v>
      </c>
      <c r="C528" s="37"/>
      <c r="E528" s="31">
        <v>8</v>
      </c>
      <c r="F528" s="31" t="str">
        <f t="shared" si="76"/>
        <v>Intelligence 5</v>
      </c>
      <c r="I528" s="113" t="s">
        <v>224</v>
      </c>
      <c r="L528" s="31">
        <f t="shared" si="77"/>
        <v>-11.200000000000001</v>
      </c>
      <c r="Z528" s="156" t="s">
        <v>1804</v>
      </c>
      <c r="BR528" s="33"/>
      <c r="BS528" s="34"/>
      <c r="CA528" s="44"/>
      <c r="CB528" s="44"/>
      <c r="CH528" s="44"/>
      <c r="CV528" s="31" t="s">
        <v>1678</v>
      </c>
      <c r="CW528" s="33"/>
      <c r="CX528" s="33"/>
      <c r="CY528" s="33"/>
      <c r="CZ528" s="113" t="s">
        <v>212</v>
      </c>
      <c r="DA528" s="31">
        <v>1</v>
      </c>
      <c r="DB528" s="31">
        <v>1</v>
      </c>
      <c r="DC528" s="31">
        <v>1</v>
      </c>
    </row>
    <row r="529" spans="1:107">
      <c r="A529" s="113" t="s">
        <v>1623</v>
      </c>
      <c r="B529" s="113" t="s">
        <v>1481</v>
      </c>
      <c r="C529" s="37"/>
      <c r="E529" s="31">
        <v>8</v>
      </c>
      <c r="F529" s="31" t="str">
        <f t="shared" si="76"/>
        <v>Intelligence 5</v>
      </c>
      <c r="I529" s="113" t="s">
        <v>216</v>
      </c>
      <c r="L529" s="31">
        <f t="shared" si="77"/>
        <v>-11.200000000000001</v>
      </c>
      <c r="Z529" s="156" t="s">
        <v>1805</v>
      </c>
      <c r="BR529" s="33"/>
      <c r="BS529" s="34"/>
      <c r="CA529" s="44"/>
      <c r="CB529" s="44"/>
      <c r="CH529" s="44"/>
      <c r="CV529" s="31" t="s">
        <v>1679</v>
      </c>
      <c r="CW529" s="33"/>
      <c r="CX529" s="33"/>
      <c r="CY529" s="33"/>
      <c r="CZ529" s="113" t="s">
        <v>212</v>
      </c>
      <c r="DA529" s="31">
        <v>1</v>
      </c>
      <c r="DB529" s="31">
        <v>1</v>
      </c>
      <c r="DC529" s="31">
        <v>1</v>
      </c>
    </row>
    <row r="530" spans="1:107">
      <c r="A530" s="113" t="s">
        <v>1624</v>
      </c>
      <c r="B530" s="113" t="s">
        <v>1481</v>
      </c>
      <c r="C530" s="37"/>
      <c r="E530" s="31">
        <v>8</v>
      </c>
      <c r="F530" s="31" t="str">
        <f t="shared" si="76"/>
        <v>Intelligence 5</v>
      </c>
      <c r="I530" s="113" t="s">
        <v>222</v>
      </c>
      <c r="L530" s="31">
        <f t="shared" si="77"/>
        <v>-11.200000000000001</v>
      </c>
      <c r="Z530" s="156" t="s">
        <v>1806</v>
      </c>
      <c r="BR530" s="33"/>
      <c r="BS530" s="34"/>
      <c r="CA530" s="44"/>
      <c r="CB530" s="44"/>
      <c r="CH530" s="44"/>
      <c r="CV530" s="31" t="s">
        <v>1680</v>
      </c>
      <c r="CW530" s="33"/>
      <c r="CX530" s="33"/>
      <c r="CY530" s="33"/>
      <c r="CZ530" s="113" t="s">
        <v>212</v>
      </c>
      <c r="DA530" s="31">
        <v>1</v>
      </c>
      <c r="DB530" s="31">
        <v>1</v>
      </c>
      <c r="DC530" s="31">
        <v>1</v>
      </c>
    </row>
    <row r="531" spans="1:107">
      <c r="A531" s="113" t="s">
        <v>1625</v>
      </c>
      <c r="B531" s="113" t="s">
        <v>1481</v>
      </c>
      <c r="C531" s="37"/>
      <c r="E531" s="31">
        <v>9</v>
      </c>
      <c r="F531" s="31" t="str">
        <f t="shared" si="76"/>
        <v>Intelligence 5</v>
      </c>
      <c r="I531" s="113" t="s">
        <v>219</v>
      </c>
      <c r="L531" s="31">
        <f t="shared" si="77"/>
        <v>-12.3</v>
      </c>
      <c r="Z531" s="156" t="s">
        <v>1803</v>
      </c>
      <c r="BR531" s="33"/>
      <c r="BS531" s="34"/>
      <c r="CA531" s="44"/>
      <c r="CB531" s="44"/>
      <c r="CH531" s="44"/>
      <c r="CV531" s="136" t="s">
        <v>1677</v>
      </c>
      <c r="CW531" s="33"/>
      <c r="CX531" s="33"/>
      <c r="CY531" s="33"/>
      <c r="CZ531" s="113" t="s">
        <v>212</v>
      </c>
      <c r="DA531" s="31">
        <v>1</v>
      </c>
      <c r="DB531" s="31">
        <v>1</v>
      </c>
      <c r="DC531" s="31">
        <v>1</v>
      </c>
    </row>
    <row r="532" spans="1:107">
      <c r="A532" s="113" t="s">
        <v>1626</v>
      </c>
      <c r="B532" s="113" t="s">
        <v>1481</v>
      </c>
      <c r="C532" s="37"/>
      <c r="E532" s="31">
        <v>9</v>
      </c>
      <c r="F532" s="31" t="str">
        <f t="shared" si="76"/>
        <v>Intelligence 5</v>
      </c>
      <c r="I532" s="113" t="s">
        <v>224</v>
      </c>
      <c r="L532" s="31">
        <f t="shared" si="77"/>
        <v>-12.3</v>
      </c>
      <c r="Z532" s="156" t="s">
        <v>1804</v>
      </c>
      <c r="BR532" s="33"/>
      <c r="BS532" s="34"/>
      <c r="CA532" s="44"/>
      <c r="CB532" s="44"/>
      <c r="CH532" s="44"/>
      <c r="CV532" s="31" t="s">
        <v>1678</v>
      </c>
      <c r="CW532" s="33"/>
      <c r="CX532" s="33"/>
      <c r="CY532" s="33"/>
      <c r="CZ532" s="113" t="s">
        <v>212</v>
      </c>
      <c r="DA532" s="31">
        <v>1</v>
      </c>
      <c r="DB532" s="31">
        <v>1</v>
      </c>
      <c r="DC532" s="31">
        <v>1</v>
      </c>
    </row>
    <row r="533" spans="1:107">
      <c r="A533" s="113" t="s">
        <v>1627</v>
      </c>
      <c r="B533" s="113" t="s">
        <v>1481</v>
      </c>
      <c r="C533" s="37"/>
      <c r="E533" s="31">
        <v>9</v>
      </c>
      <c r="F533" s="31" t="str">
        <f t="shared" si="76"/>
        <v>Intelligence 5</v>
      </c>
      <c r="I533" s="113" t="s">
        <v>216</v>
      </c>
      <c r="L533" s="31">
        <f t="shared" si="77"/>
        <v>-12.3</v>
      </c>
      <c r="Z533" s="156" t="s">
        <v>1805</v>
      </c>
      <c r="BR533" s="33"/>
      <c r="BS533" s="34"/>
      <c r="CA533" s="44"/>
      <c r="CB533" s="44"/>
      <c r="CH533" s="44"/>
      <c r="CV533" s="31" t="s">
        <v>1679</v>
      </c>
      <c r="CW533" s="33"/>
      <c r="CX533" s="33"/>
      <c r="CY533" s="33"/>
      <c r="CZ533" s="113" t="s">
        <v>212</v>
      </c>
      <c r="DA533" s="31">
        <v>1</v>
      </c>
      <c r="DB533" s="31">
        <v>1</v>
      </c>
      <c r="DC533" s="31">
        <v>1</v>
      </c>
    </row>
    <row r="534" spans="1:107">
      <c r="A534" s="113" t="s">
        <v>1628</v>
      </c>
      <c r="B534" s="113" t="s">
        <v>1481</v>
      </c>
      <c r="C534" s="37"/>
      <c r="E534" s="31">
        <v>9</v>
      </c>
      <c r="F534" s="31" t="str">
        <f t="shared" si="76"/>
        <v>Intelligence 5</v>
      </c>
      <c r="I534" s="113" t="s">
        <v>222</v>
      </c>
      <c r="L534" s="31">
        <f t="shared" si="77"/>
        <v>-12.3</v>
      </c>
      <c r="Z534" s="156" t="s">
        <v>1806</v>
      </c>
      <c r="BR534" s="33"/>
      <c r="BS534" s="34"/>
      <c r="CA534" s="44"/>
      <c r="CB534" s="44"/>
      <c r="CH534" s="44"/>
      <c r="CV534" s="31" t="s">
        <v>1680</v>
      </c>
      <c r="CW534" s="33"/>
      <c r="CX534" s="33"/>
      <c r="CY534" s="33"/>
      <c r="CZ534" s="113" t="s">
        <v>212</v>
      </c>
      <c r="DA534" s="31">
        <v>1</v>
      </c>
      <c r="DB534" s="31">
        <v>1</v>
      </c>
      <c r="DC534" s="31">
        <v>1</v>
      </c>
    </row>
    <row r="535" spans="1:107">
      <c r="A535" s="113" t="s">
        <v>1629</v>
      </c>
      <c r="B535" s="113" t="s">
        <v>1481</v>
      </c>
      <c r="C535" s="37"/>
      <c r="E535" s="31">
        <v>10</v>
      </c>
      <c r="F535" s="31" t="str">
        <f t="shared" si="76"/>
        <v>Intelligence 6</v>
      </c>
      <c r="I535" s="113" t="s">
        <v>219</v>
      </c>
      <c r="L535" s="31">
        <f t="shared" si="77"/>
        <v>-13.4</v>
      </c>
      <c r="Z535" s="156" t="s">
        <v>1803</v>
      </c>
      <c r="BR535" s="33"/>
      <c r="BS535" s="34"/>
      <c r="CA535" s="44"/>
      <c r="CB535" s="44"/>
      <c r="CH535" s="44"/>
      <c r="CV535" s="136" t="s">
        <v>1677</v>
      </c>
      <c r="CW535" s="33"/>
      <c r="CX535" s="33"/>
      <c r="CY535" s="33"/>
      <c r="CZ535" s="113" t="s">
        <v>212</v>
      </c>
      <c r="DA535" s="31">
        <v>1</v>
      </c>
      <c r="DB535" s="31">
        <v>1</v>
      </c>
      <c r="DC535" s="31">
        <v>1</v>
      </c>
    </row>
    <row r="536" spans="1:107">
      <c r="A536" s="113" t="s">
        <v>1630</v>
      </c>
      <c r="B536" s="113" t="s">
        <v>1481</v>
      </c>
      <c r="C536" s="37"/>
      <c r="E536" s="31">
        <v>10</v>
      </c>
      <c r="F536" s="31" t="str">
        <f t="shared" si="76"/>
        <v>Intelligence 6</v>
      </c>
      <c r="I536" s="113" t="s">
        <v>224</v>
      </c>
      <c r="L536" s="31">
        <f t="shared" si="77"/>
        <v>-13.4</v>
      </c>
      <c r="Z536" s="156" t="s">
        <v>1804</v>
      </c>
      <c r="BR536" s="33"/>
      <c r="BS536" s="34"/>
      <c r="CA536" s="44"/>
      <c r="CB536" s="44"/>
      <c r="CH536" s="44"/>
      <c r="CV536" s="31" t="s">
        <v>1678</v>
      </c>
      <c r="CW536" s="33"/>
      <c r="CX536" s="33"/>
      <c r="CY536" s="33"/>
      <c r="CZ536" s="113" t="s">
        <v>212</v>
      </c>
      <c r="DA536" s="31">
        <v>1</v>
      </c>
      <c r="DB536" s="31">
        <v>1</v>
      </c>
      <c r="DC536" s="31">
        <v>1</v>
      </c>
    </row>
    <row r="537" spans="1:107">
      <c r="A537" s="113" t="s">
        <v>1631</v>
      </c>
      <c r="B537" s="113" t="s">
        <v>1481</v>
      </c>
      <c r="C537" s="37"/>
      <c r="E537" s="31">
        <v>10</v>
      </c>
      <c r="F537" s="31" t="str">
        <f t="shared" si="76"/>
        <v>Intelligence 6</v>
      </c>
      <c r="I537" s="113" t="s">
        <v>216</v>
      </c>
      <c r="L537" s="31">
        <f t="shared" si="77"/>
        <v>-13.4</v>
      </c>
      <c r="Z537" s="156" t="s">
        <v>1805</v>
      </c>
      <c r="BR537" s="33"/>
      <c r="BS537" s="34"/>
      <c r="CA537" s="44"/>
      <c r="CB537" s="44"/>
      <c r="CH537" s="44"/>
      <c r="CV537" s="31" t="s">
        <v>1679</v>
      </c>
      <c r="CW537" s="33"/>
      <c r="CX537" s="33"/>
      <c r="CY537" s="33"/>
      <c r="CZ537" s="113" t="s">
        <v>212</v>
      </c>
      <c r="DA537" s="31">
        <v>1</v>
      </c>
      <c r="DB537" s="31">
        <v>1</v>
      </c>
      <c r="DC537" s="31">
        <v>1</v>
      </c>
    </row>
    <row r="538" spans="1:107">
      <c r="A538" s="113" t="s">
        <v>1632</v>
      </c>
      <c r="B538" s="113" t="s">
        <v>1481</v>
      </c>
      <c r="C538" s="37"/>
      <c r="E538" s="31">
        <v>10</v>
      </c>
      <c r="F538" s="31" t="str">
        <f t="shared" si="76"/>
        <v>Intelligence 6</v>
      </c>
      <c r="I538" s="113" t="s">
        <v>222</v>
      </c>
      <c r="L538" s="31">
        <f t="shared" si="77"/>
        <v>-13.4</v>
      </c>
      <c r="Z538" s="156" t="s">
        <v>1806</v>
      </c>
      <c r="BR538" s="33"/>
      <c r="BS538" s="34"/>
      <c r="CA538" s="44"/>
      <c r="CB538" s="44"/>
      <c r="CH538" s="44"/>
      <c r="CV538" s="31" t="s">
        <v>1680</v>
      </c>
      <c r="CW538" s="33"/>
      <c r="CX538" s="33"/>
      <c r="CY538" s="33"/>
      <c r="CZ538" s="113" t="s">
        <v>212</v>
      </c>
      <c r="DA538" s="31">
        <v>1</v>
      </c>
      <c r="DB538" s="31">
        <v>1</v>
      </c>
      <c r="DC538" s="31">
        <v>1</v>
      </c>
    </row>
    <row r="539" spans="1:107">
      <c r="A539" s="113" t="s">
        <v>1633</v>
      </c>
      <c r="B539" s="113" t="s">
        <v>1481</v>
      </c>
      <c r="C539" s="37"/>
      <c r="E539" s="31">
        <v>11</v>
      </c>
      <c r="F539" s="31" t="str">
        <f t="shared" si="76"/>
        <v>Intelligence 6</v>
      </c>
      <c r="I539" s="113" t="s">
        <v>219</v>
      </c>
      <c r="L539" s="31">
        <f t="shared" si="77"/>
        <v>-14.500000000000002</v>
      </c>
      <c r="Z539" s="156" t="s">
        <v>1803</v>
      </c>
      <c r="BR539" s="33"/>
      <c r="BS539" s="34"/>
      <c r="CA539" s="44"/>
      <c r="CB539" s="44"/>
      <c r="CH539" s="44"/>
      <c r="CV539" s="136" t="s">
        <v>1677</v>
      </c>
      <c r="CW539" s="33"/>
      <c r="CX539" s="33"/>
      <c r="CY539" s="33"/>
      <c r="CZ539" s="113" t="s">
        <v>212</v>
      </c>
      <c r="DA539" s="31">
        <v>1</v>
      </c>
      <c r="DB539" s="31">
        <v>1</v>
      </c>
      <c r="DC539" s="31">
        <v>1</v>
      </c>
    </row>
    <row r="540" spans="1:107">
      <c r="A540" s="113" t="s">
        <v>1634</v>
      </c>
      <c r="B540" s="113" t="s">
        <v>1481</v>
      </c>
      <c r="C540" s="37"/>
      <c r="E540" s="31">
        <v>11</v>
      </c>
      <c r="F540" s="31" t="str">
        <f t="shared" si="76"/>
        <v>Intelligence 6</v>
      </c>
      <c r="I540" s="113" t="s">
        <v>224</v>
      </c>
      <c r="L540" s="31">
        <f t="shared" si="77"/>
        <v>-14.500000000000002</v>
      </c>
      <c r="Z540" s="156" t="s">
        <v>1804</v>
      </c>
      <c r="BR540" s="33"/>
      <c r="BS540" s="34"/>
      <c r="CA540" s="44"/>
      <c r="CB540" s="44"/>
      <c r="CH540" s="44"/>
      <c r="CV540" s="31" t="s">
        <v>1678</v>
      </c>
      <c r="CW540" s="33"/>
      <c r="CX540" s="33"/>
      <c r="CY540" s="33"/>
      <c r="CZ540" s="113" t="s">
        <v>212</v>
      </c>
      <c r="DA540" s="31">
        <v>1</v>
      </c>
      <c r="DB540" s="31">
        <v>1</v>
      </c>
      <c r="DC540" s="31">
        <v>1</v>
      </c>
    </row>
    <row r="541" spans="1:107">
      <c r="A541" s="113" t="s">
        <v>1635</v>
      </c>
      <c r="B541" s="113" t="s">
        <v>1481</v>
      </c>
      <c r="C541" s="37"/>
      <c r="E541" s="31">
        <v>11</v>
      </c>
      <c r="F541" s="31" t="str">
        <f t="shared" si="76"/>
        <v>Intelligence 6</v>
      </c>
      <c r="I541" s="113" t="s">
        <v>216</v>
      </c>
      <c r="L541" s="31">
        <f t="shared" si="77"/>
        <v>-14.500000000000002</v>
      </c>
      <c r="Z541" s="156" t="s">
        <v>1805</v>
      </c>
      <c r="BR541" s="33"/>
      <c r="BS541" s="34"/>
      <c r="CA541" s="44"/>
      <c r="CB541" s="44"/>
      <c r="CH541" s="44"/>
      <c r="CV541" s="31" t="s">
        <v>1679</v>
      </c>
      <c r="CW541" s="33"/>
      <c r="CX541" s="33"/>
      <c r="CY541" s="33"/>
      <c r="CZ541" s="113" t="s">
        <v>212</v>
      </c>
      <c r="DA541" s="31">
        <v>1</v>
      </c>
      <c r="DB541" s="31">
        <v>1</v>
      </c>
      <c r="DC541" s="31">
        <v>1</v>
      </c>
    </row>
    <row r="542" spans="1:107">
      <c r="A542" s="113" t="s">
        <v>1636</v>
      </c>
      <c r="B542" s="113" t="s">
        <v>1481</v>
      </c>
      <c r="C542" s="37"/>
      <c r="E542" s="31">
        <v>11</v>
      </c>
      <c r="F542" s="31" t="str">
        <f t="shared" si="76"/>
        <v>Intelligence 6</v>
      </c>
      <c r="I542" s="113" t="s">
        <v>222</v>
      </c>
      <c r="L542" s="31">
        <f t="shared" si="77"/>
        <v>-14.500000000000002</v>
      </c>
      <c r="Z542" s="156" t="s">
        <v>1806</v>
      </c>
      <c r="BR542" s="33"/>
      <c r="BS542" s="34"/>
      <c r="CA542" s="44"/>
      <c r="CB542" s="44"/>
      <c r="CH542" s="44"/>
      <c r="CV542" s="31" t="s">
        <v>1681</v>
      </c>
      <c r="CW542" s="33"/>
      <c r="CX542" s="33"/>
      <c r="CY542" s="33"/>
      <c r="CZ542" s="113" t="s">
        <v>212</v>
      </c>
      <c r="DA542" s="31">
        <v>1</v>
      </c>
      <c r="DB542" s="31">
        <v>1</v>
      </c>
      <c r="DC542" s="31">
        <v>1</v>
      </c>
    </row>
    <row r="543" spans="1:107">
      <c r="A543" s="113" t="s">
        <v>1637</v>
      </c>
      <c r="B543" s="113" t="s">
        <v>1481</v>
      </c>
      <c r="C543" s="37"/>
      <c r="E543" s="31">
        <v>12</v>
      </c>
      <c r="F543" s="31" t="str">
        <f t="shared" ref="F543:F574" si="81">CONCATENATE("Intelligence ",MIN(MAX(ROUND(SQRT((IF(J543="",WandDamage,J543)+IF(J543="",WandDamage,J543)+IF(K543="",WandDamageRange,K543))*(E543/1.4))+1,0),5),15))</f>
        <v>Intelligence 6</v>
      </c>
      <c r="I543" s="113" t="s">
        <v>219</v>
      </c>
      <c r="L543" s="31">
        <f t="shared" si="77"/>
        <v>-15.600000000000001</v>
      </c>
      <c r="Z543" s="156" t="s">
        <v>1803</v>
      </c>
      <c r="BR543" s="33"/>
      <c r="BS543" s="34"/>
      <c r="CA543" s="44"/>
      <c r="CB543" s="44"/>
      <c r="CH543" s="44"/>
      <c r="CV543" s="136" t="s">
        <v>1682</v>
      </c>
      <c r="CW543" s="33"/>
      <c r="CX543" s="33"/>
      <c r="CY543" s="33"/>
      <c r="CZ543" s="113" t="s">
        <v>212</v>
      </c>
      <c r="DA543" s="31">
        <v>1</v>
      </c>
      <c r="DB543" s="31">
        <v>1</v>
      </c>
      <c r="DC543" s="31">
        <v>1</v>
      </c>
    </row>
    <row r="544" spans="1:107">
      <c r="A544" s="113" t="s">
        <v>1638</v>
      </c>
      <c r="B544" s="113" t="s">
        <v>1481</v>
      </c>
      <c r="C544" s="37"/>
      <c r="E544" s="31">
        <v>12</v>
      </c>
      <c r="F544" s="31" t="str">
        <f t="shared" si="81"/>
        <v>Intelligence 6</v>
      </c>
      <c r="I544" s="113" t="s">
        <v>224</v>
      </c>
      <c r="L544" s="31">
        <f t="shared" si="77"/>
        <v>-15.600000000000001</v>
      </c>
      <c r="Z544" s="156" t="s">
        <v>1804</v>
      </c>
      <c r="BR544" s="33"/>
      <c r="BS544" s="34"/>
      <c r="CA544" s="44"/>
      <c r="CB544" s="44"/>
      <c r="CH544" s="44"/>
      <c r="CV544" s="31" t="s">
        <v>1683</v>
      </c>
      <c r="CW544" s="33"/>
      <c r="CX544" s="33"/>
      <c r="CY544" s="33"/>
      <c r="CZ544" s="113" t="s">
        <v>212</v>
      </c>
      <c r="DA544" s="31">
        <v>1</v>
      </c>
      <c r="DB544" s="31">
        <v>1</v>
      </c>
      <c r="DC544" s="31">
        <v>1</v>
      </c>
    </row>
    <row r="545" spans="1:107">
      <c r="A545" s="113" t="s">
        <v>1639</v>
      </c>
      <c r="B545" s="113" t="s">
        <v>1481</v>
      </c>
      <c r="C545" s="37"/>
      <c r="E545" s="31">
        <v>12</v>
      </c>
      <c r="F545" s="31" t="str">
        <f t="shared" si="81"/>
        <v>Intelligence 6</v>
      </c>
      <c r="I545" s="113" t="s">
        <v>216</v>
      </c>
      <c r="L545" s="31">
        <f t="shared" si="77"/>
        <v>-15.600000000000001</v>
      </c>
      <c r="Z545" s="156" t="s">
        <v>1805</v>
      </c>
      <c r="BR545" s="33"/>
      <c r="BS545" s="34"/>
      <c r="CA545" s="44"/>
      <c r="CB545" s="44"/>
      <c r="CH545" s="44"/>
      <c r="CV545" s="31" t="s">
        <v>1684</v>
      </c>
      <c r="CW545" s="33"/>
      <c r="CX545" s="33"/>
      <c r="CY545" s="33"/>
      <c r="CZ545" s="113" t="s">
        <v>212</v>
      </c>
      <c r="DA545" s="31">
        <v>1</v>
      </c>
      <c r="DB545" s="31">
        <v>1</v>
      </c>
      <c r="DC545" s="31">
        <v>1</v>
      </c>
    </row>
    <row r="546" spans="1:107">
      <c r="A546" s="113" t="s">
        <v>1640</v>
      </c>
      <c r="B546" s="113" t="s">
        <v>1481</v>
      </c>
      <c r="C546" s="37"/>
      <c r="E546" s="31">
        <v>12</v>
      </c>
      <c r="F546" s="31" t="str">
        <f t="shared" si="81"/>
        <v>Intelligence 6</v>
      </c>
      <c r="I546" s="113" t="s">
        <v>222</v>
      </c>
      <c r="L546" s="31">
        <f t="shared" si="77"/>
        <v>-15.600000000000001</v>
      </c>
      <c r="Z546" s="156" t="s">
        <v>1806</v>
      </c>
      <c r="BR546" s="33"/>
      <c r="BS546" s="34"/>
      <c r="CA546" s="44"/>
      <c r="CB546" s="44"/>
      <c r="CH546" s="44"/>
      <c r="CV546" s="31" t="s">
        <v>1681</v>
      </c>
      <c r="CW546" s="33"/>
      <c r="CX546" s="33"/>
      <c r="CY546" s="33"/>
      <c r="CZ546" s="113" t="s">
        <v>212</v>
      </c>
      <c r="DA546" s="31">
        <v>1</v>
      </c>
      <c r="DB546" s="31">
        <v>1</v>
      </c>
      <c r="DC546" s="31">
        <v>1</v>
      </c>
    </row>
    <row r="547" spans="1:107">
      <c r="A547" s="113" t="s">
        <v>1641</v>
      </c>
      <c r="B547" s="113" t="s">
        <v>1481</v>
      </c>
      <c r="C547" s="37"/>
      <c r="E547" s="31">
        <v>13</v>
      </c>
      <c r="F547" s="31" t="str">
        <f t="shared" si="81"/>
        <v>Intelligence 6</v>
      </c>
      <c r="I547" s="113" t="s">
        <v>219</v>
      </c>
      <c r="L547" s="31">
        <f t="shared" si="77"/>
        <v>-16.7</v>
      </c>
      <c r="Z547" s="156" t="s">
        <v>1803</v>
      </c>
      <c r="BR547" s="33"/>
      <c r="BS547" s="34"/>
      <c r="CA547" s="44"/>
      <c r="CB547" s="44"/>
      <c r="CH547" s="44"/>
      <c r="CV547" s="136" t="s">
        <v>1682</v>
      </c>
      <c r="CW547" s="33"/>
      <c r="CX547" s="33"/>
      <c r="CY547" s="33"/>
      <c r="CZ547" s="113" t="s">
        <v>212</v>
      </c>
      <c r="DA547" s="31">
        <v>1</v>
      </c>
      <c r="DB547" s="31">
        <v>1</v>
      </c>
      <c r="DC547" s="31">
        <v>1</v>
      </c>
    </row>
    <row r="548" spans="1:107">
      <c r="A548" s="113" t="s">
        <v>1642</v>
      </c>
      <c r="B548" s="113" t="s">
        <v>1481</v>
      </c>
      <c r="C548" s="37"/>
      <c r="E548" s="31">
        <v>13</v>
      </c>
      <c r="F548" s="31" t="str">
        <f t="shared" si="81"/>
        <v>Intelligence 6</v>
      </c>
      <c r="I548" s="113" t="s">
        <v>224</v>
      </c>
      <c r="L548" s="31">
        <f t="shared" si="77"/>
        <v>-16.7</v>
      </c>
      <c r="Z548" s="156" t="s">
        <v>1804</v>
      </c>
      <c r="BR548" s="33"/>
      <c r="BS548" s="34"/>
      <c r="CA548" s="44"/>
      <c r="CB548" s="44"/>
      <c r="CH548" s="44"/>
      <c r="CV548" s="31" t="s">
        <v>1683</v>
      </c>
      <c r="CW548" s="33"/>
      <c r="CX548" s="33"/>
      <c r="CY548" s="33"/>
      <c r="CZ548" s="113" t="s">
        <v>212</v>
      </c>
      <c r="DA548" s="31">
        <v>1</v>
      </c>
      <c r="DB548" s="31">
        <v>1</v>
      </c>
      <c r="DC548" s="31">
        <v>1</v>
      </c>
    </row>
    <row r="549" spans="1:107">
      <c r="A549" s="113" t="s">
        <v>1643</v>
      </c>
      <c r="B549" s="113" t="s">
        <v>1481</v>
      </c>
      <c r="C549" s="37"/>
      <c r="E549" s="31">
        <v>13</v>
      </c>
      <c r="F549" s="31" t="str">
        <f t="shared" si="81"/>
        <v>Intelligence 6</v>
      </c>
      <c r="I549" s="113" t="s">
        <v>216</v>
      </c>
      <c r="L549" s="31">
        <f t="shared" si="77"/>
        <v>-16.7</v>
      </c>
      <c r="Z549" s="156" t="s">
        <v>1805</v>
      </c>
      <c r="BR549" s="33"/>
      <c r="BS549" s="34"/>
      <c r="CA549" s="44"/>
      <c r="CB549" s="44"/>
      <c r="CH549" s="44"/>
      <c r="CV549" s="31" t="s">
        <v>1684</v>
      </c>
      <c r="CW549" s="33"/>
      <c r="CX549" s="33"/>
      <c r="CY549" s="33"/>
      <c r="CZ549" s="113" t="s">
        <v>212</v>
      </c>
      <c r="DA549" s="31">
        <v>1</v>
      </c>
      <c r="DB549" s="31">
        <v>1</v>
      </c>
      <c r="DC549" s="31">
        <v>1</v>
      </c>
    </row>
    <row r="550" spans="1:107">
      <c r="A550" s="113" t="s">
        <v>1644</v>
      </c>
      <c r="B550" s="113" t="s">
        <v>1481</v>
      </c>
      <c r="C550" s="37"/>
      <c r="E550" s="31">
        <v>13</v>
      </c>
      <c r="F550" s="31" t="str">
        <f t="shared" si="81"/>
        <v>Intelligence 6</v>
      </c>
      <c r="I550" s="113" t="s">
        <v>222</v>
      </c>
      <c r="L550" s="31">
        <f t="shared" si="77"/>
        <v>-16.7</v>
      </c>
      <c r="Z550" s="156" t="s">
        <v>1806</v>
      </c>
      <c r="BR550" s="33"/>
      <c r="BS550" s="34"/>
      <c r="CA550" s="44"/>
      <c r="CB550" s="44"/>
      <c r="CH550" s="44"/>
      <c r="CV550" s="31" t="s">
        <v>1681</v>
      </c>
      <c r="CW550" s="33"/>
      <c r="CX550" s="33"/>
      <c r="CY550" s="33"/>
      <c r="CZ550" s="113" t="s">
        <v>212</v>
      </c>
      <c r="DA550" s="31">
        <v>1</v>
      </c>
      <c r="DB550" s="31">
        <v>1</v>
      </c>
      <c r="DC550" s="31">
        <v>1</v>
      </c>
    </row>
    <row r="551" spans="1:107">
      <c r="A551" s="113" t="s">
        <v>1645</v>
      </c>
      <c r="B551" s="113" t="s">
        <v>1481</v>
      </c>
      <c r="C551" s="37"/>
      <c r="E551" s="31">
        <v>14</v>
      </c>
      <c r="F551" s="31" t="str">
        <f t="shared" si="81"/>
        <v>Intelligence 6</v>
      </c>
      <c r="I551" s="113" t="s">
        <v>219</v>
      </c>
      <c r="L551" s="31">
        <f t="shared" si="77"/>
        <v>-17.8</v>
      </c>
      <c r="Z551" s="156" t="s">
        <v>1803</v>
      </c>
      <c r="BR551" s="33"/>
      <c r="BS551" s="34"/>
      <c r="CA551" s="44"/>
      <c r="CB551" s="44"/>
      <c r="CH551" s="44"/>
      <c r="CV551" s="136" t="s">
        <v>1682</v>
      </c>
      <c r="CW551" s="33"/>
      <c r="CX551" s="33"/>
      <c r="CY551" s="33"/>
      <c r="CZ551" s="113" t="s">
        <v>212</v>
      </c>
      <c r="DA551" s="31">
        <v>1</v>
      </c>
      <c r="DB551" s="31">
        <v>1</v>
      </c>
      <c r="DC551" s="31">
        <v>1</v>
      </c>
    </row>
    <row r="552" spans="1:107">
      <c r="A552" s="113" t="s">
        <v>1646</v>
      </c>
      <c r="B552" s="113" t="s">
        <v>1481</v>
      </c>
      <c r="C552" s="37"/>
      <c r="E552" s="31">
        <v>14</v>
      </c>
      <c r="F552" s="31" t="str">
        <f t="shared" si="81"/>
        <v>Intelligence 6</v>
      </c>
      <c r="I552" s="113" t="s">
        <v>224</v>
      </c>
      <c r="L552" s="31">
        <f t="shared" si="77"/>
        <v>-17.8</v>
      </c>
      <c r="Z552" s="156" t="s">
        <v>1804</v>
      </c>
      <c r="BR552" s="33"/>
      <c r="BS552" s="34"/>
      <c r="CA552" s="44"/>
      <c r="CB552" s="44"/>
      <c r="CH552" s="44"/>
      <c r="CV552" s="31" t="s">
        <v>1683</v>
      </c>
      <c r="CW552" s="33"/>
      <c r="CX552" s="33"/>
      <c r="CY552" s="33"/>
      <c r="CZ552" s="113" t="s">
        <v>212</v>
      </c>
      <c r="DA552" s="31">
        <v>1</v>
      </c>
      <c r="DB552" s="31">
        <v>1</v>
      </c>
      <c r="DC552" s="31">
        <v>1</v>
      </c>
    </row>
    <row r="553" spans="1:107">
      <c r="A553" s="113" t="s">
        <v>1647</v>
      </c>
      <c r="B553" s="113" t="s">
        <v>1481</v>
      </c>
      <c r="C553" s="37"/>
      <c r="E553" s="31">
        <v>14</v>
      </c>
      <c r="F553" s="31" t="str">
        <f t="shared" si="81"/>
        <v>Intelligence 6</v>
      </c>
      <c r="I553" s="113" t="s">
        <v>216</v>
      </c>
      <c r="L553" s="31">
        <f t="shared" si="77"/>
        <v>-17.8</v>
      </c>
      <c r="Z553" s="156" t="s">
        <v>1805</v>
      </c>
      <c r="BR553" s="33"/>
      <c r="BS553" s="34"/>
      <c r="CA553" s="44"/>
      <c r="CB553" s="44"/>
      <c r="CH553" s="44"/>
      <c r="CV553" s="31" t="s">
        <v>1684</v>
      </c>
      <c r="CW553" s="33"/>
      <c r="CX553" s="33"/>
      <c r="CY553" s="33"/>
      <c r="CZ553" s="113" t="s">
        <v>212</v>
      </c>
      <c r="DA553" s="31">
        <v>1</v>
      </c>
      <c r="DB553" s="31">
        <v>1</v>
      </c>
      <c r="DC553" s="31">
        <v>1</v>
      </c>
    </row>
    <row r="554" spans="1:107">
      <c r="A554" s="113" t="s">
        <v>1648</v>
      </c>
      <c r="B554" s="113" t="s">
        <v>1481</v>
      </c>
      <c r="C554" s="37"/>
      <c r="E554" s="31">
        <v>14</v>
      </c>
      <c r="F554" s="31" t="str">
        <f t="shared" si="81"/>
        <v>Intelligence 6</v>
      </c>
      <c r="I554" s="113" t="s">
        <v>222</v>
      </c>
      <c r="L554" s="31">
        <f t="shared" si="77"/>
        <v>-17.8</v>
      </c>
      <c r="Z554" s="156" t="s">
        <v>1806</v>
      </c>
      <c r="BR554" s="33"/>
      <c r="BS554" s="34"/>
      <c r="CA554" s="44"/>
      <c r="CB554" s="44"/>
      <c r="CH554" s="44"/>
      <c r="CV554" s="31" t="s">
        <v>1681</v>
      </c>
      <c r="CW554" s="33"/>
      <c r="CX554" s="33"/>
      <c r="CY554" s="33"/>
      <c r="CZ554" s="113" t="s">
        <v>212</v>
      </c>
      <c r="DA554" s="31">
        <v>1</v>
      </c>
      <c r="DB554" s="31">
        <v>1</v>
      </c>
      <c r="DC554" s="31">
        <v>1</v>
      </c>
    </row>
    <row r="555" spans="1:107">
      <c r="A555" s="113" t="s">
        <v>1649</v>
      </c>
      <c r="B555" s="113" t="s">
        <v>1481</v>
      </c>
      <c r="C555" s="37"/>
      <c r="E555" s="31">
        <v>15</v>
      </c>
      <c r="F555" s="31" t="str">
        <f t="shared" si="81"/>
        <v>Intelligence 7</v>
      </c>
      <c r="I555" s="113" t="s">
        <v>219</v>
      </c>
      <c r="L555" s="31">
        <f t="shared" si="77"/>
        <v>-18.899999999999999</v>
      </c>
      <c r="Z555" s="156" t="s">
        <v>1803</v>
      </c>
      <c r="BR555" s="33"/>
      <c r="BS555" s="34"/>
      <c r="CA555" s="44"/>
      <c r="CB555" s="44"/>
      <c r="CH555" s="44"/>
      <c r="CV555" s="136" t="s">
        <v>1682</v>
      </c>
      <c r="CW555" s="33"/>
      <c r="CX555" s="33"/>
      <c r="CY555" s="33"/>
      <c r="CZ555" s="113" t="s">
        <v>212</v>
      </c>
      <c r="DA555" s="31">
        <v>1</v>
      </c>
      <c r="DB555" s="31">
        <v>1</v>
      </c>
      <c r="DC555" s="31">
        <v>1</v>
      </c>
    </row>
    <row r="556" spans="1:107">
      <c r="A556" s="113" t="s">
        <v>1650</v>
      </c>
      <c r="B556" s="113" t="s">
        <v>1481</v>
      </c>
      <c r="C556" s="37"/>
      <c r="E556" s="31">
        <v>15</v>
      </c>
      <c r="F556" s="31" t="str">
        <f t="shared" si="81"/>
        <v>Intelligence 7</v>
      </c>
      <c r="I556" s="113" t="s">
        <v>224</v>
      </c>
      <c r="L556" s="31">
        <f t="shared" si="77"/>
        <v>-18.899999999999999</v>
      </c>
      <c r="Z556" s="156" t="s">
        <v>1804</v>
      </c>
      <c r="BR556" s="33"/>
      <c r="BS556" s="34"/>
      <c r="CA556" s="44"/>
      <c r="CB556" s="44"/>
      <c r="CH556" s="44"/>
      <c r="CV556" s="31" t="s">
        <v>1683</v>
      </c>
      <c r="CW556" s="33"/>
      <c r="CX556" s="33"/>
      <c r="CY556" s="33"/>
      <c r="CZ556" s="113" t="s">
        <v>212</v>
      </c>
      <c r="DA556" s="31">
        <v>1</v>
      </c>
      <c r="DB556" s="31">
        <v>1</v>
      </c>
      <c r="DC556" s="31">
        <v>1</v>
      </c>
    </row>
    <row r="557" spans="1:107">
      <c r="A557" s="113" t="s">
        <v>1651</v>
      </c>
      <c r="B557" s="113" t="s">
        <v>1481</v>
      </c>
      <c r="C557" s="37"/>
      <c r="E557" s="31">
        <v>15</v>
      </c>
      <c r="F557" s="31" t="str">
        <f t="shared" si="81"/>
        <v>Intelligence 7</v>
      </c>
      <c r="I557" s="113" t="s">
        <v>216</v>
      </c>
      <c r="L557" s="31">
        <f t="shared" si="77"/>
        <v>-18.899999999999999</v>
      </c>
      <c r="Z557" s="156" t="s">
        <v>1805</v>
      </c>
      <c r="BR557" s="33"/>
      <c r="BS557" s="34"/>
      <c r="CA557" s="44"/>
      <c r="CB557" s="44"/>
      <c r="CH557" s="44"/>
      <c r="CV557" s="31" t="s">
        <v>1684</v>
      </c>
      <c r="CW557" s="33"/>
      <c r="CX557" s="33"/>
      <c r="CY557" s="33"/>
      <c r="CZ557" s="113" t="s">
        <v>212</v>
      </c>
      <c r="DA557" s="31">
        <v>1</v>
      </c>
      <c r="DB557" s="31">
        <v>1</v>
      </c>
      <c r="DC557" s="31">
        <v>1</v>
      </c>
    </row>
    <row r="558" spans="1:107">
      <c r="A558" s="113" t="s">
        <v>1652</v>
      </c>
      <c r="B558" s="113" t="s">
        <v>1481</v>
      </c>
      <c r="C558" s="37"/>
      <c r="E558" s="31">
        <v>15</v>
      </c>
      <c r="F558" s="31" t="str">
        <f t="shared" si="81"/>
        <v>Intelligence 7</v>
      </c>
      <c r="I558" s="113" t="s">
        <v>222</v>
      </c>
      <c r="L558" s="31">
        <f t="shared" si="77"/>
        <v>-18.899999999999999</v>
      </c>
      <c r="Z558" s="156" t="s">
        <v>1806</v>
      </c>
      <c r="BR558" s="33"/>
      <c r="BS558" s="34"/>
      <c r="CA558" s="44"/>
      <c r="CB558" s="44"/>
      <c r="CH558" s="44"/>
      <c r="CV558" s="31" t="s">
        <v>1681</v>
      </c>
      <c r="CW558" s="33"/>
      <c r="CX558" s="33"/>
      <c r="CY558" s="33"/>
      <c r="CZ558" s="113" t="s">
        <v>212</v>
      </c>
      <c r="DA558" s="31">
        <v>1</v>
      </c>
      <c r="DB558" s="31">
        <v>1</v>
      </c>
      <c r="DC558" s="31">
        <v>1</v>
      </c>
    </row>
    <row r="559" spans="1:107">
      <c r="A559" s="113" t="s">
        <v>1653</v>
      </c>
      <c r="B559" s="113" t="s">
        <v>1481</v>
      </c>
      <c r="C559" s="37"/>
      <c r="E559" s="31">
        <v>16</v>
      </c>
      <c r="F559" s="31" t="str">
        <f t="shared" si="81"/>
        <v>Intelligence 7</v>
      </c>
      <c r="I559" s="113" t="s">
        <v>219</v>
      </c>
      <c r="L559" s="31">
        <f t="shared" si="77"/>
        <v>-20</v>
      </c>
      <c r="Z559" s="156" t="s">
        <v>1803</v>
      </c>
      <c r="BR559" s="33"/>
      <c r="BS559" s="34"/>
      <c r="CA559" s="44"/>
      <c r="CB559" s="44"/>
      <c r="CH559" s="44"/>
      <c r="CV559" s="136" t="s">
        <v>1685</v>
      </c>
      <c r="CW559" s="33"/>
      <c r="CX559" s="33"/>
      <c r="CY559" s="33"/>
      <c r="CZ559" s="113" t="s">
        <v>212</v>
      </c>
      <c r="DA559" s="31">
        <v>1</v>
      </c>
      <c r="DB559" s="31">
        <v>1</v>
      </c>
      <c r="DC559" s="31">
        <v>1</v>
      </c>
    </row>
    <row r="560" spans="1:107">
      <c r="A560" s="113" t="s">
        <v>1654</v>
      </c>
      <c r="B560" s="113" t="s">
        <v>1481</v>
      </c>
      <c r="C560" s="37"/>
      <c r="E560" s="31">
        <v>16</v>
      </c>
      <c r="F560" s="31" t="str">
        <f t="shared" si="81"/>
        <v>Intelligence 7</v>
      </c>
      <c r="I560" s="113" t="s">
        <v>224</v>
      </c>
      <c r="L560" s="31">
        <f t="shared" si="77"/>
        <v>-20</v>
      </c>
      <c r="Z560" s="156" t="s">
        <v>1804</v>
      </c>
      <c r="BR560" s="33"/>
      <c r="BS560" s="34"/>
      <c r="CA560" s="44"/>
      <c r="CB560" s="44"/>
      <c r="CH560" s="44"/>
      <c r="CV560" s="31" t="s">
        <v>1686</v>
      </c>
      <c r="CW560" s="33"/>
      <c r="CX560" s="33"/>
      <c r="CY560" s="33"/>
      <c r="CZ560" s="113" t="s">
        <v>212</v>
      </c>
      <c r="DA560" s="31">
        <v>1</v>
      </c>
      <c r="DB560" s="31">
        <v>1</v>
      </c>
      <c r="DC560" s="31">
        <v>1</v>
      </c>
    </row>
    <row r="561" spans="1:107">
      <c r="A561" s="113" t="s">
        <v>1655</v>
      </c>
      <c r="B561" s="113" t="s">
        <v>1481</v>
      </c>
      <c r="C561" s="37"/>
      <c r="E561" s="31">
        <v>16</v>
      </c>
      <c r="F561" s="31" t="str">
        <f t="shared" si="81"/>
        <v>Intelligence 7</v>
      </c>
      <c r="I561" s="113" t="s">
        <v>216</v>
      </c>
      <c r="L561" s="31">
        <f t="shared" si="77"/>
        <v>-20</v>
      </c>
      <c r="Z561" s="156" t="s">
        <v>1805</v>
      </c>
      <c r="BR561" s="33"/>
      <c r="BS561" s="34"/>
      <c r="CA561" s="44"/>
      <c r="CB561" s="44"/>
      <c r="CH561" s="44"/>
      <c r="CV561" s="31" t="s">
        <v>1687</v>
      </c>
      <c r="CW561" s="33"/>
      <c r="CX561" s="33"/>
      <c r="CY561" s="33"/>
      <c r="CZ561" s="113" t="s">
        <v>212</v>
      </c>
      <c r="DA561" s="31">
        <v>1</v>
      </c>
      <c r="DB561" s="31">
        <v>1</v>
      </c>
      <c r="DC561" s="31">
        <v>1</v>
      </c>
    </row>
    <row r="562" spans="1:107">
      <c r="A562" s="113" t="s">
        <v>1656</v>
      </c>
      <c r="B562" s="113" t="s">
        <v>1481</v>
      </c>
      <c r="C562" s="37"/>
      <c r="E562" s="31">
        <v>16</v>
      </c>
      <c r="F562" s="31" t="str">
        <f t="shared" si="81"/>
        <v>Intelligence 7</v>
      </c>
      <c r="I562" s="113" t="s">
        <v>222</v>
      </c>
      <c r="L562" s="31">
        <f t="shared" si="77"/>
        <v>-20</v>
      </c>
      <c r="Z562" s="156" t="s">
        <v>1806</v>
      </c>
      <c r="BR562" s="33"/>
      <c r="BS562" s="34"/>
      <c r="CA562" s="44"/>
      <c r="CB562" s="44"/>
      <c r="CH562" s="44"/>
      <c r="CV562" s="31" t="s">
        <v>1688</v>
      </c>
      <c r="CW562" s="33"/>
      <c r="CX562" s="33"/>
      <c r="CY562" s="33"/>
      <c r="CZ562" s="113" t="s">
        <v>212</v>
      </c>
      <c r="DA562" s="31">
        <v>1</v>
      </c>
      <c r="DB562" s="31">
        <v>1</v>
      </c>
      <c r="DC562" s="31">
        <v>1</v>
      </c>
    </row>
    <row r="563" spans="1:107">
      <c r="A563" s="113" t="s">
        <v>1657</v>
      </c>
      <c r="B563" s="113" t="s">
        <v>1481</v>
      </c>
      <c r="C563" s="37"/>
      <c r="E563" s="31">
        <v>17</v>
      </c>
      <c r="F563" s="31" t="str">
        <f t="shared" si="81"/>
        <v>Intelligence 7</v>
      </c>
      <c r="I563" s="113" t="s">
        <v>219</v>
      </c>
      <c r="L563" s="31">
        <f t="shared" si="77"/>
        <v>-21.1</v>
      </c>
      <c r="Z563" s="156" t="s">
        <v>1803</v>
      </c>
      <c r="BR563" s="33"/>
      <c r="BS563" s="34"/>
      <c r="CA563" s="44"/>
      <c r="CB563" s="44"/>
      <c r="CH563" s="44"/>
      <c r="CV563" s="136" t="s">
        <v>1685</v>
      </c>
      <c r="CW563" s="33"/>
      <c r="CX563" s="33"/>
      <c r="CY563" s="33"/>
      <c r="CZ563" s="113" t="s">
        <v>212</v>
      </c>
      <c r="DA563" s="31">
        <v>1</v>
      </c>
      <c r="DB563" s="31">
        <v>1</v>
      </c>
      <c r="DC563" s="31">
        <v>1</v>
      </c>
    </row>
    <row r="564" spans="1:107">
      <c r="A564" s="113" t="s">
        <v>1658</v>
      </c>
      <c r="B564" s="113" t="s">
        <v>1481</v>
      </c>
      <c r="C564" s="37"/>
      <c r="E564" s="31">
        <v>17</v>
      </c>
      <c r="F564" s="31" t="str">
        <f t="shared" si="81"/>
        <v>Intelligence 7</v>
      </c>
      <c r="I564" s="113" t="s">
        <v>224</v>
      </c>
      <c r="L564" s="31">
        <f t="shared" ref="L564:L585" si="82">-E564*1.1-2.4</f>
        <v>-21.1</v>
      </c>
      <c r="Z564" s="156" t="s">
        <v>1804</v>
      </c>
      <c r="BR564" s="33"/>
      <c r="BS564" s="34"/>
      <c r="CA564" s="44"/>
      <c r="CB564" s="44"/>
      <c r="CH564" s="44"/>
      <c r="CV564" s="31" t="s">
        <v>1686</v>
      </c>
      <c r="CW564" s="33"/>
      <c r="CX564" s="33"/>
      <c r="CY564" s="33"/>
      <c r="CZ564" s="113" t="s">
        <v>212</v>
      </c>
      <c r="DA564" s="31">
        <v>1</v>
      </c>
      <c r="DB564" s="31">
        <v>1</v>
      </c>
      <c r="DC564" s="31">
        <v>1</v>
      </c>
    </row>
    <row r="565" spans="1:107">
      <c r="A565" s="113" t="s">
        <v>1659</v>
      </c>
      <c r="B565" s="113" t="s">
        <v>1481</v>
      </c>
      <c r="C565" s="37"/>
      <c r="E565" s="31">
        <v>17</v>
      </c>
      <c r="F565" s="31" t="str">
        <f t="shared" si="81"/>
        <v>Intelligence 7</v>
      </c>
      <c r="I565" s="113" t="s">
        <v>216</v>
      </c>
      <c r="L565" s="31">
        <f t="shared" si="82"/>
        <v>-21.1</v>
      </c>
      <c r="Z565" s="156" t="s">
        <v>1805</v>
      </c>
      <c r="BR565" s="33"/>
      <c r="BS565" s="34"/>
      <c r="CA565" s="44"/>
      <c r="CB565" s="44"/>
      <c r="CH565" s="44"/>
      <c r="CV565" s="31" t="s">
        <v>1687</v>
      </c>
      <c r="CW565" s="33"/>
      <c r="CX565" s="33"/>
      <c r="CY565" s="33"/>
      <c r="CZ565" s="113" t="s">
        <v>212</v>
      </c>
      <c r="DA565" s="31">
        <v>1</v>
      </c>
      <c r="DB565" s="31">
        <v>1</v>
      </c>
      <c r="DC565" s="31">
        <v>1</v>
      </c>
    </row>
    <row r="566" spans="1:107">
      <c r="A566" s="113" t="s">
        <v>1660</v>
      </c>
      <c r="B566" s="113" t="s">
        <v>1481</v>
      </c>
      <c r="C566" s="37"/>
      <c r="E566" s="31">
        <v>17</v>
      </c>
      <c r="F566" s="31" t="str">
        <f t="shared" si="81"/>
        <v>Intelligence 7</v>
      </c>
      <c r="I566" s="113" t="s">
        <v>222</v>
      </c>
      <c r="L566" s="31">
        <f t="shared" si="82"/>
        <v>-21.1</v>
      </c>
      <c r="Z566" s="156" t="s">
        <v>1806</v>
      </c>
      <c r="BR566" s="33"/>
      <c r="BS566" s="34"/>
      <c r="CA566" s="44"/>
      <c r="CB566" s="44"/>
      <c r="CH566" s="44"/>
      <c r="CV566" s="31" t="s">
        <v>1688</v>
      </c>
      <c r="CW566" s="33"/>
      <c r="CX566" s="33"/>
      <c r="CY566" s="33"/>
      <c r="CZ566" s="113" t="s">
        <v>212</v>
      </c>
      <c r="DA566" s="31">
        <v>1</v>
      </c>
      <c r="DB566" s="31">
        <v>1</v>
      </c>
      <c r="DC566" s="31">
        <v>1</v>
      </c>
    </row>
    <row r="567" spans="1:107">
      <c r="A567" s="113" t="s">
        <v>1661</v>
      </c>
      <c r="B567" s="113" t="s">
        <v>1481</v>
      </c>
      <c r="C567" s="37"/>
      <c r="E567" s="31">
        <v>18</v>
      </c>
      <c r="F567" s="31" t="str">
        <f t="shared" si="81"/>
        <v>Intelligence 7</v>
      </c>
      <c r="I567" s="113" t="s">
        <v>219</v>
      </c>
      <c r="L567" s="31">
        <f t="shared" si="82"/>
        <v>-22.2</v>
      </c>
      <c r="Z567" s="156" t="s">
        <v>1803</v>
      </c>
      <c r="BR567" s="33"/>
      <c r="BS567" s="34"/>
      <c r="CA567" s="44"/>
      <c r="CB567" s="44"/>
      <c r="CH567" s="44"/>
      <c r="CV567" s="136" t="s">
        <v>1685</v>
      </c>
      <c r="CW567" s="33"/>
      <c r="CX567" s="33"/>
      <c r="CY567" s="33"/>
      <c r="CZ567" s="113" t="s">
        <v>212</v>
      </c>
      <c r="DA567" s="31">
        <v>1</v>
      </c>
      <c r="DB567" s="31">
        <v>1</v>
      </c>
      <c r="DC567" s="31">
        <v>1</v>
      </c>
    </row>
    <row r="568" spans="1:107">
      <c r="A568" s="113" t="s">
        <v>1662</v>
      </c>
      <c r="B568" s="113" t="s">
        <v>1481</v>
      </c>
      <c r="C568" s="37"/>
      <c r="E568" s="31">
        <v>18</v>
      </c>
      <c r="F568" s="31" t="str">
        <f t="shared" si="81"/>
        <v>Intelligence 7</v>
      </c>
      <c r="I568" s="113" t="s">
        <v>224</v>
      </c>
      <c r="L568" s="31">
        <f t="shared" si="82"/>
        <v>-22.2</v>
      </c>
      <c r="Z568" s="156" t="s">
        <v>1804</v>
      </c>
      <c r="BR568" s="33"/>
      <c r="BS568" s="34"/>
      <c r="CA568" s="44"/>
      <c r="CB568" s="44"/>
      <c r="CH568" s="44"/>
      <c r="CV568" s="31" t="s">
        <v>1686</v>
      </c>
      <c r="CW568" s="33"/>
      <c r="CX568" s="33"/>
      <c r="CY568" s="33"/>
      <c r="CZ568" s="113" t="s">
        <v>212</v>
      </c>
      <c r="DA568" s="31">
        <v>1</v>
      </c>
      <c r="DB568" s="31">
        <v>1</v>
      </c>
      <c r="DC568" s="31">
        <v>1</v>
      </c>
    </row>
    <row r="569" spans="1:107">
      <c r="A569" s="113" t="s">
        <v>1663</v>
      </c>
      <c r="B569" s="113" t="s">
        <v>1481</v>
      </c>
      <c r="C569" s="37"/>
      <c r="E569" s="31">
        <v>18</v>
      </c>
      <c r="F569" s="31" t="str">
        <f t="shared" si="81"/>
        <v>Intelligence 7</v>
      </c>
      <c r="I569" s="113" t="s">
        <v>216</v>
      </c>
      <c r="L569" s="31">
        <f t="shared" si="82"/>
        <v>-22.2</v>
      </c>
      <c r="Z569" s="156" t="s">
        <v>1805</v>
      </c>
      <c r="BR569" s="33"/>
      <c r="BS569" s="34"/>
      <c r="CA569" s="44"/>
      <c r="CB569" s="44"/>
      <c r="CH569" s="44"/>
      <c r="CV569" s="31" t="s">
        <v>1687</v>
      </c>
      <c r="CW569" s="33"/>
      <c r="CX569" s="33"/>
      <c r="CY569" s="33"/>
      <c r="CZ569" s="113" t="s">
        <v>212</v>
      </c>
      <c r="DA569" s="31">
        <v>1</v>
      </c>
      <c r="DB569" s="31">
        <v>1</v>
      </c>
      <c r="DC569" s="31">
        <v>1</v>
      </c>
    </row>
    <row r="570" spans="1:107">
      <c r="A570" s="113" t="s">
        <v>1664</v>
      </c>
      <c r="B570" s="113" t="s">
        <v>1481</v>
      </c>
      <c r="C570" s="37"/>
      <c r="E570" s="31">
        <v>18</v>
      </c>
      <c r="F570" s="31" t="str">
        <f t="shared" si="81"/>
        <v>Intelligence 7</v>
      </c>
      <c r="I570" s="113" t="s">
        <v>222</v>
      </c>
      <c r="L570" s="31">
        <f t="shared" si="82"/>
        <v>-22.2</v>
      </c>
      <c r="Z570" s="156" t="s">
        <v>1806</v>
      </c>
      <c r="BR570" s="33"/>
      <c r="BS570" s="34"/>
      <c r="CA570" s="44"/>
      <c r="CB570" s="44"/>
      <c r="CH570" s="44"/>
      <c r="CV570" s="31" t="s">
        <v>1688</v>
      </c>
      <c r="CW570" s="33"/>
      <c r="CX570" s="33"/>
      <c r="CY570" s="33"/>
      <c r="CZ570" s="113" t="s">
        <v>212</v>
      </c>
      <c r="DA570" s="31">
        <v>1</v>
      </c>
      <c r="DB570" s="31">
        <v>1</v>
      </c>
      <c r="DC570" s="31">
        <v>1</v>
      </c>
    </row>
    <row r="571" spans="1:107">
      <c r="A571" s="113" t="s">
        <v>1665</v>
      </c>
      <c r="B571" s="113" t="s">
        <v>1481</v>
      </c>
      <c r="C571" s="37"/>
      <c r="E571" s="31">
        <v>19</v>
      </c>
      <c r="F571" s="31" t="str">
        <f t="shared" si="81"/>
        <v>Intelligence 7</v>
      </c>
      <c r="I571" s="113" t="s">
        <v>219</v>
      </c>
      <c r="L571" s="31">
        <f t="shared" si="82"/>
        <v>-23.3</v>
      </c>
      <c r="Z571" s="156" t="s">
        <v>1803</v>
      </c>
      <c r="BR571" s="33"/>
      <c r="BS571" s="34"/>
      <c r="CA571" s="44"/>
      <c r="CB571" s="44"/>
      <c r="CH571" s="44"/>
      <c r="CV571" s="136" t="s">
        <v>1685</v>
      </c>
      <c r="CW571" s="33"/>
      <c r="CX571" s="33"/>
      <c r="CY571" s="33"/>
      <c r="CZ571" s="113" t="s">
        <v>212</v>
      </c>
      <c r="DA571" s="31">
        <v>1</v>
      </c>
      <c r="DB571" s="31">
        <v>1</v>
      </c>
      <c r="DC571" s="31">
        <v>1</v>
      </c>
    </row>
    <row r="572" spans="1:107">
      <c r="A572" s="113" t="s">
        <v>1666</v>
      </c>
      <c r="B572" s="113" t="s">
        <v>1481</v>
      </c>
      <c r="C572" s="37"/>
      <c r="E572" s="31">
        <v>19</v>
      </c>
      <c r="F572" s="31" t="str">
        <f t="shared" si="81"/>
        <v>Intelligence 7</v>
      </c>
      <c r="I572" s="113" t="s">
        <v>224</v>
      </c>
      <c r="L572" s="31">
        <f t="shared" si="82"/>
        <v>-23.3</v>
      </c>
      <c r="Z572" s="156" t="s">
        <v>1804</v>
      </c>
      <c r="BR572" s="33"/>
      <c r="BS572" s="34"/>
      <c r="CA572" s="44"/>
      <c r="CB572" s="44"/>
      <c r="CH572" s="44"/>
      <c r="CV572" s="31" t="s">
        <v>1686</v>
      </c>
      <c r="CW572" s="33"/>
      <c r="CX572" s="33"/>
      <c r="CY572" s="33"/>
      <c r="CZ572" s="113" t="s">
        <v>212</v>
      </c>
      <c r="DA572" s="31">
        <v>1</v>
      </c>
      <c r="DB572" s="31">
        <v>1</v>
      </c>
      <c r="DC572" s="31">
        <v>1</v>
      </c>
    </row>
    <row r="573" spans="1:107">
      <c r="A573" s="113" t="s">
        <v>1667</v>
      </c>
      <c r="B573" s="113" t="s">
        <v>1481</v>
      </c>
      <c r="C573" s="37"/>
      <c r="E573" s="31">
        <v>19</v>
      </c>
      <c r="F573" s="31" t="str">
        <f t="shared" si="81"/>
        <v>Intelligence 7</v>
      </c>
      <c r="I573" s="113" t="s">
        <v>216</v>
      </c>
      <c r="L573" s="31">
        <f t="shared" si="82"/>
        <v>-23.3</v>
      </c>
      <c r="Z573" s="156" t="s">
        <v>1805</v>
      </c>
      <c r="BR573" s="33"/>
      <c r="BS573" s="34"/>
      <c r="CA573" s="44"/>
      <c r="CB573" s="44"/>
      <c r="CH573" s="44"/>
      <c r="CV573" s="31" t="s">
        <v>1687</v>
      </c>
      <c r="CW573" s="33"/>
      <c r="CX573" s="33"/>
      <c r="CY573" s="33"/>
      <c r="CZ573" s="113" t="s">
        <v>212</v>
      </c>
      <c r="DA573" s="31">
        <v>1</v>
      </c>
      <c r="DB573" s="31">
        <v>1</v>
      </c>
      <c r="DC573" s="31">
        <v>1</v>
      </c>
    </row>
    <row r="574" spans="1:107">
      <c r="A574" s="113" t="s">
        <v>1668</v>
      </c>
      <c r="B574" s="113" t="s">
        <v>1481</v>
      </c>
      <c r="C574" s="37"/>
      <c r="E574" s="31">
        <v>19</v>
      </c>
      <c r="F574" s="31" t="str">
        <f t="shared" si="81"/>
        <v>Intelligence 7</v>
      </c>
      <c r="I574" s="113" t="s">
        <v>222</v>
      </c>
      <c r="L574" s="31">
        <f t="shared" si="82"/>
        <v>-23.3</v>
      </c>
      <c r="Z574" s="156" t="s">
        <v>1806</v>
      </c>
      <c r="BR574" s="33"/>
      <c r="BS574" s="34"/>
      <c r="CA574" s="44"/>
      <c r="CB574" s="44"/>
      <c r="CH574" s="44"/>
      <c r="CV574" s="31" t="s">
        <v>1688</v>
      </c>
      <c r="CW574" s="33"/>
      <c r="CX574" s="33"/>
      <c r="CY574" s="33"/>
      <c r="CZ574" s="113" t="s">
        <v>212</v>
      </c>
      <c r="DA574" s="31">
        <v>1</v>
      </c>
      <c r="DB574" s="31">
        <v>1</v>
      </c>
      <c r="DC574" s="31">
        <v>1</v>
      </c>
    </row>
    <row r="575" spans="1:107">
      <c r="A575" s="113" t="s">
        <v>1669</v>
      </c>
      <c r="B575" s="113" t="s">
        <v>1481</v>
      </c>
      <c r="C575" s="37"/>
      <c r="E575" s="31">
        <v>20</v>
      </c>
      <c r="F575" s="31" t="str">
        <f t="shared" ref="F575:F585" si="83">CONCATENATE("Intelligence ",MIN(MAX(ROUND(SQRT((IF(J575="",WandDamage,J575)+IF(J575="",WandDamage,J575)+IF(K575="",WandDamageRange,K575))*(E575/1.4))+1,0),5),15))</f>
        <v>Intelligence 8</v>
      </c>
      <c r="I575" s="113" t="s">
        <v>219</v>
      </c>
      <c r="L575" s="31">
        <f t="shared" si="82"/>
        <v>-24.4</v>
      </c>
      <c r="Z575" s="156" t="s">
        <v>1803</v>
      </c>
      <c r="BR575" s="33"/>
      <c r="BS575" s="34"/>
      <c r="CA575" s="44"/>
      <c r="CB575" s="44"/>
      <c r="CH575" s="44"/>
      <c r="CV575" s="136" t="s">
        <v>1685</v>
      </c>
      <c r="CW575" s="33"/>
      <c r="CX575" s="33"/>
      <c r="CY575" s="33"/>
      <c r="CZ575" s="113" t="s">
        <v>212</v>
      </c>
      <c r="DA575" s="31">
        <v>1</v>
      </c>
      <c r="DB575" s="31">
        <v>1</v>
      </c>
      <c r="DC575" s="31">
        <v>1</v>
      </c>
    </row>
    <row r="576" spans="1:107">
      <c r="A576" s="113" t="s">
        <v>1670</v>
      </c>
      <c r="B576" s="113" t="s">
        <v>1481</v>
      </c>
      <c r="C576" s="37"/>
      <c r="E576" s="31">
        <v>20</v>
      </c>
      <c r="F576" s="31" t="str">
        <f t="shared" si="83"/>
        <v>Intelligence 8</v>
      </c>
      <c r="I576" s="113" t="s">
        <v>224</v>
      </c>
      <c r="L576" s="31">
        <f t="shared" si="82"/>
        <v>-24.4</v>
      </c>
      <c r="Z576" s="156" t="s">
        <v>1804</v>
      </c>
      <c r="BR576" s="33"/>
      <c r="BS576" s="34"/>
      <c r="CA576" s="44"/>
      <c r="CB576" s="44"/>
      <c r="CH576" s="44"/>
      <c r="CV576" s="31" t="s">
        <v>1686</v>
      </c>
      <c r="CW576" s="33"/>
      <c r="CX576" s="33"/>
      <c r="CY576" s="33"/>
      <c r="CZ576" s="113" t="s">
        <v>212</v>
      </c>
      <c r="DA576" s="31">
        <v>1</v>
      </c>
      <c r="DB576" s="31">
        <v>1</v>
      </c>
      <c r="DC576" s="31">
        <v>1</v>
      </c>
    </row>
    <row r="577" spans="1:107">
      <c r="A577" s="113" t="s">
        <v>1671</v>
      </c>
      <c r="B577" s="113" t="s">
        <v>1481</v>
      </c>
      <c r="C577" s="37"/>
      <c r="E577" s="31">
        <v>20</v>
      </c>
      <c r="F577" s="31" t="str">
        <f t="shared" si="83"/>
        <v>Intelligence 8</v>
      </c>
      <c r="I577" s="113" t="s">
        <v>216</v>
      </c>
      <c r="L577" s="31">
        <f t="shared" si="82"/>
        <v>-24.4</v>
      </c>
      <c r="Z577" s="156" t="s">
        <v>1805</v>
      </c>
      <c r="BR577" s="33"/>
      <c r="BS577" s="34"/>
      <c r="CA577" s="44"/>
      <c r="CB577" s="44"/>
      <c r="CH577" s="44"/>
      <c r="CV577" s="31" t="s">
        <v>1687</v>
      </c>
      <c r="CW577" s="33"/>
      <c r="CX577" s="33"/>
      <c r="CY577" s="33"/>
      <c r="CZ577" s="113" t="s">
        <v>212</v>
      </c>
      <c r="DA577" s="31">
        <v>1</v>
      </c>
      <c r="DB577" s="31">
        <v>1</v>
      </c>
      <c r="DC577" s="31">
        <v>1</v>
      </c>
    </row>
    <row r="578" spans="1:107">
      <c r="A578" s="113" t="s">
        <v>1672</v>
      </c>
      <c r="B578" s="113" t="s">
        <v>1481</v>
      </c>
      <c r="C578" s="37"/>
      <c r="E578" s="31">
        <v>20</v>
      </c>
      <c r="F578" s="31" t="str">
        <f t="shared" si="83"/>
        <v>Intelligence 8</v>
      </c>
      <c r="I578" s="113" t="s">
        <v>222</v>
      </c>
      <c r="L578" s="31">
        <f>-E578*1.1-2.4</f>
        <v>-24.4</v>
      </c>
      <c r="Z578" s="156" t="s">
        <v>1806</v>
      </c>
      <c r="BR578" s="33"/>
      <c r="BS578" s="34"/>
      <c r="CA578" s="44"/>
      <c r="CB578" s="44"/>
      <c r="CH578" s="44"/>
      <c r="CV578" s="31" t="s">
        <v>1688</v>
      </c>
      <c r="CW578" s="33"/>
      <c r="CX578" s="33"/>
      <c r="CY578" s="33"/>
      <c r="CZ578" s="113" t="s">
        <v>212</v>
      </c>
      <c r="DA578" s="31">
        <v>1</v>
      </c>
      <c r="DB578" s="31">
        <v>1</v>
      </c>
      <c r="DC578" s="31">
        <v>1</v>
      </c>
    </row>
    <row r="579" spans="1:107">
      <c r="A579" s="113" t="s">
        <v>1486</v>
      </c>
      <c r="B579" s="113" t="s">
        <v>1481</v>
      </c>
      <c r="C579" s="37"/>
      <c r="E579" s="31">
        <v>14</v>
      </c>
      <c r="F579" s="31" t="str">
        <f t="shared" si="83"/>
        <v>Intelligence 6</v>
      </c>
      <c r="I579" s="113" t="s">
        <v>213</v>
      </c>
      <c r="L579" s="31">
        <f t="shared" si="82"/>
        <v>-17.8</v>
      </c>
      <c r="Z579" s="156" t="s">
        <v>1807</v>
      </c>
      <c r="BR579" s="33"/>
      <c r="BS579" s="34"/>
      <c r="CA579" s="44"/>
      <c r="CB579" s="44"/>
      <c r="CH579" s="44"/>
      <c r="CV579" s="152" t="s">
        <v>1689</v>
      </c>
      <c r="CW579" s="33"/>
      <c r="CX579" s="33"/>
      <c r="CY579" s="33"/>
      <c r="CZ579" s="113" t="s">
        <v>1691</v>
      </c>
      <c r="DA579" s="31">
        <v>1</v>
      </c>
      <c r="DB579" s="31">
        <v>1</v>
      </c>
      <c r="DC579" s="31">
        <v>1</v>
      </c>
    </row>
    <row r="580" spans="1:107">
      <c r="A580" s="113" t="s">
        <v>1603</v>
      </c>
      <c r="B580" s="113" t="s">
        <v>1481</v>
      </c>
      <c r="C580" s="37"/>
      <c r="E580" s="31">
        <v>15</v>
      </c>
      <c r="F580" s="31" t="str">
        <f t="shared" si="83"/>
        <v>Intelligence 7</v>
      </c>
      <c r="I580" s="113" t="s">
        <v>213</v>
      </c>
      <c r="L580" s="31">
        <f t="shared" si="82"/>
        <v>-18.899999999999999</v>
      </c>
      <c r="Z580" s="156" t="s">
        <v>1807</v>
      </c>
      <c r="BR580" s="33"/>
      <c r="BS580" s="34"/>
      <c r="CA580" s="44"/>
      <c r="CB580" s="44"/>
      <c r="CH580" s="44"/>
      <c r="CV580" s="36" t="s">
        <v>1689</v>
      </c>
      <c r="CW580" s="33"/>
      <c r="CX580" s="33"/>
      <c r="CY580" s="33"/>
      <c r="CZ580" s="113" t="s">
        <v>1691</v>
      </c>
      <c r="DA580" s="31">
        <v>1</v>
      </c>
      <c r="DB580" s="31">
        <v>1</v>
      </c>
      <c r="DC580" s="31">
        <v>1</v>
      </c>
    </row>
    <row r="581" spans="1:107">
      <c r="A581" s="113" t="s">
        <v>1604</v>
      </c>
      <c r="B581" s="113" t="s">
        <v>1481</v>
      </c>
      <c r="C581" s="37"/>
      <c r="E581" s="31">
        <v>16</v>
      </c>
      <c r="F581" s="31" t="str">
        <f t="shared" si="83"/>
        <v>Intelligence 7</v>
      </c>
      <c r="I581" s="113" t="s">
        <v>213</v>
      </c>
      <c r="L581" s="31">
        <f t="shared" si="82"/>
        <v>-20</v>
      </c>
      <c r="Z581" s="156" t="s">
        <v>1807</v>
      </c>
      <c r="BR581" s="33"/>
      <c r="BS581" s="34"/>
      <c r="CA581" s="44"/>
      <c r="CB581" s="44"/>
      <c r="CH581" s="44"/>
      <c r="CV581" s="36" t="s">
        <v>1689</v>
      </c>
      <c r="CW581" s="33"/>
      <c r="CX581" s="33"/>
      <c r="CY581" s="33"/>
      <c r="CZ581" s="113" t="s">
        <v>1691</v>
      </c>
      <c r="DA581" s="31">
        <v>1</v>
      </c>
      <c r="DB581" s="31">
        <v>1</v>
      </c>
      <c r="DC581" s="31">
        <v>1</v>
      </c>
    </row>
    <row r="582" spans="1:107">
      <c r="A582" s="113" t="s">
        <v>1605</v>
      </c>
      <c r="B582" s="113" t="s">
        <v>1481</v>
      </c>
      <c r="C582" s="37"/>
      <c r="E582" s="31">
        <v>17</v>
      </c>
      <c r="F582" s="31" t="str">
        <f t="shared" si="83"/>
        <v>Intelligence 7</v>
      </c>
      <c r="I582" s="113" t="s">
        <v>213</v>
      </c>
      <c r="L582" s="31">
        <f t="shared" si="82"/>
        <v>-21.1</v>
      </c>
      <c r="Z582" s="156" t="s">
        <v>1807</v>
      </c>
      <c r="BR582" s="33"/>
      <c r="BS582" s="34"/>
      <c r="CA582" s="44"/>
      <c r="CB582" s="44"/>
      <c r="CH582" s="44"/>
      <c r="CV582" s="152" t="s">
        <v>1690</v>
      </c>
      <c r="CW582" s="33"/>
      <c r="CX582" s="33"/>
      <c r="CY582" s="33"/>
      <c r="CZ582" s="113" t="s">
        <v>1691</v>
      </c>
      <c r="DA582" s="31">
        <v>1</v>
      </c>
      <c r="DB582" s="31">
        <v>1</v>
      </c>
      <c r="DC582" s="31">
        <v>1</v>
      </c>
    </row>
    <row r="583" spans="1:107">
      <c r="A583" s="113" t="s">
        <v>1606</v>
      </c>
      <c r="B583" s="113" t="s">
        <v>1481</v>
      </c>
      <c r="C583" s="37"/>
      <c r="E583" s="31">
        <v>18</v>
      </c>
      <c r="F583" s="31" t="str">
        <f t="shared" si="83"/>
        <v>Intelligence 7</v>
      </c>
      <c r="I583" s="113" t="s">
        <v>213</v>
      </c>
      <c r="L583" s="31">
        <f t="shared" si="82"/>
        <v>-22.2</v>
      </c>
      <c r="Z583" s="156" t="s">
        <v>1807</v>
      </c>
      <c r="BR583" s="33"/>
      <c r="BS583" s="34"/>
      <c r="CA583" s="44"/>
      <c r="CB583" s="44"/>
      <c r="CH583" s="44"/>
      <c r="CV583" s="36" t="s">
        <v>1690</v>
      </c>
      <c r="CW583" s="33"/>
      <c r="CX583" s="33"/>
      <c r="CY583" s="33"/>
      <c r="CZ583" s="113" t="s">
        <v>1691</v>
      </c>
      <c r="DA583" s="31">
        <v>1</v>
      </c>
      <c r="DB583" s="31">
        <v>1</v>
      </c>
      <c r="DC583" s="31">
        <v>1</v>
      </c>
    </row>
    <row r="584" spans="1:107">
      <c r="A584" s="113" t="s">
        <v>1607</v>
      </c>
      <c r="B584" s="113" t="s">
        <v>1481</v>
      </c>
      <c r="C584" s="37"/>
      <c r="E584" s="31">
        <v>19</v>
      </c>
      <c r="F584" s="31" t="str">
        <f t="shared" si="83"/>
        <v>Intelligence 7</v>
      </c>
      <c r="I584" s="113" t="s">
        <v>213</v>
      </c>
      <c r="L584" s="31">
        <f t="shared" si="82"/>
        <v>-23.3</v>
      </c>
      <c r="Z584" s="156" t="s">
        <v>1807</v>
      </c>
      <c r="BR584" s="33"/>
      <c r="BS584" s="34"/>
      <c r="CA584" s="44"/>
      <c r="CB584" s="44"/>
      <c r="CH584" s="44"/>
      <c r="CV584" s="36" t="s">
        <v>1690</v>
      </c>
      <c r="CW584" s="33"/>
      <c r="CX584" s="33"/>
      <c r="CY584" s="33"/>
      <c r="CZ584" s="113" t="s">
        <v>1691</v>
      </c>
      <c r="DA584" s="31">
        <v>1</v>
      </c>
      <c r="DB584" s="31">
        <v>1</v>
      </c>
      <c r="DC584" s="31">
        <v>1</v>
      </c>
    </row>
    <row r="585" spans="1:107">
      <c r="A585" s="113" t="s">
        <v>1608</v>
      </c>
      <c r="B585" s="113" t="s">
        <v>1481</v>
      </c>
      <c r="C585" s="37"/>
      <c r="E585" s="31">
        <v>20</v>
      </c>
      <c r="F585" s="31" t="str">
        <f t="shared" si="83"/>
        <v>Intelligence 8</v>
      </c>
      <c r="I585" s="113" t="s">
        <v>213</v>
      </c>
      <c r="L585" s="31">
        <f t="shared" si="82"/>
        <v>-24.4</v>
      </c>
      <c r="Z585" s="156" t="s">
        <v>1807</v>
      </c>
      <c r="BR585" s="33"/>
      <c r="BS585" s="34"/>
      <c r="CA585" s="44"/>
      <c r="CB585" s="44"/>
      <c r="CH585" s="44"/>
      <c r="CV585" s="36" t="s">
        <v>1690</v>
      </c>
      <c r="CW585" s="33"/>
      <c r="CX585" s="33"/>
      <c r="CY585" s="33"/>
      <c r="CZ585" s="113" t="s">
        <v>1691</v>
      </c>
      <c r="DA585" s="31">
        <v>1</v>
      </c>
      <c r="DB585" s="31">
        <v>1</v>
      </c>
      <c r="DC585" s="31">
        <v>1</v>
      </c>
    </row>
    <row r="586" spans="1:107" s="107" customFormat="1">
      <c r="A586" s="106" t="s">
        <v>1086</v>
      </c>
      <c r="BR586" s="108"/>
      <c r="BS586" s="109"/>
      <c r="CA586" s="108"/>
      <c r="CB586" s="108"/>
      <c r="CC586" s="110"/>
      <c r="CD586" s="110"/>
      <c r="CE586" s="110"/>
      <c r="CF586" s="110"/>
      <c r="CH586" s="108">
        <v>0</v>
      </c>
      <c r="CV586" s="111"/>
      <c r="CW586" s="108"/>
      <c r="CX586" s="108"/>
      <c r="CY586" s="108"/>
    </row>
    <row r="587" spans="1:107">
      <c r="A587" s="31" t="s">
        <v>1040</v>
      </c>
      <c r="B587" s="31" t="s">
        <v>129</v>
      </c>
      <c r="C587" s="70"/>
      <c r="E587" s="31">
        <v>9</v>
      </c>
      <c r="F587" s="31" t="s">
        <v>1085</v>
      </c>
      <c r="G587" s="31" t="s">
        <v>607</v>
      </c>
      <c r="I587" s="31" t="s">
        <v>74</v>
      </c>
      <c r="J587" s="31">
        <v>2</v>
      </c>
      <c r="K587" s="31">
        <v>2</v>
      </c>
      <c r="L587" s="31">
        <v>-20</v>
      </c>
      <c r="Q587" s="31">
        <v>1</v>
      </c>
      <c r="R587" s="31">
        <v>10</v>
      </c>
      <c r="S587" s="31">
        <v>0.1</v>
      </c>
      <c r="W587" s="31" t="s">
        <v>130</v>
      </c>
      <c r="CA587" s="44"/>
      <c r="CB587" s="44"/>
      <c r="CD587" s="35" t="s">
        <v>1039</v>
      </c>
      <c r="CE587" s="35" t="s">
        <v>1244</v>
      </c>
      <c r="CH587" s="44"/>
      <c r="CV587" s="36" t="s">
        <v>1051</v>
      </c>
      <c r="CW587" s="33"/>
      <c r="CX587" s="33"/>
      <c r="CY587" s="33"/>
    </row>
    <row r="588" spans="1:107">
      <c r="A588" s="31" t="s">
        <v>1041</v>
      </c>
      <c r="B588" s="31" t="s">
        <v>77</v>
      </c>
      <c r="C588" s="70"/>
      <c r="E588" s="31">
        <v>9</v>
      </c>
      <c r="F588" s="31" t="s">
        <v>841</v>
      </c>
      <c r="G588" s="31" t="s">
        <v>607</v>
      </c>
      <c r="I588" s="31" t="s">
        <v>78</v>
      </c>
      <c r="J588" s="31">
        <v>2</v>
      </c>
      <c r="K588" s="31">
        <v>2</v>
      </c>
      <c r="L588" s="31">
        <v>-20</v>
      </c>
      <c r="Q588" s="31">
        <v>1</v>
      </c>
      <c r="R588" s="31">
        <v>10</v>
      </c>
      <c r="S588" s="31">
        <v>0.1</v>
      </c>
      <c r="W588" s="31" t="s">
        <v>79</v>
      </c>
      <c r="CA588" s="44"/>
      <c r="CB588" s="44"/>
      <c r="CH588" s="44"/>
      <c r="CV588" s="49" t="s">
        <v>1050</v>
      </c>
      <c r="CW588" s="33"/>
      <c r="CX588" s="33"/>
      <c r="CY588" s="33"/>
    </row>
    <row r="589" spans="1:107">
      <c r="A589" s="31" t="s">
        <v>1042</v>
      </c>
      <c r="B589" s="31" t="s">
        <v>77</v>
      </c>
      <c r="C589" s="70"/>
      <c r="E589" s="31">
        <v>9</v>
      </c>
      <c r="F589" s="31" t="s">
        <v>841</v>
      </c>
      <c r="G589" s="31" t="s">
        <v>607</v>
      </c>
      <c r="I589" s="31" t="s">
        <v>78</v>
      </c>
      <c r="J589" s="31">
        <v>1</v>
      </c>
      <c r="K589" s="31">
        <v>1</v>
      </c>
      <c r="L589" s="31">
        <v>-20</v>
      </c>
      <c r="Q589" s="31">
        <v>1</v>
      </c>
      <c r="R589" s="31">
        <v>10</v>
      </c>
      <c r="S589" s="31">
        <v>0.1</v>
      </c>
      <c r="W589" s="31" t="s">
        <v>79</v>
      </c>
      <c r="CA589" s="44"/>
      <c r="CB589" s="44"/>
      <c r="CE589" s="35" t="s">
        <v>1244</v>
      </c>
      <c r="CH589" s="44"/>
      <c r="CV589" s="36" t="s">
        <v>1052</v>
      </c>
      <c r="CW589" s="33"/>
      <c r="CX589" s="33"/>
      <c r="CY589" s="33"/>
    </row>
    <row r="590" spans="1:107">
      <c r="A590" s="31" t="s">
        <v>1043</v>
      </c>
      <c r="B590" s="31" t="s">
        <v>173</v>
      </c>
      <c r="C590" s="70"/>
      <c r="E590" s="31">
        <v>9</v>
      </c>
      <c r="F590" s="31" t="s">
        <v>1085</v>
      </c>
      <c r="G590" s="31" t="s">
        <v>606</v>
      </c>
      <c r="I590" s="31" t="s">
        <v>74</v>
      </c>
      <c r="J590" s="31">
        <v>1</v>
      </c>
      <c r="K590" s="31">
        <v>1</v>
      </c>
      <c r="L590" s="31">
        <v>-20</v>
      </c>
      <c r="Q590" s="31">
        <v>1</v>
      </c>
      <c r="R590" s="31">
        <v>10</v>
      </c>
      <c r="S590" s="31">
        <v>0.1</v>
      </c>
      <c r="W590" s="31" t="s">
        <v>174</v>
      </c>
      <c r="CA590" s="44"/>
      <c r="CB590" s="44"/>
      <c r="CE590" s="35" t="s">
        <v>1244</v>
      </c>
      <c r="CH590" s="44"/>
      <c r="CV590" s="36" t="s">
        <v>1049</v>
      </c>
      <c r="CW590" s="33"/>
      <c r="CX590" s="33"/>
      <c r="CY590" s="33"/>
    </row>
    <row r="591" spans="1:107">
      <c r="A591" s="31" t="s">
        <v>1044</v>
      </c>
      <c r="B591" s="31" t="s">
        <v>129</v>
      </c>
      <c r="C591" s="70"/>
      <c r="E591" s="31">
        <v>9</v>
      </c>
      <c r="F591" s="31" t="s">
        <v>1085</v>
      </c>
      <c r="G591" s="31" t="s">
        <v>607</v>
      </c>
      <c r="I591" s="31" t="s">
        <v>74</v>
      </c>
      <c r="J591" s="31">
        <v>1</v>
      </c>
      <c r="K591" s="31">
        <v>1</v>
      </c>
      <c r="L591" s="31">
        <v>-20</v>
      </c>
      <c r="Q591" s="31">
        <v>1</v>
      </c>
      <c r="R591" s="31">
        <v>10</v>
      </c>
      <c r="S591" s="31">
        <v>0.1</v>
      </c>
      <c r="W591" s="31" t="s">
        <v>130</v>
      </c>
      <c r="CA591" s="44"/>
      <c r="CB591" s="44"/>
      <c r="CE591" s="35" t="s">
        <v>1244</v>
      </c>
      <c r="CH591" s="44"/>
      <c r="CV591" s="36" t="s">
        <v>1053</v>
      </c>
      <c r="CW591" s="33"/>
      <c r="CX591" s="33"/>
      <c r="CY591" s="33"/>
    </row>
    <row r="592" spans="1:107">
      <c r="A592" s="31" t="s">
        <v>1046</v>
      </c>
      <c r="B592" s="31" t="s">
        <v>165</v>
      </c>
      <c r="C592" s="70"/>
      <c r="E592" s="31">
        <v>9</v>
      </c>
      <c r="F592" s="31" t="s">
        <v>863</v>
      </c>
      <c r="G592" s="31" t="s">
        <v>606</v>
      </c>
      <c r="I592" s="31" t="s">
        <v>99</v>
      </c>
      <c r="J592" s="31">
        <v>2</v>
      </c>
      <c r="K592" s="31">
        <v>2</v>
      </c>
      <c r="L592" s="31">
        <v>-20</v>
      </c>
      <c r="Q592" s="31">
        <v>1</v>
      </c>
      <c r="R592" s="31">
        <v>10</v>
      </c>
      <c r="S592" s="31">
        <v>0.1</v>
      </c>
      <c r="W592" s="31" t="s">
        <v>100</v>
      </c>
      <c r="CA592" s="44"/>
      <c r="CB592" s="44"/>
      <c r="CD592" s="35" t="s">
        <v>1047</v>
      </c>
      <c r="CE592" s="35" t="s">
        <v>1244</v>
      </c>
      <c r="CH592" s="44"/>
      <c r="CV592" s="36" t="s">
        <v>1054</v>
      </c>
      <c r="CW592" s="33"/>
      <c r="CX592" s="33"/>
      <c r="CY592" s="33"/>
    </row>
    <row r="593" spans="1:107">
      <c r="A593" s="31" t="s">
        <v>1045</v>
      </c>
      <c r="B593" s="31" t="s">
        <v>165</v>
      </c>
      <c r="C593" s="70"/>
      <c r="E593" s="31">
        <v>9</v>
      </c>
      <c r="F593" s="31" t="s">
        <v>863</v>
      </c>
      <c r="G593" s="31" t="s">
        <v>606</v>
      </c>
      <c r="I593" s="31" t="s">
        <v>74</v>
      </c>
      <c r="J593" s="31">
        <v>2</v>
      </c>
      <c r="K593" s="31">
        <v>2</v>
      </c>
      <c r="L593" s="31">
        <v>-20</v>
      </c>
      <c r="Q593" s="31">
        <v>1</v>
      </c>
      <c r="R593" s="31">
        <v>10</v>
      </c>
      <c r="S593" s="31">
        <v>0.1</v>
      </c>
      <c r="W593" s="31" t="s">
        <v>100</v>
      </c>
      <c r="CA593" s="44"/>
      <c r="CB593" s="44"/>
      <c r="CD593" s="35" t="s">
        <v>1039</v>
      </c>
      <c r="CE593" s="35" t="s">
        <v>1244</v>
      </c>
      <c r="CH593" s="44"/>
      <c r="CV593" s="36" t="s">
        <v>1048</v>
      </c>
      <c r="CW593" s="33"/>
      <c r="CX593" s="33"/>
      <c r="CY593" s="33"/>
    </row>
    <row r="594" spans="1:107" s="138" customFormat="1" ht="15">
      <c r="A594" s="138" t="s">
        <v>1548</v>
      </c>
      <c r="B594" s="138" t="s">
        <v>98</v>
      </c>
      <c r="E594" s="138">
        <v>9</v>
      </c>
      <c r="I594" s="138" t="s">
        <v>222</v>
      </c>
      <c r="L594" s="138">
        <v>-35</v>
      </c>
      <c r="N594" s="138">
        <v>0</v>
      </c>
      <c r="O594" s="138">
        <v>0</v>
      </c>
      <c r="Q594" s="138">
        <v>10</v>
      </c>
      <c r="W594" s="138" t="s">
        <v>100</v>
      </c>
      <c r="CD594" s="4" t="s">
        <v>1547</v>
      </c>
      <c r="CE594" s="138" t="s">
        <v>1037</v>
      </c>
      <c r="CF594" s="140" t="s">
        <v>1295</v>
      </c>
      <c r="CG594" s="138" t="s">
        <v>718</v>
      </c>
      <c r="CV594" s="141" t="s">
        <v>712</v>
      </c>
      <c r="CZ594" s="71"/>
    </row>
    <row r="595" spans="1:107" s="27" customFormat="1">
      <c r="A595" s="27" t="s">
        <v>214</v>
      </c>
      <c r="C595" s="27" t="s">
        <v>73</v>
      </c>
      <c r="G595" s="27" t="s">
        <v>607</v>
      </c>
      <c r="CH595" s="27">
        <v>0</v>
      </c>
    </row>
    <row r="596" spans="1:107">
      <c r="A596" s="72" t="s">
        <v>215</v>
      </c>
      <c r="B596" s="31" t="s">
        <v>129</v>
      </c>
      <c r="E596" s="31">
        <v>8</v>
      </c>
      <c r="G596" s="31" t="s">
        <v>606</v>
      </c>
      <c r="H596" s="31">
        <v>4</v>
      </c>
      <c r="I596" s="31" t="s">
        <v>216</v>
      </c>
      <c r="L596" s="31">
        <v>-25</v>
      </c>
      <c r="N596" s="31">
        <v>1</v>
      </c>
      <c r="O596" s="31">
        <v>1</v>
      </c>
      <c r="Q596" s="31">
        <v>10</v>
      </c>
      <c r="W596" s="31" t="s">
        <v>75</v>
      </c>
      <c r="CD596" s="35" t="s">
        <v>1692</v>
      </c>
      <c r="CE596" s="35" t="s">
        <v>1037</v>
      </c>
      <c r="CG596" s="31" t="s">
        <v>718</v>
      </c>
      <c r="CV596" s="36" t="s">
        <v>217</v>
      </c>
      <c r="CZ596" s="71"/>
    </row>
    <row r="597" spans="1:107">
      <c r="A597" s="146" t="s">
        <v>218</v>
      </c>
      <c r="B597" s="31" t="s">
        <v>129</v>
      </c>
      <c r="E597" s="31">
        <v>8</v>
      </c>
      <c r="G597" s="31" t="s">
        <v>606</v>
      </c>
      <c r="H597" s="31">
        <v>4</v>
      </c>
      <c r="I597" s="31" t="s">
        <v>219</v>
      </c>
      <c r="L597" s="31">
        <v>-25</v>
      </c>
      <c r="N597" s="31">
        <v>1</v>
      </c>
      <c r="O597" s="31">
        <v>1</v>
      </c>
      <c r="Q597" s="31">
        <v>10</v>
      </c>
      <c r="W597" s="31" t="s">
        <v>75</v>
      </c>
      <c r="CD597" s="35" t="s">
        <v>1767</v>
      </c>
      <c r="CE597" s="35" t="s">
        <v>1037</v>
      </c>
      <c r="CG597" s="31" t="s">
        <v>718</v>
      </c>
      <c r="CV597" s="36" t="s">
        <v>217</v>
      </c>
      <c r="CZ597" s="71"/>
    </row>
    <row r="598" spans="1:107">
      <c r="A598" s="146" t="s">
        <v>221</v>
      </c>
      <c r="B598" s="31" t="s">
        <v>129</v>
      </c>
      <c r="E598" s="31">
        <v>16</v>
      </c>
      <c r="G598" s="31" t="s">
        <v>606</v>
      </c>
      <c r="H598" s="31">
        <v>4</v>
      </c>
      <c r="I598" s="113" t="s">
        <v>74</v>
      </c>
      <c r="L598" s="31">
        <v>-30</v>
      </c>
      <c r="N598" s="31">
        <v>1</v>
      </c>
      <c r="O598" s="31">
        <v>1</v>
      </c>
      <c r="Q598" s="31">
        <v>10</v>
      </c>
      <c r="W598" s="31" t="s">
        <v>75</v>
      </c>
      <c r="CD598" s="35" t="s">
        <v>1069</v>
      </c>
      <c r="CE598" s="35" t="s">
        <v>1037</v>
      </c>
      <c r="CF598" s="35" t="s">
        <v>1284</v>
      </c>
      <c r="CG598" s="31" t="s">
        <v>718</v>
      </c>
      <c r="CV598" s="36" t="s">
        <v>217</v>
      </c>
      <c r="CZ598" s="71"/>
    </row>
    <row r="599" spans="1:107">
      <c r="A599" s="146" t="s">
        <v>223</v>
      </c>
      <c r="B599" s="31" t="s">
        <v>129</v>
      </c>
      <c r="E599" s="31">
        <v>9</v>
      </c>
      <c r="G599" s="31" t="s">
        <v>606</v>
      </c>
      <c r="H599" s="31">
        <v>4</v>
      </c>
      <c r="I599" s="31" t="s">
        <v>224</v>
      </c>
      <c r="L599" s="31">
        <v>-35</v>
      </c>
      <c r="N599" s="31">
        <v>1</v>
      </c>
      <c r="O599" s="31">
        <v>1</v>
      </c>
      <c r="Q599" s="31">
        <v>10</v>
      </c>
      <c r="W599" s="31" t="s">
        <v>75</v>
      </c>
      <c r="CD599" s="35" t="s">
        <v>1766</v>
      </c>
      <c r="CE599" s="35" t="s">
        <v>1037</v>
      </c>
      <c r="CG599" s="31" t="s">
        <v>718</v>
      </c>
      <c r="CV599" s="36" t="s">
        <v>217</v>
      </c>
      <c r="CZ599" s="71"/>
    </row>
    <row r="600" spans="1:107">
      <c r="A600" s="72" t="s">
        <v>797</v>
      </c>
      <c r="B600" s="31" t="s">
        <v>77</v>
      </c>
      <c r="E600" s="31">
        <v>10</v>
      </c>
      <c r="G600" s="31" t="s">
        <v>607</v>
      </c>
      <c r="H600" s="31">
        <v>4</v>
      </c>
      <c r="L600" s="31">
        <v>-25</v>
      </c>
      <c r="N600" s="31">
        <v>1</v>
      </c>
      <c r="O600" s="31">
        <v>1</v>
      </c>
      <c r="Q600" s="31">
        <v>10</v>
      </c>
      <c r="W600" s="31" t="s">
        <v>75</v>
      </c>
      <c r="CD600" s="35" t="s">
        <v>1061</v>
      </c>
      <c r="CE600" s="35" t="s">
        <v>1037</v>
      </c>
      <c r="CF600" s="35" t="s">
        <v>1284</v>
      </c>
      <c r="CG600" s="31" t="s">
        <v>718</v>
      </c>
      <c r="CV600" s="36" t="s">
        <v>217</v>
      </c>
      <c r="CZ600" s="71"/>
    </row>
    <row r="601" spans="1:107">
      <c r="A601" s="31" t="s">
        <v>798</v>
      </c>
      <c r="B601" s="31" t="s">
        <v>77</v>
      </c>
      <c r="E601" s="31">
        <v>13</v>
      </c>
      <c r="G601" s="31" t="s">
        <v>607</v>
      </c>
      <c r="H601" s="31">
        <v>4</v>
      </c>
      <c r="L601" s="31">
        <v>-30</v>
      </c>
      <c r="O601" s="31">
        <v>0</v>
      </c>
      <c r="Q601" s="31">
        <v>10</v>
      </c>
      <c r="W601" s="31" t="s">
        <v>75</v>
      </c>
      <c r="CD601" s="35" t="s">
        <v>1060</v>
      </c>
      <c r="CE601" s="35" t="s">
        <v>1037</v>
      </c>
      <c r="CF601" s="35" t="s">
        <v>1284</v>
      </c>
      <c r="CG601" s="31" t="s">
        <v>718</v>
      </c>
      <c r="CV601" s="36" t="s">
        <v>217</v>
      </c>
      <c r="CZ601" s="71"/>
    </row>
    <row r="602" spans="1:107">
      <c r="A602" s="31" t="s">
        <v>799</v>
      </c>
      <c r="B602" s="31" t="s">
        <v>129</v>
      </c>
      <c r="E602" s="31">
        <v>2</v>
      </c>
      <c r="G602" s="31" t="s">
        <v>607</v>
      </c>
      <c r="H602" s="31">
        <v>4</v>
      </c>
      <c r="I602" s="113" t="s">
        <v>78</v>
      </c>
      <c r="L602" s="31">
        <v>-25</v>
      </c>
      <c r="O602" s="31">
        <v>0</v>
      </c>
      <c r="Q602" s="31">
        <v>10</v>
      </c>
      <c r="W602" s="31" t="s">
        <v>75</v>
      </c>
      <c r="CD602" s="35" t="s">
        <v>1064</v>
      </c>
      <c r="CE602" s="35" t="s">
        <v>1037</v>
      </c>
      <c r="CF602" s="35" t="s">
        <v>1284</v>
      </c>
      <c r="CG602" s="31" t="s">
        <v>718</v>
      </c>
      <c r="CV602" s="36" t="s">
        <v>217</v>
      </c>
      <c r="CZ602" s="71"/>
    </row>
    <row r="603" spans="1:107">
      <c r="A603" s="113" t="s">
        <v>1694</v>
      </c>
      <c r="B603" s="31" t="s">
        <v>129</v>
      </c>
      <c r="E603" s="31">
        <v>13</v>
      </c>
      <c r="G603" s="31" t="s">
        <v>607</v>
      </c>
      <c r="H603" s="31">
        <v>4</v>
      </c>
      <c r="I603" s="113" t="s">
        <v>222</v>
      </c>
      <c r="J603" s="31">
        <v>4</v>
      </c>
      <c r="K603" s="31">
        <v>1</v>
      </c>
      <c r="L603" s="31">
        <v>20</v>
      </c>
      <c r="O603" s="31">
        <v>0</v>
      </c>
      <c r="Q603" s="31">
        <v>10</v>
      </c>
      <c r="W603" s="31" t="s">
        <v>75</v>
      </c>
      <c r="CD603" s="35" t="s">
        <v>1695</v>
      </c>
      <c r="CE603" s="35" t="s">
        <v>1037</v>
      </c>
      <c r="CG603" s="31" t="s">
        <v>718</v>
      </c>
      <c r="CV603" s="36" t="s">
        <v>217</v>
      </c>
      <c r="CZ603" s="71"/>
    </row>
    <row r="604" spans="1:107">
      <c r="A604" s="31" t="s">
        <v>800</v>
      </c>
      <c r="B604" s="31" t="s">
        <v>117</v>
      </c>
      <c r="E604" s="31">
        <v>7</v>
      </c>
      <c r="G604" s="31" t="s">
        <v>607</v>
      </c>
      <c r="H604" s="31">
        <v>4</v>
      </c>
      <c r="L604" s="31">
        <v>-10</v>
      </c>
      <c r="O604" s="31">
        <v>0</v>
      </c>
      <c r="Q604" s="31">
        <v>10</v>
      </c>
      <c r="W604" s="31" t="s">
        <v>118</v>
      </c>
      <c r="CE604" s="35" t="s">
        <v>1037</v>
      </c>
      <c r="CG604" s="31" t="s">
        <v>718</v>
      </c>
      <c r="CV604" s="36" t="s">
        <v>808</v>
      </c>
      <c r="CZ604" s="71"/>
    </row>
    <row r="605" spans="1:107">
      <c r="A605" s="31" t="s">
        <v>801</v>
      </c>
      <c r="B605" s="31" t="s">
        <v>165</v>
      </c>
      <c r="E605" s="31">
        <v>11</v>
      </c>
      <c r="G605" s="31" t="s">
        <v>606</v>
      </c>
      <c r="H605" s="31">
        <v>5</v>
      </c>
      <c r="L605" s="31">
        <v>-15</v>
      </c>
      <c r="N605" s="31">
        <v>1</v>
      </c>
      <c r="O605" s="31">
        <v>2</v>
      </c>
      <c r="Q605" s="31">
        <v>10</v>
      </c>
      <c r="W605" s="31" t="s">
        <v>100</v>
      </c>
      <c r="X605" s="31" t="s">
        <v>1403</v>
      </c>
      <c r="CD605" s="35" t="s">
        <v>717</v>
      </c>
      <c r="CE605" s="35" t="s">
        <v>1037</v>
      </c>
      <c r="CG605" s="31" t="s">
        <v>718</v>
      </c>
      <c r="CV605" s="49" t="s">
        <v>442</v>
      </c>
      <c r="CZ605" s="71"/>
    </row>
    <row r="606" spans="1:107">
      <c r="A606" s="48" t="s">
        <v>1925</v>
      </c>
      <c r="B606" s="31" t="s">
        <v>117</v>
      </c>
      <c r="E606" s="31">
        <v>2</v>
      </c>
      <c r="L606" s="31">
        <v>-5</v>
      </c>
      <c r="Q606" s="31">
        <v>10</v>
      </c>
      <c r="W606" s="31" t="s">
        <v>118</v>
      </c>
      <c r="BR606" s="33"/>
      <c r="BS606" s="34"/>
      <c r="CE606" s="35" t="s">
        <v>1037</v>
      </c>
      <c r="CG606" s="31" t="s">
        <v>718</v>
      </c>
      <c r="CV606" s="36" t="s">
        <v>1841</v>
      </c>
      <c r="CZ606" s="31" t="s">
        <v>118</v>
      </c>
      <c r="DA606" s="31">
        <v>1</v>
      </c>
      <c r="DB606" s="31">
        <v>1</v>
      </c>
      <c r="DC606" s="31">
        <v>1</v>
      </c>
    </row>
    <row r="607" spans="1:107">
      <c r="A607" s="31" t="s">
        <v>1240</v>
      </c>
      <c r="B607" s="31" t="s">
        <v>129</v>
      </c>
      <c r="E607" s="31">
        <v>2</v>
      </c>
      <c r="G607" s="31" t="s">
        <v>607</v>
      </c>
      <c r="L607" s="31">
        <v>10</v>
      </c>
      <c r="N607" s="31">
        <v>1</v>
      </c>
      <c r="O607" s="31">
        <v>10</v>
      </c>
      <c r="Q607" s="31">
        <v>10</v>
      </c>
      <c r="W607" s="31" t="s">
        <v>130</v>
      </c>
      <c r="CD607" s="35" t="s">
        <v>1241</v>
      </c>
      <c r="CE607" s="35" t="s">
        <v>1037</v>
      </c>
      <c r="CG607" s="31" t="s">
        <v>718</v>
      </c>
      <c r="CV607" s="36" t="s">
        <v>804</v>
      </c>
      <c r="CZ607" s="71"/>
    </row>
    <row r="608" spans="1:107">
      <c r="A608" s="81" t="s">
        <v>1289</v>
      </c>
      <c r="B608" s="31" t="s">
        <v>183</v>
      </c>
      <c r="E608" s="31">
        <v>15</v>
      </c>
      <c r="I608" s="31" t="s">
        <v>219</v>
      </c>
      <c r="O608" s="31">
        <v>0</v>
      </c>
      <c r="Q608" s="31">
        <v>10</v>
      </c>
      <c r="W608" s="31" t="s">
        <v>184</v>
      </c>
      <c r="CA608" s="44"/>
      <c r="CB608" s="44"/>
      <c r="CD608" s="35" t="s">
        <v>1066</v>
      </c>
      <c r="CE608" s="35" t="s">
        <v>1037</v>
      </c>
      <c r="CG608" s="31" t="s">
        <v>718</v>
      </c>
      <c r="CH608" s="44"/>
      <c r="CV608" s="31" t="s">
        <v>1129</v>
      </c>
    </row>
    <row r="609" spans="1:104">
      <c r="A609" s="81" t="s">
        <v>1290</v>
      </c>
      <c r="B609" s="113" t="s">
        <v>98</v>
      </c>
      <c r="E609" s="31">
        <v>15</v>
      </c>
      <c r="G609" s="31" t="s">
        <v>607</v>
      </c>
      <c r="O609" s="31">
        <v>0</v>
      </c>
      <c r="Q609" s="31">
        <v>10</v>
      </c>
      <c r="W609" s="113" t="s">
        <v>100</v>
      </c>
      <c r="X609" s="113"/>
      <c r="CA609" s="44"/>
      <c r="CB609" s="44"/>
      <c r="CE609" s="35" t="s">
        <v>1037</v>
      </c>
      <c r="CG609" s="113" t="s">
        <v>718</v>
      </c>
      <c r="CH609" s="44"/>
      <c r="CI609" s="113"/>
      <c r="CJ609" s="113"/>
      <c r="CK609" s="113"/>
      <c r="CL609" s="113"/>
      <c r="CM609" s="113"/>
      <c r="CN609" s="113"/>
      <c r="CV609" s="31" t="s">
        <v>1291</v>
      </c>
    </row>
    <row r="610" spans="1:104">
      <c r="A610" s="81" t="s">
        <v>1288</v>
      </c>
      <c r="B610" s="31" t="s">
        <v>183</v>
      </c>
      <c r="E610" s="31">
        <v>20</v>
      </c>
      <c r="I610" s="31" t="s">
        <v>216</v>
      </c>
      <c r="O610" s="31">
        <v>0</v>
      </c>
      <c r="Q610" s="31">
        <v>10</v>
      </c>
      <c r="W610" s="31" t="s">
        <v>184</v>
      </c>
      <c r="CA610" s="44"/>
      <c r="CB610" s="44"/>
      <c r="CC610" s="64"/>
      <c r="CD610" s="64" t="s">
        <v>828</v>
      </c>
      <c r="CE610" s="35" t="s">
        <v>1037</v>
      </c>
      <c r="CG610" s="31" t="s">
        <v>718</v>
      </c>
      <c r="CH610" s="44"/>
      <c r="CV610" s="31" t="s">
        <v>692</v>
      </c>
    </row>
    <row r="611" spans="1:104">
      <c r="A611" s="72" t="s">
        <v>225</v>
      </c>
      <c r="B611" s="31" t="s">
        <v>77</v>
      </c>
      <c r="C611" s="70"/>
      <c r="E611" s="31">
        <v>2</v>
      </c>
      <c r="G611" s="31" t="s">
        <v>607</v>
      </c>
      <c r="H611" s="31">
        <v>3</v>
      </c>
      <c r="N611" s="31">
        <v>0</v>
      </c>
      <c r="O611" s="31">
        <v>0</v>
      </c>
      <c r="Q611" s="31">
        <v>10</v>
      </c>
      <c r="W611" s="31" t="s">
        <v>100</v>
      </c>
      <c r="CE611" s="35" t="s">
        <v>1037</v>
      </c>
      <c r="CG611" s="31" t="s">
        <v>718</v>
      </c>
      <c r="CV611" s="36" t="s">
        <v>217</v>
      </c>
      <c r="CZ611" s="71"/>
    </row>
    <row r="612" spans="1:104">
      <c r="A612" s="72" t="s">
        <v>331</v>
      </c>
      <c r="B612" s="31" t="s">
        <v>129</v>
      </c>
      <c r="C612" s="70"/>
      <c r="E612" s="31">
        <v>3</v>
      </c>
      <c r="G612" s="31" t="s">
        <v>606</v>
      </c>
      <c r="N612" s="31">
        <v>0</v>
      </c>
      <c r="O612" s="31">
        <v>0</v>
      </c>
      <c r="Q612" s="31">
        <v>10</v>
      </c>
      <c r="W612" s="113" t="s">
        <v>118</v>
      </c>
      <c r="CD612" s="35" t="s">
        <v>451</v>
      </c>
      <c r="CE612" s="35" t="s">
        <v>1037</v>
      </c>
      <c r="CG612" s="31" t="s">
        <v>718</v>
      </c>
      <c r="CV612" s="36" t="s">
        <v>217</v>
      </c>
      <c r="CZ612" s="71"/>
    </row>
    <row r="613" spans="1:104">
      <c r="A613" s="112" t="s">
        <v>1924</v>
      </c>
      <c r="B613" s="113" t="s">
        <v>129</v>
      </c>
      <c r="C613" s="70"/>
      <c r="E613" s="31">
        <v>9</v>
      </c>
      <c r="G613" s="113" t="s">
        <v>607</v>
      </c>
      <c r="N613" s="31">
        <v>0</v>
      </c>
      <c r="O613" s="31">
        <v>0</v>
      </c>
      <c r="Q613" s="31">
        <v>10</v>
      </c>
      <c r="W613" s="113" t="s">
        <v>75</v>
      </c>
      <c r="CE613" s="35" t="s">
        <v>1037</v>
      </c>
      <c r="CG613" s="31" t="s">
        <v>718</v>
      </c>
      <c r="CV613" s="36" t="s">
        <v>217</v>
      </c>
      <c r="CZ613" s="71"/>
    </row>
    <row r="614" spans="1:104">
      <c r="A614" s="72" t="s">
        <v>337</v>
      </c>
      <c r="B614" s="31" t="s">
        <v>129</v>
      </c>
      <c r="C614" s="70"/>
      <c r="E614" s="31">
        <v>2</v>
      </c>
      <c r="G614" s="31" t="s">
        <v>607</v>
      </c>
      <c r="N614" s="31">
        <v>0</v>
      </c>
      <c r="O614" s="31">
        <v>0</v>
      </c>
      <c r="Q614" s="31">
        <v>10</v>
      </c>
      <c r="W614" s="31" t="s">
        <v>75</v>
      </c>
      <c r="CE614" s="35" t="s">
        <v>1037</v>
      </c>
      <c r="CG614" s="31" t="s">
        <v>718</v>
      </c>
      <c r="CV614" s="36" t="s">
        <v>217</v>
      </c>
      <c r="CZ614" s="71"/>
    </row>
    <row r="615" spans="1:104">
      <c r="A615" s="72" t="s">
        <v>338</v>
      </c>
      <c r="B615" s="31" t="s">
        <v>129</v>
      </c>
      <c r="C615" s="70"/>
      <c r="E615" s="31">
        <v>4</v>
      </c>
      <c r="G615" s="31" t="s">
        <v>607</v>
      </c>
      <c r="N615" s="31">
        <v>0</v>
      </c>
      <c r="O615" s="31">
        <v>0</v>
      </c>
      <c r="Q615" s="31">
        <v>10</v>
      </c>
      <c r="W615" s="31" t="s">
        <v>75</v>
      </c>
      <c r="CD615" s="35" t="s">
        <v>1059</v>
      </c>
      <c r="CE615" s="35" t="s">
        <v>1037</v>
      </c>
      <c r="CG615" s="31" t="s">
        <v>718</v>
      </c>
      <c r="CV615" s="36" t="s">
        <v>217</v>
      </c>
      <c r="CZ615" s="71"/>
    </row>
    <row r="616" spans="1:104">
      <c r="A616" s="72" t="s">
        <v>339</v>
      </c>
      <c r="B616" s="31" t="s">
        <v>129</v>
      </c>
      <c r="C616" s="70"/>
      <c r="E616" s="31">
        <v>3</v>
      </c>
      <c r="G616" s="31" t="s">
        <v>607</v>
      </c>
      <c r="H616" s="31">
        <v>4</v>
      </c>
      <c r="L616" s="31">
        <v>-10</v>
      </c>
      <c r="N616" s="31">
        <v>0</v>
      </c>
      <c r="O616" s="31">
        <v>0</v>
      </c>
      <c r="Q616" s="31">
        <v>10</v>
      </c>
      <c r="W616" s="31" t="s">
        <v>75</v>
      </c>
      <c r="CD616" s="35" t="s">
        <v>735</v>
      </c>
      <c r="CE616" s="35" t="s">
        <v>1037</v>
      </c>
      <c r="CG616" s="31" t="s">
        <v>718</v>
      </c>
      <c r="CV616" s="36" t="s">
        <v>217</v>
      </c>
      <c r="CZ616" s="71"/>
    </row>
    <row r="617" spans="1:104">
      <c r="A617" s="72" t="s">
        <v>340</v>
      </c>
      <c r="B617" s="31" t="s">
        <v>129</v>
      </c>
      <c r="C617" s="70"/>
      <c r="E617" s="31">
        <v>5</v>
      </c>
      <c r="G617" s="31" t="s">
        <v>607</v>
      </c>
      <c r="N617" s="31">
        <v>0</v>
      </c>
      <c r="O617" s="31">
        <v>0</v>
      </c>
      <c r="Q617" s="31">
        <v>10</v>
      </c>
      <c r="W617" s="31" t="s">
        <v>75</v>
      </c>
      <c r="CD617" s="35" t="s">
        <v>300</v>
      </c>
      <c r="CE617" s="35" t="s">
        <v>1037</v>
      </c>
      <c r="CG617" s="31" t="s">
        <v>718</v>
      </c>
      <c r="CV617" s="36" t="s">
        <v>217</v>
      </c>
      <c r="CZ617" s="71"/>
    </row>
    <row r="618" spans="1:104">
      <c r="A618" s="72" t="s">
        <v>341</v>
      </c>
      <c r="B618" s="31" t="s">
        <v>129</v>
      </c>
      <c r="C618" s="70"/>
      <c r="E618" s="31">
        <v>1</v>
      </c>
      <c r="G618" s="31" t="s">
        <v>607</v>
      </c>
      <c r="N618" s="31">
        <v>0</v>
      </c>
      <c r="O618" s="31">
        <v>0</v>
      </c>
      <c r="Q618" s="31">
        <v>10</v>
      </c>
      <c r="W618" s="31" t="s">
        <v>75</v>
      </c>
      <c r="CE618" s="35" t="s">
        <v>1037</v>
      </c>
      <c r="CG618" s="31" t="s">
        <v>718</v>
      </c>
      <c r="CV618" s="36" t="s">
        <v>217</v>
      </c>
      <c r="CZ618" s="71"/>
    </row>
    <row r="619" spans="1:104">
      <c r="A619" s="72" t="s">
        <v>342</v>
      </c>
      <c r="B619" s="31" t="s">
        <v>129</v>
      </c>
      <c r="C619" s="70"/>
      <c r="E619" s="31">
        <v>3</v>
      </c>
      <c r="G619" s="31" t="s">
        <v>607</v>
      </c>
      <c r="N619" s="31">
        <v>0</v>
      </c>
      <c r="O619" s="31">
        <v>0</v>
      </c>
      <c r="Q619" s="31">
        <v>10</v>
      </c>
      <c r="W619" s="31" t="s">
        <v>75</v>
      </c>
      <c r="CE619" s="35" t="s">
        <v>1037</v>
      </c>
      <c r="CG619" s="31" t="s">
        <v>718</v>
      </c>
      <c r="CV619" s="36" t="s">
        <v>217</v>
      </c>
      <c r="CZ619" s="71"/>
    </row>
    <row r="620" spans="1:104">
      <c r="A620" s="72" t="s">
        <v>343</v>
      </c>
      <c r="B620" s="31" t="s">
        <v>129</v>
      </c>
      <c r="C620" s="70"/>
      <c r="E620" s="31">
        <v>2</v>
      </c>
      <c r="G620" s="31" t="s">
        <v>607</v>
      </c>
      <c r="N620" s="31">
        <v>0</v>
      </c>
      <c r="O620" s="31">
        <v>0</v>
      </c>
      <c r="Q620" s="31">
        <v>10</v>
      </c>
      <c r="W620" s="31" t="s">
        <v>75</v>
      </c>
      <c r="CD620" s="35" t="s">
        <v>300</v>
      </c>
      <c r="CE620" s="35" t="s">
        <v>1037</v>
      </c>
      <c r="CG620" s="31" t="s">
        <v>718</v>
      </c>
      <c r="CV620" s="36" t="s">
        <v>217</v>
      </c>
      <c r="CZ620" s="71"/>
    </row>
    <row r="621" spans="1:104">
      <c r="A621" s="72" t="s">
        <v>344</v>
      </c>
      <c r="B621" s="31" t="s">
        <v>129</v>
      </c>
      <c r="C621" s="70"/>
      <c r="E621" s="31">
        <v>4</v>
      </c>
      <c r="G621" s="31" t="s">
        <v>607</v>
      </c>
      <c r="N621" s="31">
        <v>0</v>
      </c>
      <c r="O621" s="31">
        <v>0</v>
      </c>
      <c r="Q621" s="31">
        <v>10</v>
      </c>
      <c r="W621" s="31" t="s">
        <v>75</v>
      </c>
      <c r="CD621" s="35" t="s">
        <v>779</v>
      </c>
      <c r="CE621" s="35" t="s">
        <v>1037</v>
      </c>
      <c r="CG621" s="31" t="s">
        <v>718</v>
      </c>
      <c r="CV621" s="36" t="s">
        <v>217</v>
      </c>
      <c r="CZ621" s="71"/>
    </row>
    <row r="622" spans="1:104">
      <c r="A622" s="72" t="s">
        <v>345</v>
      </c>
      <c r="B622" s="31" t="s">
        <v>129</v>
      </c>
      <c r="C622" s="70"/>
      <c r="E622" s="31">
        <v>1</v>
      </c>
      <c r="G622" s="31" t="s">
        <v>607</v>
      </c>
      <c r="N622" s="31">
        <v>0</v>
      </c>
      <c r="O622" s="31">
        <v>0</v>
      </c>
      <c r="Q622" s="31">
        <v>10</v>
      </c>
      <c r="W622" s="31" t="s">
        <v>75</v>
      </c>
      <c r="CD622" s="35" t="s">
        <v>451</v>
      </c>
      <c r="CE622" s="35" t="s">
        <v>1037</v>
      </c>
      <c r="CG622" s="31" t="s">
        <v>718</v>
      </c>
      <c r="CV622" s="36" t="s">
        <v>217</v>
      </c>
      <c r="CZ622" s="71"/>
    </row>
    <row r="623" spans="1:104">
      <c r="A623" s="72" t="s">
        <v>346</v>
      </c>
      <c r="B623" s="31" t="s">
        <v>129</v>
      </c>
      <c r="C623" s="70"/>
      <c r="E623" s="31">
        <v>2</v>
      </c>
      <c r="G623" s="31" t="s">
        <v>607</v>
      </c>
      <c r="N623" s="31">
        <v>0</v>
      </c>
      <c r="O623" s="31">
        <v>0</v>
      </c>
      <c r="Q623" s="31">
        <v>10</v>
      </c>
      <c r="W623" s="31" t="s">
        <v>75</v>
      </c>
      <c r="CD623" s="35" t="s">
        <v>451</v>
      </c>
      <c r="CE623" s="35" t="s">
        <v>1037</v>
      </c>
      <c r="CG623" s="31" t="s">
        <v>718</v>
      </c>
      <c r="CV623" s="36" t="s">
        <v>217</v>
      </c>
      <c r="CZ623" s="71"/>
    </row>
    <row r="624" spans="1:104">
      <c r="A624" s="72" t="s">
        <v>347</v>
      </c>
      <c r="B624" s="31" t="s">
        <v>98</v>
      </c>
      <c r="C624" s="70"/>
      <c r="E624" s="31">
        <v>1</v>
      </c>
      <c r="G624" s="31" t="s">
        <v>607</v>
      </c>
      <c r="N624" s="31">
        <v>0</v>
      </c>
      <c r="O624" s="31">
        <v>0</v>
      </c>
      <c r="Q624" s="31">
        <v>10</v>
      </c>
      <c r="W624" s="31" t="s">
        <v>75</v>
      </c>
      <c r="CD624" s="35" t="s">
        <v>1062</v>
      </c>
      <c r="CE624" s="35" t="s">
        <v>1037</v>
      </c>
      <c r="CG624" s="31" t="s">
        <v>718</v>
      </c>
      <c r="CV624" s="36" t="s">
        <v>217</v>
      </c>
      <c r="CZ624" s="71"/>
    </row>
    <row r="625" spans="1:104">
      <c r="A625" s="72" t="s">
        <v>348</v>
      </c>
      <c r="B625" s="31" t="s">
        <v>77</v>
      </c>
      <c r="C625" s="70"/>
      <c r="E625" s="31">
        <v>1</v>
      </c>
      <c r="G625" s="31" t="s">
        <v>607</v>
      </c>
      <c r="N625" s="31">
        <v>0</v>
      </c>
      <c r="O625" s="31">
        <v>0</v>
      </c>
      <c r="Q625" s="31">
        <v>10</v>
      </c>
      <c r="W625" s="31" t="s">
        <v>75</v>
      </c>
      <c r="CE625" s="35" t="s">
        <v>1037</v>
      </c>
      <c r="CG625" s="31" t="s">
        <v>718</v>
      </c>
      <c r="CV625" s="36" t="s">
        <v>217</v>
      </c>
      <c r="CZ625" s="71"/>
    </row>
    <row r="626" spans="1:104">
      <c r="A626" s="72" t="s">
        <v>349</v>
      </c>
      <c r="B626" s="31" t="s">
        <v>129</v>
      </c>
      <c r="C626" s="70"/>
      <c r="E626" s="31">
        <v>1</v>
      </c>
      <c r="G626" s="31" t="s">
        <v>607</v>
      </c>
      <c r="N626" s="31">
        <v>0</v>
      </c>
      <c r="O626" s="31">
        <v>0</v>
      </c>
      <c r="Q626" s="31">
        <v>10</v>
      </c>
      <c r="W626" s="31" t="s">
        <v>75</v>
      </c>
      <c r="CD626" s="35" t="s">
        <v>451</v>
      </c>
      <c r="CE626" s="35" t="s">
        <v>1037</v>
      </c>
      <c r="CG626" s="31" t="s">
        <v>718</v>
      </c>
      <c r="CV626" s="36" t="s">
        <v>217</v>
      </c>
      <c r="CZ626" s="71"/>
    </row>
    <row r="627" spans="1:104">
      <c r="A627" s="72" t="s">
        <v>350</v>
      </c>
      <c r="B627" s="31" t="s">
        <v>129</v>
      </c>
      <c r="C627" s="70"/>
      <c r="E627" s="31">
        <v>1</v>
      </c>
      <c r="G627" s="31" t="s">
        <v>607</v>
      </c>
      <c r="N627" s="31">
        <v>0</v>
      </c>
      <c r="O627" s="31">
        <v>0</v>
      </c>
      <c r="Q627" s="31">
        <v>10</v>
      </c>
      <c r="W627" s="31" t="s">
        <v>75</v>
      </c>
      <c r="CD627" s="35" t="s">
        <v>451</v>
      </c>
      <c r="CE627" s="35" t="s">
        <v>1037</v>
      </c>
      <c r="CG627" s="31" t="s">
        <v>718</v>
      </c>
      <c r="CV627" s="36" t="s">
        <v>217</v>
      </c>
      <c r="CZ627" s="71"/>
    </row>
    <row r="628" spans="1:104">
      <c r="A628" s="72" t="s">
        <v>351</v>
      </c>
      <c r="B628" s="31" t="s">
        <v>129</v>
      </c>
      <c r="C628" s="70"/>
      <c r="E628" s="31">
        <v>1</v>
      </c>
      <c r="G628" s="31" t="s">
        <v>607</v>
      </c>
      <c r="N628" s="31">
        <v>0</v>
      </c>
      <c r="O628" s="31">
        <v>0</v>
      </c>
      <c r="Q628" s="31">
        <v>10</v>
      </c>
      <c r="W628" s="31" t="s">
        <v>75</v>
      </c>
      <c r="CD628" s="35" t="s">
        <v>451</v>
      </c>
      <c r="CE628" s="35" t="s">
        <v>1037</v>
      </c>
      <c r="CG628" s="31" t="s">
        <v>718</v>
      </c>
      <c r="CV628" s="36" t="s">
        <v>217</v>
      </c>
      <c r="CZ628" s="71"/>
    </row>
    <row r="629" spans="1:104">
      <c r="A629" s="72" t="s">
        <v>352</v>
      </c>
      <c r="B629" s="31" t="s">
        <v>129</v>
      </c>
      <c r="C629" s="70"/>
      <c r="E629" s="31">
        <v>1</v>
      </c>
      <c r="G629" s="31" t="s">
        <v>607</v>
      </c>
      <c r="N629" s="31">
        <v>0</v>
      </c>
      <c r="O629" s="31">
        <v>0</v>
      </c>
      <c r="Q629" s="31">
        <v>10</v>
      </c>
      <c r="W629" s="31" t="s">
        <v>75</v>
      </c>
      <c r="CD629" s="35" t="s">
        <v>451</v>
      </c>
      <c r="CE629" s="35" t="s">
        <v>1037</v>
      </c>
      <c r="CG629" s="31" t="s">
        <v>718</v>
      </c>
      <c r="CV629" s="36" t="s">
        <v>217</v>
      </c>
      <c r="CZ629" s="71"/>
    </row>
    <row r="630" spans="1:104">
      <c r="A630" s="72" t="s">
        <v>353</v>
      </c>
      <c r="B630" s="31" t="s">
        <v>77</v>
      </c>
      <c r="C630" s="70"/>
      <c r="E630" s="31">
        <v>1</v>
      </c>
      <c r="G630" s="31" t="s">
        <v>607</v>
      </c>
      <c r="H630" s="31">
        <v>3</v>
      </c>
      <c r="N630" s="31">
        <v>0</v>
      </c>
      <c r="O630" s="31">
        <v>0</v>
      </c>
      <c r="Q630" s="31">
        <v>10</v>
      </c>
      <c r="W630" s="31" t="s">
        <v>100</v>
      </c>
      <c r="CE630" s="35" t="s">
        <v>1037</v>
      </c>
      <c r="CG630" s="31" t="s">
        <v>718</v>
      </c>
      <c r="CV630" s="36" t="s">
        <v>217</v>
      </c>
      <c r="CZ630" s="71"/>
    </row>
    <row r="631" spans="1:104">
      <c r="A631" s="72" t="s">
        <v>733</v>
      </c>
      <c r="B631" s="31" t="s">
        <v>129</v>
      </c>
      <c r="C631" s="70"/>
      <c r="E631" s="31">
        <v>6</v>
      </c>
      <c r="G631" s="31" t="s">
        <v>607</v>
      </c>
      <c r="H631" s="31">
        <v>3</v>
      </c>
      <c r="N631" s="31">
        <v>0</v>
      </c>
      <c r="O631" s="31">
        <v>0</v>
      </c>
      <c r="P631" s="31">
        <v>3</v>
      </c>
      <c r="Q631" s="31">
        <v>10</v>
      </c>
      <c r="W631" s="31" t="s">
        <v>100</v>
      </c>
      <c r="CE631" s="35" t="s">
        <v>1037</v>
      </c>
      <c r="CG631" s="31" t="s">
        <v>718</v>
      </c>
      <c r="CV631" s="36" t="s">
        <v>217</v>
      </c>
      <c r="CZ631" s="71"/>
    </row>
    <row r="632" spans="1:104">
      <c r="A632" s="72" t="s">
        <v>354</v>
      </c>
      <c r="B632" s="31" t="s">
        <v>129</v>
      </c>
      <c r="C632" s="70"/>
      <c r="E632" s="31">
        <v>1</v>
      </c>
      <c r="G632" s="31" t="s">
        <v>606</v>
      </c>
      <c r="N632" s="31">
        <v>0</v>
      </c>
      <c r="O632" s="31">
        <v>0</v>
      </c>
      <c r="Q632" s="31">
        <v>10</v>
      </c>
      <c r="W632" s="31" t="s">
        <v>118</v>
      </c>
      <c r="CD632" s="35" t="s">
        <v>451</v>
      </c>
      <c r="CE632" s="35" t="s">
        <v>1037</v>
      </c>
      <c r="CG632" s="31" t="s">
        <v>718</v>
      </c>
      <c r="CV632" s="36" t="s">
        <v>217</v>
      </c>
      <c r="CZ632" s="71"/>
    </row>
    <row r="633" spans="1:104">
      <c r="A633" s="72" t="s">
        <v>355</v>
      </c>
      <c r="B633" s="31" t="s">
        <v>129</v>
      </c>
      <c r="C633" s="70"/>
      <c r="E633" s="31">
        <v>7</v>
      </c>
      <c r="G633" s="31" t="s">
        <v>606</v>
      </c>
      <c r="N633" s="31">
        <v>0</v>
      </c>
      <c r="O633" s="31">
        <v>0</v>
      </c>
      <c r="Q633" s="31">
        <v>10</v>
      </c>
      <c r="W633" s="31" t="s">
        <v>118</v>
      </c>
      <c r="CD633" s="35" t="s">
        <v>778</v>
      </c>
      <c r="CE633" s="35" t="s">
        <v>1037</v>
      </c>
      <c r="CG633" s="31" t="s">
        <v>718</v>
      </c>
      <c r="CV633" s="36" t="s">
        <v>217</v>
      </c>
      <c r="CZ633" s="71"/>
    </row>
    <row r="634" spans="1:104">
      <c r="A634" s="72" t="s">
        <v>356</v>
      </c>
      <c r="B634" s="31" t="s">
        <v>129</v>
      </c>
      <c r="C634" s="70"/>
      <c r="E634" s="31">
        <v>2</v>
      </c>
      <c r="G634" s="31" t="s">
        <v>607</v>
      </c>
      <c r="N634" s="31">
        <v>0</v>
      </c>
      <c r="O634" s="31">
        <v>0</v>
      </c>
      <c r="Q634" s="31">
        <v>10</v>
      </c>
      <c r="W634" s="31" t="s">
        <v>75</v>
      </c>
      <c r="CD634" s="35" t="s">
        <v>451</v>
      </c>
      <c r="CE634" s="35" t="s">
        <v>1037</v>
      </c>
      <c r="CG634" s="31" t="s">
        <v>718</v>
      </c>
      <c r="CV634" s="36" t="s">
        <v>217</v>
      </c>
      <c r="CZ634" s="71"/>
    </row>
    <row r="635" spans="1:104">
      <c r="A635" s="72" t="s">
        <v>357</v>
      </c>
      <c r="B635" s="31" t="s">
        <v>77</v>
      </c>
      <c r="C635" s="70"/>
      <c r="E635" s="31">
        <v>1</v>
      </c>
      <c r="G635" s="31" t="s">
        <v>607</v>
      </c>
      <c r="H635" s="31">
        <v>3</v>
      </c>
      <c r="J635" s="31">
        <v>4</v>
      </c>
      <c r="K635" s="31">
        <v>2</v>
      </c>
      <c r="N635" s="31">
        <v>0</v>
      </c>
      <c r="O635" s="31">
        <v>0</v>
      </c>
      <c r="Q635" s="31">
        <v>10</v>
      </c>
      <c r="W635" s="31" t="s">
        <v>75</v>
      </c>
      <c r="CD635" s="35" t="s">
        <v>820</v>
      </c>
      <c r="CE635" s="35" t="s">
        <v>1037</v>
      </c>
      <c r="CG635" s="31" t="s">
        <v>718</v>
      </c>
      <c r="CV635" s="36" t="s">
        <v>217</v>
      </c>
      <c r="CZ635" s="71"/>
    </row>
    <row r="636" spans="1:104">
      <c r="A636" s="72" t="s">
        <v>726</v>
      </c>
      <c r="B636" s="31" t="s">
        <v>77</v>
      </c>
      <c r="C636" s="70"/>
      <c r="E636" s="31">
        <v>9</v>
      </c>
      <c r="G636" s="31" t="s">
        <v>607</v>
      </c>
      <c r="H636" s="31">
        <v>3</v>
      </c>
      <c r="J636" s="31">
        <v>4</v>
      </c>
      <c r="K636" s="31">
        <v>2</v>
      </c>
      <c r="N636" s="31">
        <v>0</v>
      </c>
      <c r="O636" s="31">
        <v>0</v>
      </c>
      <c r="Q636" s="31">
        <v>10</v>
      </c>
      <c r="W636" s="31" t="s">
        <v>75</v>
      </c>
      <c r="X636" s="113" t="s">
        <v>31</v>
      </c>
      <c r="CD636" s="35" t="s">
        <v>780</v>
      </c>
      <c r="CE636" s="35" t="s">
        <v>1037</v>
      </c>
      <c r="CG636" s="31" t="s">
        <v>718</v>
      </c>
      <c r="CV636" s="36" t="s">
        <v>217</v>
      </c>
      <c r="CZ636" s="71"/>
    </row>
    <row r="637" spans="1:104">
      <c r="A637" s="72" t="s">
        <v>358</v>
      </c>
      <c r="B637" s="31" t="s">
        <v>77</v>
      </c>
      <c r="C637" s="70"/>
      <c r="E637" s="31">
        <v>3</v>
      </c>
      <c r="G637" s="31" t="s">
        <v>607</v>
      </c>
      <c r="H637" s="31">
        <v>3</v>
      </c>
      <c r="J637" s="31">
        <v>4</v>
      </c>
      <c r="K637" s="31">
        <v>2</v>
      </c>
      <c r="N637" s="31">
        <v>0</v>
      </c>
      <c r="O637" s="31">
        <v>0</v>
      </c>
      <c r="Q637" s="31">
        <v>10</v>
      </c>
      <c r="W637" s="31" t="s">
        <v>75</v>
      </c>
      <c r="CD637" s="35" t="s">
        <v>820</v>
      </c>
      <c r="CE637" s="35" t="s">
        <v>1037</v>
      </c>
      <c r="CG637" s="31" t="s">
        <v>718</v>
      </c>
      <c r="CV637" s="36" t="s">
        <v>217</v>
      </c>
      <c r="CZ637" s="71"/>
    </row>
    <row r="638" spans="1:104">
      <c r="A638" s="72" t="s">
        <v>359</v>
      </c>
      <c r="B638" s="31" t="s">
        <v>77</v>
      </c>
      <c r="C638" s="70"/>
      <c r="E638" s="31">
        <v>4</v>
      </c>
      <c r="G638" s="31" t="s">
        <v>607</v>
      </c>
      <c r="H638" s="31">
        <v>3</v>
      </c>
      <c r="J638" s="31">
        <v>4</v>
      </c>
      <c r="K638" s="31">
        <v>2</v>
      </c>
      <c r="L638" s="31">
        <v>-20</v>
      </c>
      <c r="N638" s="31">
        <v>0</v>
      </c>
      <c r="O638" s="31">
        <v>0</v>
      </c>
      <c r="Q638" s="31">
        <v>10</v>
      </c>
      <c r="W638" s="31" t="s">
        <v>75</v>
      </c>
      <c r="CD638" s="35" t="s">
        <v>780</v>
      </c>
      <c r="CE638" s="35" t="s">
        <v>1037</v>
      </c>
      <c r="CG638" s="31" t="s">
        <v>718</v>
      </c>
      <c r="CV638" s="36" t="s">
        <v>217</v>
      </c>
      <c r="CZ638" s="71"/>
    </row>
    <row r="639" spans="1:104">
      <c r="A639" s="72" t="s">
        <v>360</v>
      </c>
      <c r="B639" s="31" t="s">
        <v>77</v>
      </c>
      <c r="C639" s="70"/>
      <c r="E639" s="31">
        <v>1</v>
      </c>
      <c r="G639" s="31" t="s">
        <v>607</v>
      </c>
      <c r="H639" s="31">
        <v>3</v>
      </c>
      <c r="J639" s="31">
        <v>4</v>
      </c>
      <c r="K639" s="31">
        <v>2</v>
      </c>
      <c r="N639" s="31">
        <v>0</v>
      </c>
      <c r="O639" s="31">
        <v>0</v>
      </c>
      <c r="Q639" s="31">
        <v>10</v>
      </c>
      <c r="W639" s="31" t="s">
        <v>75</v>
      </c>
      <c r="CD639" s="35" t="s">
        <v>820</v>
      </c>
      <c r="CE639" s="35" t="s">
        <v>1037</v>
      </c>
      <c r="CG639" s="31" t="s">
        <v>718</v>
      </c>
      <c r="CV639" s="36" t="s">
        <v>217</v>
      </c>
      <c r="CZ639" s="71"/>
    </row>
    <row r="640" spans="1:104">
      <c r="A640" s="72" t="s">
        <v>361</v>
      </c>
      <c r="B640" s="31" t="s">
        <v>129</v>
      </c>
      <c r="C640" s="70"/>
      <c r="E640" s="31">
        <v>1</v>
      </c>
      <c r="G640" s="31" t="s">
        <v>607</v>
      </c>
      <c r="N640" s="31">
        <v>0</v>
      </c>
      <c r="O640" s="31">
        <v>0</v>
      </c>
      <c r="Q640" s="31">
        <v>10</v>
      </c>
      <c r="W640" s="31" t="s">
        <v>75</v>
      </c>
      <c r="CE640" s="35" t="s">
        <v>1037</v>
      </c>
      <c r="CG640" s="31" t="s">
        <v>718</v>
      </c>
      <c r="CV640" s="36" t="s">
        <v>217</v>
      </c>
      <c r="CZ640" s="71"/>
    </row>
    <row r="641" spans="1:104">
      <c r="A641" s="72" t="s">
        <v>362</v>
      </c>
      <c r="B641" s="31" t="s">
        <v>77</v>
      </c>
      <c r="C641" s="70"/>
      <c r="E641" s="31">
        <v>1</v>
      </c>
      <c r="G641" s="31" t="s">
        <v>607</v>
      </c>
      <c r="H641" s="31">
        <v>3</v>
      </c>
      <c r="N641" s="31">
        <v>0</v>
      </c>
      <c r="O641" s="31">
        <v>0</v>
      </c>
      <c r="Q641" s="31">
        <v>10</v>
      </c>
      <c r="W641" s="31" t="s">
        <v>75</v>
      </c>
      <c r="CE641" s="35" t="s">
        <v>1037</v>
      </c>
      <c r="CG641" s="31" t="s">
        <v>718</v>
      </c>
      <c r="CV641" s="36" t="s">
        <v>217</v>
      </c>
      <c r="CZ641" s="71"/>
    </row>
    <row r="642" spans="1:104">
      <c r="A642" s="72" t="s">
        <v>363</v>
      </c>
      <c r="B642" s="31" t="s">
        <v>77</v>
      </c>
      <c r="C642" s="70"/>
      <c r="E642" s="31">
        <v>2</v>
      </c>
      <c r="G642" s="31" t="s">
        <v>607</v>
      </c>
      <c r="H642" s="31">
        <v>3</v>
      </c>
      <c r="N642" s="31">
        <v>0</v>
      </c>
      <c r="O642" s="31">
        <v>0</v>
      </c>
      <c r="Q642" s="31">
        <v>10</v>
      </c>
      <c r="W642" s="31" t="s">
        <v>75</v>
      </c>
      <c r="CD642" s="35" t="s">
        <v>852</v>
      </c>
      <c r="CE642" s="35" t="s">
        <v>1037</v>
      </c>
      <c r="CG642" s="31" t="s">
        <v>718</v>
      </c>
      <c r="CV642" s="36" t="s">
        <v>217</v>
      </c>
      <c r="CZ642" s="71"/>
    </row>
    <row r="643" spans="1:104">
      <c r="A643" s="72" t="s">
        <v>364</v>
      </c>
      <c r="B643" s="31" t="s">
        <v>77</v>
      </c>
      <c r="C643" s="70"/>
      <c r="E643" s="31">
        <v>3</v>
      </c>
      <c r="G643" s="31" t="s">
        <v>607</v>
      </c>
      <c r="H643" s="31">
        <v>3</v>
      </c>
      <c r="N643" s="31">
        <v>0</v>
      </c>
      <c r="O643" s="31">
        <v>0</v>
      </c>
      <c r="Q643" s="31">
        <v>10</v>
      </c>
      <c r="W643" s="31" t="s">
        <v>75</v>
      </c>
      <c r="CD643" s="35" t="s">
        <v>1016</v>
      </c>
      <c r="CE643" s="35" t="s">
        <v>1037</v>
      </c>
      <c r="CG643" s="31" t="s">
        <v>718</v>
      </c>
      <c r="CV643" s="36" t="s">
        <v>217</v>
      </c>
      <c r="CZ643" s="71"/>
    </row>
    <row r="644" spans="1:104">
      <c r="A644" s="112" t="s">
        <v>365</v>
      </c>
      <c r="B644" s="31" t="s">
        <v>77</v>
      </c>
      <c r="C644" s="70"/>
      <c r="E644" s="31">
        <v>16</v>
      </c>
      <c r="G644" s="31" t="s">
        <v>607</v>
      </c>
      <c r="H644" s="31">
        <v>4</v>
      </c>
      <c r="J644" s="31">
        <v>7</v>
      </c>
      <c r="N644" s="31">
        <v>0</v>
      </c>
      <c r="O644" s="31">
        <v>0</v>
      </c>
      <c r="Q644" s="31">
        <v>10</v>
      </c>
      <c r="W644" s="31" t="s">
        <v>75</v>
      </c>
      <c r="CD644" s="35" t="s">
        <v>1279</v>
      </c>
      <c r="CE644" s="35" t="s">
        <v>1037</v>
      </c>
      <c r="CG644" s="31" t="s">
        <v>718</v>
      </c>
      <c r="CV644" s="36" t="s">
        <v>217</v>
      </c>
      <c r="CZ644" s="71"/>
    </row>
    <row r="645" spans="1:104">
      <c r="A645" s="72" t="s">
        <v>366</v>
      </c>
      <c r="B645" s="31" t="s">
        <v>77</v>
      </c>
      <c r="C645" s="70"/>
      <c r="E645" s="31">
        <v>16</v>
      </c>
      <c r="G645" s="31" t="s">
        <v>607</v>
      </c>
      <c r="H645" s="31">
        <v>4</v>
      </c>
      <c r="N645" s="31">
        <v>0</v>
      </c>
      <c r="O645" s="31">
        <v>0</v>
      </c>
      <c r="Q645" s="31">
        <v>10</v>
      </c>
      <c r="W645" s="31" t="s">
        <v>75</v>
      </c>
      <c r="CD645" s="35" t="s">
        <v>1279</v>
      </c>
      <c r="CE645" s="35" t="s">
        <v>1037</v>
      </c>
      <c r="CG645" s="31" t="s">
        <v>718</v>
      </c>
      <c r="CV645" s="36" t="s">
        <v>217</v>
      </c>
      <c r="CZ645" s="71"/>
    </row>
    <row r="646" spans="1:104">
      <c r="A646" s="112" t="s">
        <v>1280</v>
      </c>
      <c r="B646" s="31" t="s">
        <v>98</v>
      </c>
      <c r="C646" s="70"/>
      <c r="E646" s="31">
        <v>16</v>
      </c>
      <c r="G646" s="31" t="s">
        <v>607</v>
      </c>
      <c r="H646" s="31">
        <v>5</v>
      </c>
      <c r="J646" s="31">
        <v>8</v>
      </c>
      <c r="N646" s="31">
        <v>0</v>
      </c>
      <c r="O646" s="31">
        <v>0</v>
      </c>
      <c r="Q646" s="31">
        <v>10</v>
      </c>
      <c r="W646" s="31" t="s">
        <v>75</v>
      </c>
      <c r="CD646" s="35" t="s">
        <v>1058</v>
      </c>
      <c r="CE646" s="35" t="s">
        <v>1037</v>
      </c>
      <c r="CG646" s="31" t="s">
        <v>718</v>
      </c>
      <c r="CV646" s="36" t="s">
        <v>217</v>
      </c>
      <c r="CZ646" s="71"/>
    </row>
    <row r="647" spans="1:104">
      <c r="A647" s="148" t="s">
        <v>1588</v>
      </c>
      <c r="B647" s="31" t="s">
        <v>129</v>
      </c>
      <c r="C647" s="70"/>
      <c r="E647" s="31">
        <v>15</v>
      </c>
      <c r="G647" s="31" t="s">
        <v>607</v>
      </c>
      <c r="H647" s="31">
        <v>3</v>
      </c>
      <c r="I647" s="31" t="s">
        <v>74</v>
      </c>
      <c r="J647" s="31">
        <v>8</v>
      </c>
      <c r="L647" s="31">
        <v>30</v>
      </c>
      <c r="N647" s="31">
        <v>0</v>
      </c>
      <c r="O647" s="31">
        <v>0</v>
      </c>
      <c r="Q647" s="31">
        <v>10</v>
      </c>
      <c r="W647" s="31" t="s">
        <v>75</v>
      </c>
      <c r="CD647" s="35" t="s">
        <v>1590</v>
      </c>
      <c r="CE647" s="35" t="s">
        <v>1037</v>
      </c>
      <c r="CF647" s="35" t="s">
        <v>1560</v>
      </c>
      <c r="CG647" s="31" t="s">
        <v>718</v>
      </c>
      <c r="CV647" s="36" t="s">
        <v>217</v>
      </c>
      <c r="CZ647" s="71"/>
    </row>
    <row r="648" spans="1:104">
      <c r="A648" s="147" t="s">
        <v>1589</v>
      </c>
      <c r="B648" s="31" t="s">
        <v>129</v>
      </c>
      <c r="C648" s="70"/>
      <c r="E648" s="31">
        <v>15</v>
      </c>
      <c r="G648" s="31" t="s">
        <v>607</v>
      </c>
      <c r="H648" s="31">
        <v>3</v>
      </c>
      <c r="I648" s="31" t="s">
        <v>74</v>
      </c>
      <c r="J648" s="31">
        <v>8</v>
      </c>
      <c r="L648" s="31">
        <v>30</v>
      </c>
      <c r="N648" s="31">
        <v>0</v>
      </c>
      <c r="O648" s="31">
        <v>0</v>
      </c>
      <c r="Q648" s="31">
        <v>10</v>
      </c>
      <c r="W648" s="31" t="s">
        <v>75</v>
      </c>
      <c r="CD648" s="35" t="s">
        <v>1591</v>
      </c>
      <c r="CE648" s="35" t="s">
        <v>1037</v>
      </c>
      <c r="CF648" s="35" t="s">
        <v>1282</v>
      </c>
      <c r="CG648" s="31" t="s">
        <v>718</v>
      </c>
      <c r="CV648" s="36" t="s">
        <v>217</v>
      </c>
      <c r="CZ648" s="71"/>
    </row>
    <row r="649" spans="1:104">
      <c r="A649" s="72" t="s">
        <v>367</v>
      </c>
      <c r="B649" s="31" t="s">
        <v>77</v>
      </c>
      <c r="C649" s="70"/>
      <c r="E649" s="31">
        <v>1</v>
      </c>
      <c r="G649" s="31" t="s">
        <v>607</v>
      </c>
      <c r="N649" s="31">
        <v>0</v>
      </c>
      <c r="O649" s="31">
        <v>0</v>
      </c>
      <c r="Q649" s="31">
        <v>10</v>
      </c>
      <c r="W649" s="31" t="s">
        <v>75</v>
      </c>
      <c r="CE649" s="35" t="s">
        <v>1037</v>
      </c>
      <c r="CG649" s="31" t="s">
        <v>718</v>
      </c>
      <c r="CV649" s="36" t="s">
        <v>217</v>
      </c>
      <c r="CZ649" s="71"/>
    </row>
    <row r="650" spans="1:104">
      <c r="A650" s="72" t="s">
        <v>1056</v>
      </c>
      <c r="B650" s="31" t="s">
        <v>193</v>
      </c>
      <c r="C650" s="70"/>
      <c r="E650" s="31">
        <v>9</v>
      </c>
      <c r="H650" s="31">
        <v>5</v>
      </c>
      <c r="I650" s="31" t="s">
        <v>78</v>
      </c>
      <c r="N650" s="31">
        <v>0</v>
      </c>
      <c r="O650" s="31">
        <v>0</v>
      </c>
      <c r="Q650" s="31">
        <v>10</v>
      </c>
      <c r="W650" s="31" t="s">
        <v>194</v>
      </c>
      <c r="CE650" s="35" t="s">
        <v>1037</v>
      </c>
      <c r="CG650" s="31" t="s">
        <v>718</v>
      </c>
      <c r="CV650" s="36" t="s">
        <v>217</v>
      </c>
      <c r="CZ650" s="71"/>
    </row>
    <row r="651" spans="1:104">
      <c r="A651" s="72" t="s">
        <v>1057</v>
      </c>
      <c r="B651" s="31" t="s">
        <v>77</v>
      </c>
      <c r="C651" s="70"/>
      <c r="E651" s="31">
        <v>9</v>
      </c>
      <c r="G651" s="31" t="s">
        <v>607</v>
      </c>
      <c r="H651" s="31">
        <v>4</v>
      </c>
      <c r="I651" s="31" t="s">
        <v>78</v>
      </c>
      <c r="N651" s="31">
        <v>0</v>
      </c>
      <c r="O651" s="31">
        <v>0</v>
      </c>
      <c r="Q651" s="31">
        <v>10</v>
      </c>
      <c r="W651" s="31" t="s">
        <v>75</v>
      </c>
      <c r="CE651" s="35" t="s">
        <v>1037</v>
      </c>
      <c r="CG651" s="31" t="s">
        <v>718</v>
      </c>
      <c r="CV651" s="36" t="s">
        <v>217</v>
      </c>
      <c r="CZ651" s="71"/>
    </row>
    <row r="652" spans="1:104">
      <c r="A652" s="72" t="s">
        <v>840</v>
      </c>
      <c r="B652" s="31" t="s">
        <v>77</v>
      </c>
      <c r="C652" s="70"/>
      <c r="E652" s="31">
        <v>12</v>
      </c>
      <c r="G652" s="31" t="s">
        <v>607</v>
      </c>
      <c r="H652" s="31">
        <v>4</v>
      </c>
      <c r="I652" s="31" t="s">
        <v>78</v>
      </c>
      <c r="N652" s="31">
        <v>0</v>
      </c>
      <c r="O652" s="31">
        <v>0</v>
      </c>
      <c r="Q652" s="31">
        <v>10</v>
      </c>
      <c r="W652" s="31" t="s">
        <v>75</v>
      </c>
      <c r="CE652" s="35" t="s">
        <v>1037</v>
      </c>
      <c r="CG652" s="31" t="s">
        <v>718</v>
      </c>
      <c r="CV652" s="36" t="s">
        <v>217</v>
      </c>
      <c r="CZ652" s="71"/>
    </row>
    <row r="653" spans="1:104">
      <c r="A653" s="72" t="s">
        <v>368</v>
      </c>
      <c r="B653" s="31" t="s">
        <v>77</v>
      </c>
      <c r="C653" s="70"/>
      <c r="E653" s="31">
        <v>1</v>
      </c>
      <c r="G653" s="31" t="s">
        <v>607</v>
      </c>
      <c r="N653" s="31">
        <v>0</v>
      </c>
      <c r="O653" s="31">
        <v>0</v>
      </c>
      <c r="Q653" s="31">
        <v>10</v>
      </c>
      <c r="W653" s="31" t="s">
        <v>75</v>
      </c>
      <c r="CE653" s="35" t="s">
        <v>1037</v>
      </c>
      <c r="CG653" s="31" t="s">
        <v>718</v>
      </c>
      <c r="CV653" s="36" t="s">
        <v>217</v>
      </c>
      <c r="CZ653" s="71"/>
    </row>
    <row r="654" spans="1:104">
      <c r="A654" s="72" t="s">
        <v>369</v>
      </c>
      <c r="B654" s="31" t="s">
        <v>129</v>
      </c>
      <c r="C654" s="70"/>
      <c r="E654" s="31">
        <v>1</v>
      </c>
      <c r="G654" s="31" t="s">
        <v>607</v>
      </c>
      <c r="N654" s="31">
        <v>0</v>
      </c>
      <c r="O654" s="31">
        <v>0</v>
      </c>
      <c r="Q654" s="31">
        <v>10</v>
      </c>
      <c r="W654" s="31" t="s">
        <v>75</v>
      </c>
      <c r="CE654" s="35" t="s">
        <v>1037</v>
      </c>
      <c r="CG654" s="31" t="s">
        <v>718</v>
      </c>
      <c r="CV654" s="36" t="s">
        <v>217</v>
      </c>
      <c r="CZ654" s="71"/>
    </row>
    <row r="655" spans="1:104">
      <c r="A655" s="72" t="s">
        <v>370</v>
      </c>
      <c r="B655" s="31" t="s">
        <v>129</v>
      </c>
      <c r="C655" s="70"/>
      <c r="E655" s="31">
        <v>1</v>
      </c>
      <c r="G655" s="31" t="s">
        <v>607</v>
      </c>
      <c r="N655" s="31">
        <v>0</v>
      </c>
      <c r="O655" s="31">
        <v>0</v>
      </c>
      <c r="Q655" s="31">
        <v>10</v>
      </c>
      <c r="W655" s="31" t="s">
        <v>75</v>
      </c>
      <c r="CE655" s="35" t="s">
        <v>1037</v>
      </c>
      <c r="CG655" s="31" t="s">
        <v>718</v>
      </c>
      <c r="CV655" s="36" t="s">
        <v>217</v>
      </c>
      <c r="CZ655" s="71"/>
    </row>
    <row r="656" spans="1:104">
      <c r="A656" s="72" t="s">
        <v>371</v>
      </c>
      <c r="B656" s="31" t="s">
        <v>98</v>
      </c>
      <c r="C656" s="70"/>
      <c r="E656" s="31">
        <v>2</v>
      </c>
      <c r="G656" s="31" t="s">
        <v>607</v>
      </c>
      <c r="N656" s="31">
        <v>0</v>
      </c>
      <c r="O656" s="31">
        <v>0</v>
      </c>
      <c r="Q656" s="31">
        <v>10</v>
      </c>
      <c r="W656" s="31" t="s">
        <v>75</v>
      </c>
      <c r="CE656" s="35" t="s">
        <v>1037</v>
      </c>
      <c r="CG656" s="31" t="s">
        <v>718</v>
      </c>
      <c r="CV656" s="36" t="s">
        <v>217</v>
      </c>
      <c r="CZ656" s="71"/>
    </row>
    <row r="657" spans="1:104">
      <c r="A657" s="112" t="s">
        <v>372</v>
      </c>
      <c r="B657" s="31" t="s">
        <v>98</v>
      </c>
      <c r="C657" s="70"/>
      <c r="E657" s="31">
        <v>20</v>
      </c>
      <c r="G657" s="31" t="s">
        <v>607</v>
      </c>
      <c r="H657" s="31">
        <v>7</v>
      </c>
      <c r="I657" s="31" t="s">
        <v>74</v>
      </c>
      <c r="J657" s="31">
        <v>8</v>
      </c>
      <c r="L657" s="31">
        <v>30</v>
      </c>
      <c r="N657" s="31">
        <v>0</v>
      </c>
      <c r="O657" s="31">
        <v>0</v>
      </c>
      <c r="Q657" s="31">
        <v>10</v>
      </c>
      <c r="W657" s="31" t="s">
        <v>75</v>
      </c>
      <c r="CD657" s="35" t="s">
        <v>1433</v>
      </c>
      <c r="CE657" s="35" t="s">
        <v>1037</v>
      </c>
      <c r="CF657" s="35" t="s">
        <v>1561</v>
      </c>
      <c r="CG657" s="31" t="s">
        <v>718</v>
      </c>
      <c r="CV657" s="36" t="s">
        <v>217</v>
      </c>
      <c r="CZ657" s="71"/>
    </row>
    <row r="658" spans="1:104">
      <c r="A658" s="72" t="s">
        <v>373</v>
      </c>
      <c r="B658" s="31" t="s">
        <v>77</v>
      </c>
      <c r="C658" s="70"/>
      <c r="E658" s="31">
        <v>4</v>
      </c>
      <c r="G658" s="31" t="s">
        <v>607</v>
      </c>
      <c r="H658" s="31">
        <v>3</v>
      </c>
      <c r="N658" s="31">
        <v>0</v>
      </c>
      <c r="O658" s="31">
        <v>0</v>
      </c>
      <c r="Q658" s="31">
        <v>10</v>
      </c>
      <c r="W658" s="31" t="s">
        <v>75</v>
      </c>
      <c r="CD658" s="35" t="s">
        <v>1262</v>
      </c>
      <c r="CE658" s="35" t="s">
        <v>1037</v>
      </c>
      <c r="CG658" s="31" t="s">
        <v>718</v>
      </c>
      <c r="CV658" s="36" t="s">
        <v>217</v>
      </c>
      <c r="CZ658" s="71"/>
    </row>
    <row r="659" spans="1:104">
      <c r="A659" s="72" t="s">
        <v>1258</v>
      </c>
      <c r="B659" s="31" t="s">
        <v>77</v>
      </c>
      <c r="C659" s="70"/>
      <c r="E659" s="31">
        <v>18</v>
      </c>
      <c r="G659" s="31" t="s">
        <v>607</v>
      </c>
      <c r="H659" s="31">
        <v>4</v>
      </c>
      <c r="N659" s="31">
        <v>0</v>
      </c>
      <c r="O659" s="31">
        <v>0</v>
      </c>
      <c r="Q659" s="31">
        <v>10</v>
      </c>
      <c r="W659" s="31" t="s">
        <v>75</v>
      </c>
      <c r="CD659" s="35" t="s">
        <v>1060</v>
      </c>
      <c r="CE659" s="35" t="s">
        <v>1037</v>
      </c>
      <c r="CG659" s="31" t="s">
        <v>718</v>
      </c>
      <c r="CV659" s="36" t="s">
        <v>217</v>
      </c>
      <c r="CZ659" s="71"/>
    </row>
    <row r="660" spans="1:104">
      <c r="A660" s="72" t="s">
        <v>1255</v>
      </c>
      <c r="B660" s="31" t="s">
        <v>77</v>
      </c>
      <c r="C660" s="70"/>
      <c r="E660" s="31">
        <v>18</v>
      </c>
      <c r="G660" s="31" t="s">
        <v>607</v>
      </c>
      <c r="H660" s="31">
        <v>4</v>
      </c>
      <c r="N660" s="31">
        <v>0</v>
      </c>
      <c r="O660" s="31">
        <v>0</v>
      </c>
      <c r="Q660" s="31">
        <v>10</v>
      </c>
      <c r="W660" s="31" t="s">
        <v>75</v>
      </c>
      <c r="CD660" s="35" t="s">
        <v>1261</v>
      </c>
      <c r="CE660" s="35" t="s">
        <v>1037</v>
      </c>
      <c r="CG660" s="31" t="s">
        <v>718</v>
      </c>
      <c r="CV660" s="36" t="s">
        <v>217</v>
      </c>
      <c r="CZ660" s="71"/>
    </row>
    <row r="661" spans="1:104">
      <c r="A661" s="72" t="s">
        <v>1256</v>
      </c>
      <c r="B661" s="31" t="s">
        <v>77</v>
      </c>
      <c r="C661" s="70"/>
      <c r="E661" s="31">
        <v>18</v>
      </c>
      <c r="G661" s="31" t="s">
        <v>607</v>
      </c>
      <c r="H661" s="31">
        <v>4</v>
      </c>
      <c r="N661" s="31">
        <v>0</v>
      </c>
      <c r="O661" s="31">
        <v>0</v>
      </c>
      <c r="Q661" s="31">
        <v>10</v>
      </c>
      <c r="W661" s="31" t="s">
        <v>75</v>
      </c>
      <c r="CD661" s="35" t="s">
        <v>1260</v>
      </c>
      <c r="CE661" s="35" t="s">
        <v>1037</v>
      </c>
      <c r="CG661" s="31" t="s">
        <v>718</v>
      </c>
      <c r="CV661" s="36" t="s">
        <v>217</v>
      </c>
      <c r="CZ661" s="71"/>
    </row>
    <row r="662" spans="1:104">
      <c r="A662" s="72" t="s">
        <v>1257</v>
      </c>
      <c r="B662" s="31" t="s">
        <v>77</v>
      </c>
      <c r="C662" s="70"/>
      <c r="E662" s="31">
        <v>18</v>
      </c>
      <c r="G662" s="31" t="s">
        <v>607</v>
      </c>
      <c r="H662" s="31">
        <v>4</v>
      </c>
      <c r="N662" s="31">
        <v>0</v>
      </c>
      <c r="O662" s="31">
        <v>0</v>
      </c>
      <c r="Q662" s="31">
        <v>10</v>
      </c>
      <c r="W662" s="31" t="s">
        <v>75</v>
      </c>
      <c r="CD662" s="35" t="s">
        <v>1259</v>
      </c>
      <c r="CE662" s="35" t="s">
        <v>1037</v>
      </c>
      <c r="CG662" s="31" t="s">
        <v>718</v>
      </c>
      <c r="CV662" s="36" t="s">
        <v>217</v>
      </c>
      <c r="CZ662" s="71"/>
    </row>
    <row r="663" spans="1:104">
      <c r="A663" s="72" t="s">
        <v>374</v>
      </c>
      <c r="B663" s="31" t="s">
        <v>77</v>
      </c>
      <c r="C663" s="70"/>
      <c r="E663" s="31">
        <v>7</v>
      </c>
      <c r="G663" s="31" t="s">
        <v>607</v>
      </c>
      <c r="H663" s="31">
        <v>3</v>
      </c>
      <c r="L663" s="31">
        <v>10</v>
      </c>
      <c r="N663" s="31">
        <v>0</v>
      </c>
      <c r="O663" s="31">
        <v>0</v>
      </c>
      <c r="Q663" s="31">
        <v>10</v>
      </c>
      <c r="W663" s="31" t="s">
        <v>75</v>
      </c>
      <c r="CD663" s="35" t="s">
        <v>802</v>
      </c>
      <c r="CE663" s="35" t="s">
        <v>1037</v>
      </c>
      <c r="CG663" s="31" t="s">
        <v>718</v>
      </c>
      <c r="CV663" s="36" t="s">
        <v>217</v>
      </c>
      <c r="CZ663" s="71"/>
    </row>
    <row r="664" spans="1:104">
      <c r="A664" s="72" t="s">
        <v>375</v>
      </c>
      <c r="B664" s="31" t="s">
        <v>77</v>
      </c>
      <c r="C664" s="70"/>
      <c r="E664" s="31">
        <v>4</v>
      </c>
      <c r="G664" s="31" t="s">
        <v>607</v>
      </c>
      <c r="H664" s="31">
        <v>3</v>
      </c>
      <c r="N664" s="31">
        <v>0</v>
      </c>
      <c r="O664" s="31">
        <v>0</v>
      </c>
      <c r="Q664" s="31">
        <v>10</v>
      </c>
      <c r="W664" s="31" t="s">
        <v>75</v>
      </c>
      <c r="CD664" s="35" t="s">
        <v>1262</v>
      </c>
      <c r="CE664" s="35" t="s">
        <v>1037</v>
      </c>
      <c r="CG664" s="31" t="s">
        <v>718</v>
      </c>
      <c r="CV664" s="36" t="s">
        <v>217</v>
      </c>
      <c r="CZ664" s="71"/>
    </row>
    <row r="665" spans="1:104">
      <c r="A665" s="72" t="s">
        <v>376</v>
      </c>
      <c r="B665" s="31" t="s">
        <v>77</v>
      </c>
      <c r="C665" s="70"/>
      <c r="E665" s="31">
        <v>8</v>
      </c>
      <c r="G665" s="31" t="s">
        <v>607</v>
      </c>
      <c r="H665" s="31">
        <v>3</v>
      </c>
      <c r="L665" s="31">
        <v>10</v>
      </c>
      <c r="N665" s="31">
        <v>0</v>
      </c>
      <c r="O665" s="31">
        <v>0</v>
      </c>
      <c r="Q665" s="31">
        <v>10</v>
      </c>
      <c r="W665" s="31" t="s">
        <v>75</v>
      </c>
      <c r="CD665" s="35" t="s">
        <v>802</v>
      </c>
      <c r="CE665" s="35" t="s">
        <v>1037</v>
      </c>
      <c r="CG665" s="31" t="s">
        <v>718</v>
      </c>
      <c r="CV665" s="36" t="s">
        <v>217</v>
      </c>
      <c r="CZ665" s="71"/>
    </row>
    <row r="666" spans="1:104">
      <c r="A666" s="72" t="s">
        <v>734</v>
      </c>
      <c r="B666" s="31" t="s">
        <v>77</v>
      </c>
      <c r="C666" s="70"/>
      <c r="E666" s="31">
        <v>8</v>
      </c>
      <c r="G666" s="31" t="s">
        <v>607</v>
      </c>
      <c r="H666" s="31">
        <v>3</v>
      </c>
      <c r="L666" s="31">
        <v>20</v>
      </c>
      <c r="N666" s="31">
        <v>0</v>
      </c>
      <c r="O666" s="31">
        <v>0</v>
      </c>
      <c r="Q666" s="31">
        <v>10</v>
      </c>
      <c r="W666" s="31" t="s">
        <v>75</v>
      </c>
      <c r="CD666" s="35" t="s">
        <v>1063</v>
      </c>
      <c r="CE666" s="35" t="s">
        <v>1037</v>
      </c>
      <c r="CG666" s="31" t="s">
        <v>718</v>
      </c>
      <c r="CV666" s="36" t="s">
        <v>217</v>
      </c>
      <c r="CZ666" s="71"/>
    </row>
    <row r="667" spans="1:104">
      <c r="A667" s="72" t="s">
        <v>377</v>
      </c>
      <c r="B667" s="31" t="s">
        <v>77</v>
      </c>
      <c r="C667" s="70"/>
      <c r="E667" s="31">
        <v>6</v>
      </c>
      <c r="G667" s="31" t="s">
        <v>607</v>
      </c>
      <c r="H667" s="31">
        <v>4</v>
      </c>
      <c r="N667" s="31">
        <v>0</v>
      </c>
      <c r="O667" s="31">
        <v>0</v>
      </c>
      <c r="Q667" s="31">
        <v>10</v>
      </c>
      <c r="W667" s="31" t="s">
        <v>75</v>
      </c>
      <c r="CD667" s="35" t="s">
        <v>1500</v>
      </c>
      <c r="CE667" s="35" t="s">
        <v>1037</v>
      </c>
      <c r="CG667" s="31" t="s">
        <v>718</v>
      </c>
      <c r="CV667" s="36" t="s">
        <v>217</v>
      </c>
      <c r="CZ667" s="71"/>
    </row>
    <row r="668" spans="1:104">
      <c r="A668" s="72" t="s">
        <v>378</v>
      </c>
      <c r="B668" s="31" t="s">
        <v>77</v>
      </c>
      <c r="C668" s="70"/>
      <c r="E668" s="31">
        <v>9</v>
      </c>
      <c r="G668" s="31" t="s">
        <v>607</v>
      </c>
      <c r="H668" s="31">
        <v>4</v>
      </c>
      <c r="L668" s="31">
        <v>10</v>
      </c>
      <c r="N668" s="31">
        <v>0</v>
      </c>
      <c r="O668" s="31">
        <v>0</v>
      </c>
      <c r="Q668" s="31">
        <v>10</v>
      </c>
      <c r="W668" s="31" t="s">
        <v>75</v>
      </c>
      <c r="CD668" s="35" t="s">
        <v>1501</v>
      </c>
      <c r="CE668" s="35" t="s">
        <v>1037</v>
      </c>
      <c r="CG668" s="31" t="s">
        <v>718</v>
      </c>
      <c r="CV668" s="36" t="s">
        <v>217</v>
      </c>
      <c r="CZ668" s="71"/>
    </row>
    <row r="669" spans="1:104">
      <c r="A669" s="72" t="s">
        <v>379</v>
      </c>
      <c r="B669" s="31" t="s">
        <v>77</v>
      </c>
      <c r="C669" s="70"/>
      <c r="E669" s="31">
        <v>4</v>
      </c>
      <c r="G669" s="31" t="s">
        <v>607</v>
      </c>
      <c r="H669" s="31">
        <v>3</v>
      </c>
      <c r="I669" s="31" t="s">
        <v>78</v>
      </c>
      <c r="N669" s="31">
        <v>0</v>
      </c>
      <c r="O669" s="31">
        <v>0</v>
      </c>
      <c r="Q669" s="31">
        <v>10</v>
      </c>
      <c r="W669" s="31" t="s">
        <v>75</v>
      </c>
      <c r="CD669" s="35" t="s">
        <v>434</v>
      </c>
      <c r="CE669" s="35" t="s">
        <v>1037</v>
      </c>
      <c r="CF669" s="35" t="s">
        <v>1555</v>
      </c>
      <c r="CG669" s="31" t="s">
        <v>718</v>
      </c>
      <c r="CV669" s="36" t="s">
        <v>217</v>
      </c>
      <c r="CZ669" s="71"/>
    </row>
    <row r="670" spans="1:104">
      <c r="A670" s="72" t="s">
        <v>380</v>
      </c>
      <c r="B670" s="31" t="s">
        <v>77</v>
      </c>
      <c r="C670" s="70"/>
      <c r="E670" s="31">
        <v>7</v>
      </c>
      <c r="G670" s="31" t="s">
        <v>607</v>
      </c>
      <c r="H670" s="31">
        <v>3</v>
      </c>
      <c r="L670" s="31">
        <v>10</v>
      </c>
      <c r="N670" s="31">
        <v>0</v>
      </c>
      <c r="O670" s="31">
        <v>0</v>
      </c>
      <c r="Q670" s="31">
        <v>10</v>
      </c>
      <c r="W670" s="31" t="s">
        <v>75</v>
      </c>
      <c r="CD670" s="35" t="s">
        <v>1263</v>
      </c>
      <c r="CE670" s="35" t="s">
        <v>1037</v>
      </c>
      <c r="CG670" s="31" t="s">
        <v>718</v>
      </c>
      <c r="CV670" s="36" t="s">
        <v>217</v>
      </c>
      <c r="CZ670" s="71"/>
    </row>
    <row r="671" spans="1:104">
      <c r="A671" s="72" t="s">
        <v>381</v>
      </c>
      <c r="B671" s="31" t="s">
        <v>173</v>
      </c>
      <c r="C671" s="70"/>
      <c r="E671" s="31">
        <v>4</v>
      </c>
      <c r="G671" s="31" t="s">
        <v>607</v>
      </c>
      <c r="I671" s="31" t="s">
        <v>74</v>
      </c>
      <c r="L671" s="31">
        <v>-50</v>
      </c>
      <c r="N671" s="31">
        <v>0</v>
      </c>
      <c r="O671" s="31">
        <v>0</v>
      </c>
      <c r="Q671" s="31">
        <v>10</v>
      </c>
      <c r="W671" s="31" t="s">
        <v>75</v>
      </c>
      <c r="CD671" s="35" t="s">
        <v>300</v>
      </c>
      <c r="CE671" s="35" t="s">
        <v>1037</v>
      </c>
      <c r="CF671" s="35" t="s">
        <v>1555</v>
      </c>
      <c r="CG671" s="31" t="s">
        <v>718</v>
      </c>
      <c r="CV671" s="36" t="s">
        <v>217</v>
      </c>
      <c r="CZ671" s="71"/>
    </row>
    <row r="672" spans="1:104">
      <c r="A672" s="72" t="s">
        <v>382</v>
      </c>
      <c r="B672" s="31" t="s">
        <v>98</v>
      </c>
      <c r="C672" s="70"/>
      <c r="E672" s="31">
        <v>7</v>
      </c>
      <c r="G672" s="31" t="s">
        <v>607</v>
      </c>
      <c r="N672" s="31">
        <v>0</v>
      </c>
      <c r="O672" s="31">
        <v>0</v>
      </c>
      <c r="Q672" s="31">
        <v>10</v>
      </c>
      <c r="W672" s="31" t="s">
        <v>75</v>
      </c>
      <c r="CD672" s="35" t="s">
        <v>300</v>
      </c>
      <c r="CE672" s="35" t="s">
        <v>1037</v>
      </c>
      <c r="CG672" s="31" t="s">
        <v>718</v>
      </c>
      <c r="CV672" s="36" t="s">
        <v>217</v>
      </c>
      <c r="CZ672" s="71"/>
    </row>
    <row r="673" spans="1:104">
      <c r="A673" s="72" t="s">
        <v>383</v>
      </c>
      <c r="B673" s="31" t="s">
        <v>98</v>
      </c>
      <c r="C673" s="70"/>
      <c r="E673" s="31">
        <v>17</v>
      </c>
      <c r="G673" s="31" t="s">
        <v>607</v>
      </c>
      <c r="H673" s="31">
        <v>4</v>
      </c>
      <c r="I673" s="31" t="s">
        <v>74</v>
      </c>
      <c r="J673" s="31">
        <v>4</v>
      </c>
      <c r="N673" s="31">
        <v>0</v>
      </c>
      <c r="O673" s="31">
        <v>0</v>
      </c>
      <c r="Q673" s="31">
        <v>10</v>
      </c>
      <c r="W673" s="31" t="s">
        <v>75</v>
      </c>
      <c r="CE673" s="35" t="s">
        <v>1037</v>
      </c>
      <c r="CG673" s="31" t="s">
        <v>718</v>
      </c>
      <c r="CV673" s="36" t="s">
        <v>217</v>
      </c>
      <c r="CZ673" s="71"/>
    </row>
    <row r="674" spans="1:104">
      <c r="A674" s="72" t="s">
        <v>384</v>
      </c>
      <c r="B674" s="31" t="s">
        <v>98</v>
      </c>
      <c r="C674" s="70"/>
      <c r="E674" s="31">
        <v>17</v>
      </c>
      <c r="G674" s="31" t="s">
        <v>607</v>
      </c>
      <c r="H674" s="31">
        <v>4</v>
      </c>
      <c r="I674" s="31" t="s">
        <v>74</v>
      </c>
      <c r="J674" s="31">
        <v>4</v>
      </c>
      <c r="N674" s="31">
        <v>0</v>
      </c>
      <c r="O674" s="31">
        <v>0</v>
      </c>
      <c r="Q674" s="31">
        <v>10</v>
      </c>
      <c r="W674" s="31" t="s">
        <v>75</v>
      </c>
      <c r="CE674" s="35" t="s">
        <v>1037</v>
      </c>
      <c r="CG674" s="31" t="s">
        <v>718</v>
      </c>
      <c r="CV674" s="36" t="s">
        <v>217</v>
      </c>
      <c r="CZ674" s="71"/>
    </row>
    <row r="675" spans="1:104">
      <c r="A675" s="72" t="s">
        <v>385</v>
      </c>
      <c r="B675" s="31" t="s">
        <v>173</v>
      </c>
      <c r="C675" s="70"/>
      <c r="E675" s="31">
        <v>17</v>
      </c>
      <c r="G675" s="31" t="s">
        <v>606</v>
      </c>
      <c r="H675" s="31">
        <v>6</v>
      </c>
      <c r="I675" s="31" t="s">
        <v>99</v>
      </c>
      <c r="J675" s="31">
        <v>5</v>
      </c>
      <c r="N675" s="31">
        <v>0</v>
      </c>
      <c r="O675" s="31">
        <v>0</v>
      </c>
      <c r="Q675" s="31">
        <v>10</v>
      </c>
      <c r="U675" s="31">
        <v>-4</v>
      </c>
      <c r="W675" s="31" t="s">
        <v>174</v>
      </c>
      <c r="CD675" s="35" t="s">
        <v>802</v>
      </c>
      <c r="CE675" s="35" t="s">
        <v>1037</v>
      </c>
      <c r="CF675" s="35" t="s">
        <v>1561</v>
      </c>
      <c r="CG675" s="31" t="s">
        <v>718</v>
      </c>
      <c r="CV675" s="36" t="s">
        <v>164</v>
      </c>
      <c r="CZ675" s="71"/>
    </row>
    <row r="676" spans="1:104">
      <c r="A676" s="72" t="s">
        <v>386</v>
      </c>
      <c r="B676" s="31" t="s">
        <v>173</v>
      </c>
      <c r="C676" s="70"/>
      <c r="E676" s="31">
        <v>17</v>
      </c>
      <c r="G676" s="31" t="s">
        <v>606</v>
      </c>
      <c r="H676" s="31">
        <v>6</v>
      </c>
      <c r="I676" s="31" t="s">
        <v>99</v>
      </c>
      <c r="J676" s="31">
        <v>5</v>
      </c>
      <c r="N676" s="31">
        <v>0</v>
      </c>
      <c r="O676" s="31">
        <v>0</v>
      </c>
      <c r="Q676" s="31">
        <v>10</v>
      </c>
      <c r="U676" s="31">
        <v>-4</v>
      </c>
      <c r="W676" s="31" t="s">
        <v>174</v>
      </c>
      <c r="CD676" s="35" t="s">
        <v>802</v>
      </c>
      <c r="CE676" s="35" t="s">
        <v>1037</v>
      </c>
      <c r="CF676" s="35" t="s">
        <v>1561</v>
      </c>
      <c r="CG676" s="31" t="s">
        <v>718</v>
      </c>
      <c r="CV676" s="36" t="s">
        <v>164</v>
      </c>
      <c r="CZ676" s="71"/>
    </row>
    <row r="677" spans="1:104">
      <c r="A677" s="72" t="s">
        <v>387</v>
      </c>
      <c r="B677" s="31" t="s">
        <v>98</v>
      </c>
      <c r="C677" s="70"/>
      <c r="E677" s="31">
        <v>17</v>
      </c>
      <c r="G677" s="31" t="s">
        <v>607</v>
      </c>
      <c r="H677" s="31">
        <v>4</v>
      </c>
      <c r="I677" s="31" t="s">
        <v>99</v>
      </c>
      <c r="J677" s="31">
        <v>5</v>
      </c>
      <c r="N677" s="31">
        <v>0</v>
      </c>
      <c r="O677" s="31">
        <v>0</v>
      </c>
      <c r="Q677" s="31">
        <v>10</v>
      </c>
      <c r="W677" s="31" t="s">
        <v>75</v>
      </c>
      <c r="CE677" s="35" t="s">
        <v>1037</v>
      </c>
      <c r="CG677" s="31" t="s">
        <v>718</v>
      </c>
      <c r="CV677" s="36" t="s">
        <v>217</v>
      </c>
      <c r="CZ677" s="71"/>
    </row>
    <row r="678" spans="1:104">
      <c r="A678" s="72" t="s">
        <v>388</v>
      </c>
      <c r="B678" s="31" t="s">
        <v>98</v>
      </c>
      <c r="C678" s="70"/>
      <c r="E678" s="31">
        <v>17</v>
      </c>
      <c r="G678" s="31" t="s">
        <v>607</v>
      </c>
      <c r="H678" s="31">
        <v>4</v>
      </c>
      <c r="I678" s="31" t="s">
        <v>99</v>
      </c>
      <c r="J678" s="31">
        <v>5</v>
      </c>
      <c r="N678" s="31">
        <v>0</v>
      </c>
      <c r="O678" s="31">
        <v>0</v>
      </c>
      <c r="Q678" s="31">
        <v>10</v>
      </c>
      <c r="W678" s="31" t="s">
        <v>75</v>
      </c>
      <c r="CE678" s="35" t="s">
        <v>1037</v>
      </c>
      <c r="CG678" s="31" t="s">
        <v>718</v>
      </c>
      <c r="CV678" s="36" t="s">
        <v>217</v>
      </c>
      <c r="CZ678" s="71"/>
    </row>
    <row r="679" spans="1:104">
      <c r="A679" s="72" t="s">
        <v>389</v>
      </c>
      <c r="B679" s="31" t="s">
        <v>129</v>
      </c>
      <c r="C679" s="70"/>
      <c r="E679" s="31">
        <v>6</v>
      </c>
      <c r="G679" s="31" t="s">
        <v>607</v>
      </c>
      <c r="N679" s="31">
        <v>0</v>
      </c>
      <c r="O679" s="31">
        <v>0</v>
      </c>
      <c r="Q679" s="31">
        <v>10</v>
      </c>
      <c r="W679" s="31" t="s">
        <v>75</v>
      </c>
      <c r="CE679" s="35" t="s">
        <v>1037</v>
      </c>
      <c r="CG679" s="31" t="s">
        <v>718</v>
      </c>
      <c r="CV679" s="36" t="s">
        <v>217</v>
      </c>
      <c r="CZ679" s="71"/>
    </row>
    <row r="680" spans="1:104">
      <c r="A680" s="72" t="s">
        <v>390</v>
      </c>
      <c r="B680" s="31" t="s">
        <v>129</v>
      </c>
      <c r="C680" s="70"/>
      <c r="E680" s="31">
        <v>8</v>
      </c>
      <c r="G680" s="31" t="s">
        <v>607</v>
      </c>
      <c r="N680" s="31">
        <v>0</v>
      </c>
      <c r="O680" s="31">
        <v>0</v>
      </c>
      <c r="Q680" s="31">
        <v>10</v>
      </c>
      <c r="W680" s="31" t="s">
        <v>75</v>
      </c>
      <c r="CE680" s="35" t="s">
        <v>1037</v>
      </c>
      <c r="CG680" s="31" t="s">
        <v>718</v>
      </c>
      <c r="CV680" s="36" t="s">
        <v>217</v>
      </c>
      <c r="CZ680" s="71"/>
    </row>
    <row r="681" spans="1:104">
      <c r="A681" s="72" t="s">
        <v>391</v>
      </c>
      <c r="B681" s="31" t="s">
        <v>129</v>
      </c>
      <c r="C681" s="70"/>
      <c r="E681" s="31">
        <v>17</v>
      </c>
      <c r="G681" s="31" t="s">
        <v>607</v>
      </c>
      <c r="H681" s="31">
        <v>4</v>
      </c>
      <c r="I681" s="31" t="s">
        <v>74</v>
      </c>
      <c r="J681" s="31">
        <v>6</v>
      </c>
      <c r="N681" s="31">
        <v>0</v>
      </c>
      <c r="O681" s="31">
        <v>0</v>
      </c>
      <c r="Q681" s="31">
        <v>10</v>
      </c>
      <c r="W681" s="31" t="s">
        <v>75</v>
      </c>
      <c r="CE681" s="35" t="s">
        <v>1037</v>
      </c>
      <c r="CG681" s="31" t="s">
        <v>718</v>
      </c>
      <c r="CV681" s="36" t="s">
        <v>217</v>
      </c>
      <c r="CZ681" s="71"/>
    </row>
    <row r="682" spans="1:104">
      <c r="A682" s="72" t="s">
        <v>392</v>
      </c>
      <c r="B682" s="31" t="s">
        <v>129</v>
      </c>
      <c r="C682" s="70"/>
      <c r="E682" s="31">
        <v>17</v>
      </c>
      <c r="G682" s="31" t="s">
        <v>607</v>
      </c>
      <c r="H682" s="31">
        <v>4</v>
      </c>
      <c r="I682" s="31" t="s">
        <v>74</v>
      </c>
      <c r="J682" s="31">
        <v>6</v>
      </c>
      <c r="N682" s="31">
        <v>0</v>
      </c>
      <c r="O682" s="31">
        <v>0</v>
      </c>
      <c r="Q682" s="31">
        <v>10</v>
      </c>
      <c r="W682" s="31" t="s">
        <v>75</v>
      </c>
      <c r="CE682" s="35" t="s">
        <v>1037</v>
      </c>
      <c r="CG682" s="31" t="s">
        <v>718</v>
      </c>
      <c r="CV682" s="36" t="s">
        <v>217</v>
      </c>
      <c r="CZ682" s="71"/>
    </row>
    <row r="683" spans="1:104">
      <c r="A683" s="72" t="s">
        <v>393</v>
      </c>
      <c r="B683" s="31" t="s">
        <v>183</v>
      </c>
      <c r="C683" s="70"/>
      <c r="E683" s="31">
        <v>17</v>
      </c>
      <c r="G683" s="31" t="s">
        <v>606</v>
      </c>
      <c r="H683" s="31">
        <v>4</v>
      </c>
      <c r="I683" s="31" t="s">
        <v>74</v>
      </c>
      <c r="J683" s="31">
        <v>4</v>
      </c>
      <c r="N683" s="31">
        <v>0</v>
      </c>
      <c r="O683" s="31">
        <v>0</v>
      </c>
      <c r="Q683" s="31">
        <v>10</v>
      </c>
      <c r="U683" s="31">
        <v>-4</v>
      </c>
      <c r="W683" s="31" t="s">
        <v>184</v>
      </c>
      <c r="X683" s="31" t="s">
        <v>31</v>
      </c>
      <c r="CE683" s="35" t="s">
        <v>1037</v>
      </c>
      <c r="CG683" s="31" t="s">
        <v>718</v>
      </c>
      <c r="CV683" s="36" t="s">
        <v>1252</v>
      </c>
      <c r="CZ683" s="71"/>
    </row>
    <row r="684" spans="1:104">
      <c r="A684" s="72" t="s">
        <v>394</v>
      </c>
      <c r="B684" s="31" t="s">
        <v>183</v>
      </c>
      <c r="C684" s="70"/>
      <c r="E684" s="31">
        <v>17</v>
      </c>
      <c r="G684" s="31" t="s">
        <v>606</v>
      </c>
      <c r="H684" s="31">
        <v>4</v>
      </c>
      <c r="I684" s="31" t="s">
        <v>74</v>
      </c>
      <c r="J684" s="31">
        <v>4</v>
      </c>
      <c r="N684" s="31">
        <v>0</v>
      </c>
      <c r="O684" s="31">
        <v>0</v>
      </c>
      <c r="Q684" s="31">
        <v>10</v>
      </c>
      <c r="U684" s="31">
        <v>-4</v>
      </c>
      <c r="W684" s="31" t="s">
        <v>184</v>
      </c>
      <c r="X684" s="31" t="s">
        <v>31</v>
      </c>
      <c r="CE684" s="35" t="s">
        <v>1037</v>
      </c>
      <c r="CG684" s="31" t="s">
        <v>718</v>
      </c>
      <c r="CV684" s="36" t="s">
        <v>1252</v>
      </c>
      <c r="CZ684" s="71"/>
    </row>
    <row r="685" spans="1:104">
      <c r="A685" s="31" t="s">
        <v>845</v>
      </c>
      <c r="B685" s="31" t="s">
        <v>98</v>
      </c>
      <c r="E685" s="31">
        <v>7</v>
      </c>
      <c r="G685" s="31" t="s">
        <v>607</v>
      </c>
      <c r="H685" s="31">
        <v>4</v>
      </c>
      <c r="I685" s="31" t="s">
        <v>99</v>
      </c>
      <c r="J685" s="31">
        <v>4</v>
      </c>
      <c r="K685" s="31">
        <v>1</v>
      </c>
      <c r="L685" s="31">
        <v>-20</v>
      </c>
      <c r="N685" s="31">
        <v>0</v>
      </c>
      <c r="O685" s="31">
        <v>0</v>
      </c>
      <c r="Q685" s="31">
        <v>10</v>
      </c>
      <c r="W685" s="31" t="s">
        <v>100</v>
      </c>
      <c r="CD685" s="35" t="s">
        <v>1065</v>
      </c>
      <c r="CE685" s="35" t="s">
        <v>1037</v>
      </c>
      <c r="CF685" s="35" t="s">
        <v>1284</v>
      </c>
      <c r="CG685" s="31" t="s">
        <v>718</v>
      </c>
      <c r="CV685" s="31" t="s">
        <v>111</v>
      </c>
      <c r="CZ685" s="71"/>
    </row>
    <row r="686" spans="1:104">
      <c r="A686" s="31" t="s">
        <v>846</v>
      </c>
      <c r="B686" s="31" t="s">
        <v>173</v>
      </c>
      <c r="E686" s="31">
        <v>7</v>
      </c>
      <c r="G686" s="31" t="s">
        <v>606</v>
      </c>
      <c r="H686" s="31">
        <v>5</v>
      </c>
      <c r="I686" s="31" t="s">
        <v>78</v>
      </c>
      <c r="J686" s="31">
        <v>4</v>
      </c>
      <c r="K686" s="31">
        <v>2</v>
      </c>
      <c r="L686" s="31">
        <v>-20</v>
      </c>
      <c r="N686" s="31">
        <v>0</v>
      </c>
      <c r="O686" s="31">
        <v>0</v>
      </c>
      <c r="P686" s="31">
        <v>3</v>
      </c>
      <c r="Q686" s="31">
        <v>10</v>
      </c>
      <c r="W686" s="31" t="s">
        <v>174</v>
      </c>
      <c r="BR686" s="33"/>
      <c r="BS686" s="34"/>
      <c r="CD686" s="35" t="s">
        <v>451</v>
      </c>
      <c r="CE686" s="35" t="s">
        <v>1037</v>
      </c>
      <c r="CF686" s="35" t="s">
        <v>1284</v>
      </c>
      <c r="CG686" s="31" t="s">
        <v>718</v>
      </c>
      <c r="CV686" s="49" t="s">
        <v>176</v>
      </c>
      <c r="CZ686" s="71"/>
    </row>
    <row r="687" spans="1:104">
      <c r="A687" s="31" t="s">
        <v>460</v>
      </c>
      <c r="B687" s="31" t="s">
        <v>117</v>
      </c>
      <c r="C687" s="70"/>
      <c r="E687" s="31">
        <v>6</v>
      </c>
      <c r="G687" s="31" t="s">
        <v>606</v>
      </c>
      <c r="N687" s="31">
        <v>0</v>
      </c>
      <c r="O687" s="31">
        <v>0</v>
      </c>
      <c r="Q687" s="31">
        <v>10</v>
      </c>
      <c r="W687" s="31" t="s">
        <v>75</v>
      </c>
      <c r="CD687" s="35" t="s">
        <v>781</v>
      </c>
      <c r="CE687" s="35" t="s">
        <v>1037</v>
      </c>
      <c r="CG687" s="31" t="s">
        <v>718</v>
      </c>
      <c r="CV687" s="36" t="s">
        <v>217</v>
      </c>
      <c r="CZ687" s="71"/>
    </row>
    <row r="688" spans="1:104">
      <c r="A688" s="31" t="s">
        <v>461</v>
      </c>
      <c r="B688" s="31" t="s">
        <v>117</v>
      </c>
      <c r="C688" s="70"/>
      <c r="E688" s="31">
        <v>6</v>
      </c>
      <c r="G688" s="31" t="s">
        <v>606</v>
      </c>
      <c r="N688" s="31">
        <v>0</v>
      </c>
      <c r="O688" s="31">
        <v>0</v>
      </c>
      <c r="Q688" s="31">
        <v>10</v>
      </c>
      <c r="W688" s="31" t="s">
        <v>75</v>
      </c>
      <c r="CD688" s="35" t="s">
        <v>1066</v>
      </c>
      <c r="CE688" s="35" t="s">
        <v>1037</v>
      </c>
      <c r="CG688" s="31" t="s">
        <v>718</v>
      </c>
      <c r="CV688" s="36" t="s">
        <v>217</v>
      </c>
      <c r="CZ688" s="71"/>
    </row>
    <row r="689" spans="1:108">
      <c r="A689" s="72" t="s">
        <v>462</v>
      </c>
      <c r="B689" s="31" t="s">
        <v>117</v>
      </c>
      <c r="C689" s="70"/>
      <c r="E689" s="31">
        <v>6</v>
      </c>
      <c r="G689" s="31" t="s">
        <v>606</v>
      </c>
      <c r="N689" s="31">
        <v>0</v>
      </c>
      <c r="O689" s="31">
        <v>0</v>
      </c>
      <c r="Q689" s="31">
        <v>10</v>
      </c>
      <c r="W689" s="31" t="s">
        <v>75</v>
      </c>
      <c r="CD689" s="35" t="s">
        <v>782</v>
      </c>
      <c r="CE689" s="35" t="s">
        <v>1037</v>
      </c>
      <c r="CG689" s="31" t="s">
        <v>718</v>
      </c>
      <c r="CV689" s="36" t="s">
        <v>217</v>
      </c>
      <c r="CZ689" s="71"/>
    </row>
    <row r="690" spans="1:108">
      <c r="A690" s="72" t="s">
        <v>463</v>
      </c>
      <c r="B690" s="31" t="s">
        <v>117</v>
      </c>
      <c r="C690" s="70"/>
      <c r="E690" s="31">
        <v>6</v>
      </c>
      <c r="G690" s="31" t="s">
        <v>606</v>
      </c>
      <c r="N690" s="31">
        <v>0</v>
      </c>
      <c r="O690" s="31">
        <v>0</v>
      </c>
      <c r="Q690" s="31">
        <v>10</v>
      </c>
      <c r="W690" s="31" t="s">
        <v>75</v>
      </c>
      <c r="CD690" s="35" t="s">
        <v>716</v>
      </c>
      <c r="CE690" s="35" t="s">
        <v>1037</v>
      </c>
      <c r="CG690" s="31" t="s">
        <v>718</v>
      </c>
      <c r="CV690" s="36" t="s">
        <v>217</v>
      </c>
      <c r="CZ690" s="71"/>
    </row>
    <row r="691" spans="1:108">
      <c r="A691" s="72" t="s">
        <v>895</v>
      </c>
      <c r="B691" s="31" t="s">
        <v>129</v>
      </c>
      <c r="C691" s="70"/>
      <c r="E691" s="31">
        <v>7</v>
      </c>
      <c r="G691" s="31" t="s">
        <v>607</v>
      </c>
      <c r="H691" s="31">
        <v>4</v>
      </c>
      <c r="I691" s="31" t="s">
        <v>74</v>
      </c>
      <c r="N691" s="31">
        <v>0</v>
      </c>
      <c r="O691" s="31">
        <v>0</v>
      </c>
      <c r="Q691" s="31">
        <v>10</v>
      </c>
      <c r="W691" s="31" t="s">
        <v>75</v>
      </c>
      <c r="CD691" s="35" t="s">
        <v>1278</v>
      </c>
      <c r="CE691" s="35" t="s">
        <v>1037</v>
      </c>
      <c r="CG691" s="31" t="s">
        <v>718</v>
      </c>
      <c r="CV691" s="36" t="s">
        <v>217</v>
      </c>
      <c r="CZ691" s="71"/>
    </row>
    <row r="692" spans="1:108">
      <c r="A692" s="72" t="s">
        <v>896</v>
      </c>
      <c r="B692" s="31" t="s">
        <v>129</v>
      </c>
      <c r="C692" s="70"/>
      <c r="E692" s="31">
        <v>7</v>
      </c>
      <c r="G692" s="31" t="s">
        <v>607</v>
      </c>
      <c r="H692" s="31">
        <v>4</v>
      </c>
      <c r="I692" s="31" t="s">
        <v>74</v>
      </c>
      <c r="N692" s="31">
        <v>0</v>
      </c>
      <c r="O692" s="31">
        <v>0</v>
      </c>
      <c r="P692" s="31">
        <v>0</v>
      </c>
      <c r="Q692" s="31">
        <v>10</v>
      </c>
      <c r="W692" s="31" t="s">
        <v>100</v>
      </c>
      <c r="CE692" s="35" t="s">
        <v>1037</v>
      </c>
      <c r="CG692" s="31" t="s">
        <v>718</v>
      </c>
      <c r="CV692" s="36" t="s">
        <v>217</v>
      </c>
      <c r="CZ692" s="71"/>
    </row>
    <row r="693" spans="1:108">
      <c r="A693" s="145" t="s">
        <v>1549</v>
      </c>
      <c r="B693" s="31" t="s">
        <v>183</v>
      </c>
      <c r="C693" s="37"/>
      <c r="E693" s="31">
        <v>9</v>
      </c>
      <c r="G693" s="31" t="s">
        <v>606</v>
      </c>
      <c r="H693" s="31">
        <v>4</v>
      </c>
      <c r="I693" s="31" t="s">
        <v>224</v>
      </c>
      <c r="J693" s="31">
        <v>4</v>
      </c>
      <c r="L693" s="31">
        <v>-20</v>
      </c>
      <c r="N693" s="31">
        <v>0</v>
      </c>
      <c r="O693" s="31">
        <v>0</v>
      </c>
      <c r="Q693" s="31">
        <v>10</v>
      </c>
      <c r="W693" s="31" t="s">
        <v>184</v>
      </c>
      <c r="BR693" s="33"/>
      <c r="BS693" s="44"/>
      <c r="BT693" s="34"/>
      <c r="CA693" s="44"/>
      <c r="CB693" s="44"/>
      <c r="CE693" s="35" t="s">
        <v>1037</v>
      </c>
      <c r="CG693" s="31" t="s">
        <v>718</v>
      </c>
      <c r="CH693" s="44"/>
      <c r="CV693" s="36" t="s">
        <v>1082</v>
      </c>
      <c r="CZ693" s="71"/>
    </row>
    <row r="694" spans="1:108">
      <c r="A694" s="145" t="s">
        <v>1550</v>
      </c>
      <c r="B694" s="31" t="s">
        <v>129</v>
      </c>
      <c r="C694" s="70"/>
      <c r="E694" s="31">
        <v>9</v>
      </c>
      <c r="G694" s="31" t="s">
        <v>607</v>
      </c>
      <c r="H694" s="31">
        <v>4</v>
      </c>
      <c r="I694" s="31" t="s">
        <v>74</v>
      </c>
      <c r="J694" s="31">
        <v>7</v>
      </c>
      <c r="N694" s="31">
        <v>0</v>
      </c>
      <c r="O694" s="31">
        <v>0</v>
      </c>
      <c r="Q694" s="31">
        <v>10</v>
      </c>
      <c r="W694" s="31" t="s">
        <v>75</v>
      </c>
      <c r="CD694" s="35" t="s">
        <v>931</v>
      </c>
      <c r="CE694" s="35" t="s">
        <v>1037</v>
      </c>
      <c r="CG694" s="31" t="s">
        <v>718</v>
      </c>
      <c r="CV694" s="36" t="s">
        <v>217</v>
      </c>
      <c r="CZ694" s="71"/>
    </row>
    <row r="695" spans="1:108">
      <c r="A695" s="145" t="s">
        <v>1551</v>
      </c>
      <c r="B695" s="31" t="s">
        <v>117</v>
      </c>
      <c r="E695" s="31">
        <v>9</v>
      </c>
      <c r="G695" s="31" t="s">
        <v>607</v>
      </c>
      <c r="H695" s="31">
        <v>4</v>
      </c>
      <c r="I695" s="31" t="s">
        <v>99</v>
      </c>
      <c r="J695" s="31">
        <v>5</v>
      </c>
      <c r="N695" s="31">
        <v>0</v>
      </c>
      <c r="O695" s="31">
        <v>0</v>
      </c>
      <c r="Q695" s="31">
        <v>10</v>
      </c>
      <c r="W695" s="31" t="s">
        <v>118</v>
      </c>
      <c r="BR695" s="33"/>
      <c r="BS695" s="34"/>
      <c r="CA695" s="44"/>
      <c r="CB695" s="44"/>
      <c r="CE695" s="35" t="s">
        <v>1037</v>
      </c>
      <c r="CG695" s="31" t="s">
        <v>718</v>
      </c>
      <c r="CH695" s="44"/>
      <c r="CV695" s="36" t="s">
        <v>810</v>
      </c>
      <c r="CW695" s="33"/>
      <c r="CX695" s="33"/>
      <c r="CY695" s="33"/>
      <c r="CZ695" s="71"/>
    </row>
    <row r="696" spans="1:108">
      <c r="A696" s="145" t="s">
        <v>1552</v>
      </c>
      <c r="B696" s="31" t="s">
        <v>193</v>
      </c>
      <c r="C696" s="37"/>
      <c r="E696" s="31">
        <v>9</v>
      </c>
      <c r="H696" s="31">
        <v>4</v>
      </c>
      <c r="I696" s="31" t="s">
        <v>78</v>
      </c>
      <c r="J696" s="31">
        <v>4</v>
      </c>
      <c r="N696" s="31">
        <v>0</v>
      </c>
      <c r="O696" s="31">
        <v>0</v>
      </c>
      <c r="Q696" s="31">
        <v>10</v>
      </c>
      <c r="W696" s="31" t="s">
        <v>194</v>
      </c>
      <c r="BR696" s="33"/>
      <c r="BS696" s="34"/>
      <c r="CA696" s="44"/>
      <c r="CB696" s="44"/>
      <c r="CE696" s="35" t="s">
        <v>1037</v>
      </c>
      <c r="CG696" s="31" t="s">
        <v>718</v>
      </c>
      <c r="CH696" s="44"/>
      <c r="CV696" s="36" t="s">
        <v>819</v>
      </c>
      <c r="CW696" s="33"/>
      <c r="CX696" s="33"/>
      <c r="CY696" s="33"/>
      <c r="CZ696" s="71"/>
    </row>
    <row r="697" spans="1:108">
      <c r="A697" s="145" t="s">
        <v>1553</v>
      </c>
      <c r="B697" s="31" t="s">
        <v>183</v>
      </c>
      <c r="C697" s="37"/>
      <c r="E697" s="31">
        <v>9</v>
      </c>
      <c r="G697" s="31" t="s">
        <v>606</v>
      </c>
      <c r="H697" s="31">
        <v>4</v>
      </c>
      <c r="I697" s="31" t="s">
        <v>222</v>
      </c>
      <c r="J697" s="31">
        <v>5</v>
      </c>
      <c r="L697" s="31">
        <v>-20</v>
      </c>
      <c r="N697" s="31">
        <v>0</v>
      </c>
      <c r="O697" s="31">
        <v>0</v>
      </c>
      <c r="Q697" s="31">
        <v>10</v>
      </c>
      <c r="W697" s="31" t="s">
        <v>184</v>
      </c>
      <c r="BR697" s="33"/>
      <c r="BS697" s="44"/>
      <c r="BT697" s="34"/>
      <c r="CA697" s="44"/>
      <c r="CB697" s="44"/>
      <c r="CE697" s="35" t="s">
        <v>1037</v>
      </c>
      <c r="CG697" s="31" t="s">
        <v>718</v>
      </c>
      <c r="CH697" s="44"/>
      <c r="CV697" s="36" t="s">
        <v>1079</v>
      </c>
      <c r="CZ697" s="71"/>
    </row>
    <row r="698" spans="1:108" s="81" customFormat="1">
      <c r="A698" s="81" t="s">
        <v>1227</v>
      </c>
      <c r="B698" s="81" t="s">
        <v>149</v>
      </c>
      <c r="E698" s="81">
        <v>9</v>
      </c>
      <c r="N698" s="81">
        <v>0</v>
      </c>
      <c r="O698" s="81">
        <v>0</v>
      </c>
      <c r="Q698" s="81">
        <v>10</v>
      </c>
      <c r="S698" s="81">
        <v>9</v>
      </c>
      <c r="AA698" s="81">
        <v>1</v>
      </c>
      <c r="BK698" s="81">
        <v>3</v>
      </c>
      <c r="BR698" s="83"/>
      <c r="BS698" s="92"/>
      <c r="CC698" s="82"/>
      <c r="CD698" s="82"/>
      <c r="CE698" s="35" t="s">
        <v>1037</v>
      </c>
      <c r="CF698" s="83"/>
      <c r="CG698" s="81" t="s">
        <v>718</v>
      </c>
      <c r="CV698" s="84" t="s">
        <v>691</v>
      </c>
      <c r="CZ698" s="71"/>
    </row>
    <row r="699" spans="1:108" s="27" customFormat="1">
      <c r="A699" s="31" t="s">
        <v>740</v>
      </c>
      <c r="B699" s="31" t="s">
        <v>183</v>
      </c>
      <c r="C699" s="31"/>
      <c r="D699" s="31"/>
      <c r="E699" s="31">
        <v>11</v>
      </c>
      <c r="F699" s="31"/>
      <c r="G699" s="31" t="s">
        <v>607</v>
      </c>
      <c r="H699" s="31"/>
      <c r="I699" s="31" t="s">
        <v>222</v>
      </c>
      <c r="J699" s="31"/>
      <c r="K699" s="31"/>
      <c r="L699" s="31"/>
      <c r="M699" s="31"/>
      <c r="N699" s="31">
        <v>0</v>
      </c>
      <c r="O699" s="31">
        <v>0</v>
      </c>
      <c r="P699" s="31"/>
      <c r="Q699" s="31">
        <v>10</v>
      </c>
      <c r="R699" s="31"/>
      <c r="S699" s="31"/>
      <c r="T699" s="31"/>
      <c r="U699" s="31"/>
      <c r="V699" s="31"/>
      <c r="W699" s="31" t="s">
        <v>75</v>
      </c>
      <c r="X699" s="31"/>
      <c r="Y699" s="31"/>
      <c r="Z699" s="31"/>
      <c r="AA699" s="31"/>
      <c r="AB699" s="31"/>
      <c r="AC699" s="31"/>
      <c r="AD699" s="31"/>
      <c r="AE699" s="31"/>
      <c r="AF699" s="31"/>
      <c r="AG699" s="31"/>
      <c r="AH699" s="31"/>
      <c r="AI699" s="31"/>
      <c r="AJ699" s="31"/>
      <c r="AK699" s="31"/>
      <c r="AL699" s="31"/>
      <c r="AM699" s="31"/>
      <c r="AN699" s="31"/>
      <c r="AO699" s="31"/>
      <c r="AP699" s="31"/>
      <c r="AQ699" s="31"/>
      <c r="AR699" s="31"/>
      <c r="AS699" s="31"/>
      <c r="AT699" s="31"/>
      <c r="AU699" s="31"/>
      <c r="AV699" s="31"/>
      <c r="AW699" s="31"/>
      <c r="AX699" s="31"/>
      <c r="AY699" s="31"/>
      <c r="AZ699" s="31"/>
      <c r="BA699" s="31"/>
      <c r="BB699" s="31"/>
      <c r="BC699" s="31"/>
      <c r="BD699" s="31"/>
      <c r="BE699" s="31"/>
      <c r="BF699" s="31"/>
      <c r="BG699" s="31"/>
      <c r="BH699" s="31"/>
      <c r="BI699" s="31"/>
      <c r="BJ699" s="31"/>
      <c r="BK699" s="31"/>
      <c r="BL699" s="31"/>
      <c r="BM699" s="31"/>
      <c r="BN699" s="31"/>
      <c r="BO699" s="31"/>
      <c r="BP699" s="31"/>
      <c r="BQ699" s="31"/>
      <c r="BR699" s="31"/>
      <c r="BS699" s="31"/>
      <c r="BT699" s="31"/>
      <c r="BU699" s="31"/>
      <c r="BV699" s="31"/>
      <c r="BW699" s="31"/>
      <c r="BX699" s="31"/>
      <c r="BY699" s="31"/>
      <c r="BZ699" s="31"/>
      <c r="CA699" s="44"/>
      <c r="CB699" s="44"/>
      <c r="CC699" s="35"/>
      <c r="CD699" s="35"/>
      <c r="CE699" s="35" t="s">
        <v>1037</v>
      </c>
      <c r="CF699" s="35"/>
      <c r="CG699" s="31" t="s">
        <v>718</v>
      </c>
      <c r="CH699" s="44"/>
      <c r="CI699" s="31"/>
      <c r="CJ699" s="31"/>
      <c r="CK699" s="31"/>
      <c r="CL699" s="31"/>
      <c r="CM699" s="31"/>
      <c r="CN699" s="31"/>
      <c r="CO699" s="31"/>
      <c r="CP699" s="31"/>
      <c r="CQ699" s="31"/>
      <c r="CR699" s="31"/>
      <c r="CS699" s="31"/>
      <c r="CT699" s="31"/>
      <c r="CU699" s="31"/>
      <c r="CV699" s="36" t="s">
        <v>217</v>
      </c>
      <c r="CW699" s="33"/>
      <c r="CX699" s="33"/>
      <c r="CY699" s="33"/>
      <c r="CZ699" s="71"/>
      <c r="DA699" s="31"/>
      <c r="DB699" s="31"/>
      <c r="DC699" s="31"/>
      <c r="DD699" s="31"/>
    </row>
    <row r="700" spans="1:108">
      <c r="A700" s="72" t="s">
        <v>295</v>
      </c>
      <c r="B700" s="31" t="s">
        <v>129</v>
      </c>
      <c r="C700" s="70"/>
      <c r="E700" s="31">
        <v>8</v>
      </c>
      <c r="G700" s="31" t="s">
        <v>607</v>
      </c>
      <c r="N700" s="31">
        <v>0</v>
      </c>
      <c r="O700" s="31">
        <v>0</v>
      </c>
      <c r="P700" s="31">
        <v>6</v>
      </c>
      <c r="Q700" s="31">
        <v>10</v>
      </c>
      <c r="W700" s="31" t="s">
        <v>75</v>
      </c>
      <c r="CE700" s="35" t="s">
        <v>1037</v>
      </c>
      <c r="CG700" s="31" t="s">
        <v>718</v>
      </c>
      <c r="CV700" s="36" t="s">
        <v>217</v>
      </c>
      <c r="CZ700" s="71"/>
    </row>
    <row r="701" spans="1:108">
      <c r="A701" s="72" t="s">
        <v>395</v>
      </c>
      <c r="B701" s="31" t="s">
        <v>129</v>
      </c>
      <c r="C701" s="70"/>
      <c r="E701" s="31">
        <v>9</v>
      </c>
      <c r="G701" s="31" t="s">
        <v>607</v>
      </c>
      <c r="N701" s="31">
        <v>0</v>
      </c>
      <c r="O701" s="31">
        <v>0</v>
      </c>
      <c r="P701" s="31">
        <v>6</v>
      </c>
      <c r="Q701" s="31">
        <v>10</v>
      </c>
      <c r="W701" s="31" t="s">
        <v>75</v>
      </c>
      <c r="CE701" s="35" t="s">
        <v>1037</v>
      </c>
      <c r="CG701" s="31" t="s">
        <v>718</v>
      </c>
      <c r="CV701" s="36" t="s">
        <v>217</v>
      </c>
      <c r="CZ701" s="71"/>
    </row>
    <row r="702" spans="1:108">
      <c r="A702" s="31" t="s">
        <v>739</v>
      </c>
      <c r="B702" s="31" t="s">
        <v>193</v>
      </c>
      <c r="C702" s="70"/>
      <c r="E702" s="31">
        <v>11</v>
      </c>
      <c r="N702" s="31">
        <v>0</v>
      </c>
      <c r="O702" s="31">
        <v>0</v>
      </c>
      <c r="Q702" s="31">
        <v>10</v>
      </c>
      <c r="W702" s="31" t="s">
        <v>194</v>
      </c>
      <c r="CE702" s="35" t="s">
        <v>1037</v>
      </c>
      <c r="CG702" s="31" t="s">
        <v>718</v>
      </c>
      <c r="CV702" s="36" t="s">
        <v>200</v>
      </c>
      <c r="CZ702" s="71"/>
    </row>
    <row r="703" spans="1:108">
      <c r="A703" s="72" t="s">
        <v>396</v>
      </c>
      <c r="B703" s="113" t="s">
        <v>129</v>
      </c>
      <c r="C703" s="70"/>
      <c r="E703" s="31">
        <v>9</v>
      </c>
      <c r="G703" s="31" t="s">
        <v>607</v>
      </c>
      <c r="N703" s="31">
        <v>0</v>
      </c>
      <c r="O703" s="31">
        <v>0</v>
      </c>
      <c r="Q703" s="31">
        <v>10</v>
      </c>
      <c r="W703" s="31" t="s">
        <v>130</v>
      </c>
      <c r="CE703" s="35" t="s">
        <v>1037</v>
      </c>
      <c r="CG703" s="31" t="s">
        <v>718</v>
      </c>
      <c r="CV703" s="36" t="s">
        <v>439</v>
      </c>
      <c r="CZ703" s="71"/>
    </row>
    <row r="704" spans="1:108">
      <c r="A704" s="72" t="s">
        <v>397</v>
      </c>
      <c r="B704" s="31" t="s">
        <v>129</v>
      </c>
      <c r="C704" s="70"/>
      <c r="E704" s="31">
        <v>10</v>
      </c>
      <c r="G704" s="31" t="s">
        <v>607</v>
      </c>
      <c r="N704" s="31">
        <v>0</v>
      </c>
      <c r="O704" s="31">
        <v>0</v>
      </c>
      <c r="Q704" s="31">
        <v>10</v>
      </c>
      <c r="W704" s="31" t="s">
        <v>130</v>
      </c>
      <c r="CE704" s="35" t="s">
        <v>1037</v>
      </c>
      <c r="CG704" s="31" t="s">
        <v>718</v>
      </c>
      <c r="CV704" s="36" t="s">
        <v>136</v>
      </c>
      <c r="CZ704" s="71"/>
    </row>
    <row r="705" spans="1:104">
      <c r="A705" s="112" t="s">
        <v>398</v>
      </c>
      <c r="B705" s="31" t="s">
        <v>98</v>
      </c>
      <c r="C705" s="70"/>
      <c r="E705" s="31">
        <v>9</v>
      </c>
      <c r="G705" s="31" t="s">
        <v>607</v>
      </c>
      <c r="N705" s="31">
        <v>0</v>
      </c>
      <c r="O705" s="31">
        <v>0</v>
      </c>
      <c r="Q705" s="31">
        <v>10</v>
      </c>
      <c r="W705" s="31" t="s">
        <v>100</v>
      </c>
      <c r="CE705" s="35" t="s">
        <v>1037</v>
      </c>
      <c r="CG705" s="31" t="s">
        <v>718</v>
      </c>
      <c r="CV705" s="36" t="s">
        <v>108</v>
      </c>
      <c r="CZ705" s="71"/>
    </row>
    <row r="706" spans="1:104">
      <c r="A706" s="72" t="s">
        <v>399</v>
      </c>
      <c r="B706" s="31" t="s">
        <v>98</v>
      </c>
      <c r="C706" s="70"/>
      <c r="E706" s="31">
        <v>11</v>
      </c>
      <c r="G706" s="31" t="s">
        <v>607</v>
      </c>
      <c r="N706" s="31">
        <v>0</v>
      </c>
      <c r="O706" s="31">
        <v>0</v>
      </c>
      <c r="Q706" s="31">
        <v>10</v>
      </c>
      <c r="W706" s="31" t="s">
        <v>100</v>
      </c>
      <c r="CE706" s="35" t="s">
        <v>1037</v>
      </c>
      <c r="CG706" s="31" t="s">
        <v>718</v>
      </c>
      <c r="CV706" s="36" t="s">
        <v>108</v>
      </c>
      <c r="CZ706" s="71"/>
    </row>
    <row r="707" spans="1:104">
      <c r="A707" s="72" t="s">
        <v>400</v>
      </c>
      <c r="B707" s="31" t="s">
        <v>129</v>
      </c>
      <c r="C707" s="70"/>
      <c r="E707" s="31">
        <v>8</v>
      </c>
      <c r="G707" s="31" t="s">
        <v>607</v>
      </c>
      <c r="N707" s="31">
        <v>0</v>
      </c>
      <c r="O707" s="31">
        <v>0</v>
      </c>
      <c r="Q707" s="31">
        <v>10</v>
      </c>
      <c r="W707" s="31" t="s">
        <v>130</v>
      </c>
      <c r="CE707" s="35" t="s">
        <v>1037</v>
      </c>
      <c r="CG707" s="31" t="s">
        <v>718</v>
      </c>
      <c r="CV707" s="49" t="s">
        <v>136</v>
      </c>
      <c r="CZ707" s="71"/>
    </row>
    <row r="708" spans="1:104">
      <c r="A708" s="72" t="s">
        <v>401</v>
      </c>
      <c r="B708" s="31" t="s">
        <v>129</v>
      </c>
      <c r="C708" s="70"/>
      <c r="E708" s="31">
        <v>9</v>
      </c>
      <c r="G708" s="31" t="s">
        <v>607</v>
      </c>
      <c r="N708" s="31">
        <v>0</v>
      </c>
      <c r="O708" s="31">
        <v>0</v>
      </c>
      <c r="Q708" s="31">
        <v>10</v>
      </c>
      <c r="W708" s="31" t="s">
        <v>130</v>
      </c>
      <c r="CE708" s="35" t="s">
        <v>1037</v>
      </c>
      <c r="CG708" s="31" t="s">
        <v>718</v>
      </c>
      <c r="CV708" s="49" t="s">
        <v>136</v>
      </c>
      <c r="CZ708" s="71"/>
    </row>
    <row r="709" spans="1:104">
      <c r="A709" s="72" t="s">
        <v>402</v>
      </c>
      <c r="B709" s="31" t="s">
        <v>98</v>
      </c>
      <c r="C709" s="70"/>
      <c r="E709" s="31">
        <v>8</v>
      </c>
      <c r="G709" s="31" t="s">
        <v>607</v>
      </c>
      <c r="N709" s="31">
        <v>0</v>
      </c>
      <c r="O709" s="31">
        <v>0</v>
      </c>
      <c r="Q709" s="31">
        <v>10</v>
      </c>
      <c r="W709" s="31" t="s">
        <v>100</v>
      </c>
      <c r="CE709" s="35" t="s">
        <v>1037</v>
      </c>
      <c r="CG709" s="31" t="s">
        <v>718</v>
      </c>
      <c r="CV709" s="36" t="s">
        <v>108</v>
      </c>
      <c r="CZ709" s="71"/>
    </row>
    <row r="710" spans="1:104">
      <c r="A710" s="72" t="s">
        <v>403</v>
      </c>
      <c r="B710" s="31" t="s">
        <v>98</v>
      </c>
      <c r="C710" s="70"/>
      <c r="E710" s="31">
        <v>9</v>
      </c>
      <c r="G710" s="31" t="s">
        <v>607</v>
      </c>
      <c r="N710" s="31">
        <v>0</v>
      </c>
      <c r="O710" s="31">
        <v>0</v>
      </c>
      <c r="Q710" s="31">
        <v>10</v>
      </c>
      <c r="W710" s="31" t="s">
        <v>100</v>
      </c>
      <c r="CE710" s="35" t="s">
        <v>1037</v>
      </c>
      <c r="CG710" s="31" t="s">
        <v>718</v>
      </c>
      <c r="CV710" s="36" t="s">
        <v>108</v>
      </c>
      <c r="CZ710" s="71"/>
    </row>
    <row r="711" spans="1:104">
      <c r="A711" s="72" t="s">
        <v>290</v>
      </c>
      <c r="B711" s="31" t="s">
        <v>129</v>
      </c>
      <c r="C711" s="70"/>
      <c r="E711" s="31">
        <v>7</v>
      </c>
      <c r="G711" s="31" t="s">
        <v>607</v>
      </c>
      <c r="N711" s="31">
        <v>0</v>
      </c>
      <c r="O711" s="31">
        <v>0</v>
      </c>
      <c r="Q711" s="31">
        <v>10</v>
      </c>
      <c r="W711" s="31" t="s">
        <v>130</v>
      </c>
      <c r="CE711" s="35" t="s">
        <v>1037</v>
      </c>
      <c r="CG711" s="31" t="s">
        <v>718</v>
      </c>
      <c r="CV711" s="36" t="s">
        <v>136</v>
      </c>
      <c r="CZ711" s="71"/>
    </row>
    <row r="712" spans="1:104">
      <c r="A712" s="72" t="s">
        <v>404</v>
      </c>
      <c r="B712" s="31" t="s">
        <v>129</v>
      </c>
      <c r="C712" s="70"/>
      <c r="E712" s="31">
        <v>8</v>
      </c>
      <c r="G712" s="31" t="s">
        <v>607</v>
      </c>
      <c r="N712" s="31">
        <v>0</v>
      </c>
      <c r="O712" s="31">
        <v>0</v>
      </c>
      <c r="Q712" s="31">
        <v>10</v>
      </c>
      <c r="W712" s="31" t="s">
        <v>130</v>
      </c>
      <c r="CE712" s="35" t="s">
        <v>1037</v>
      </c>
      <c r="CG712" s="31" t="s">
        <v>718</v>
      </c>
      <c r="CV712" s="36" t="s">
        <v>136</v>
      </c>
      <c r="CZ712" s="71"/>
    </row>
    <row r="713" spans="1:104">
      <c r="A713" s="72" t="s">
        <v>292</v>
      </c>
      <c r="B713" s="31" t="s">
        <v>98</v>
      </c>
      <c r="C713" s="70"/>
      <c r="E713" s="31">
        <v>7</v>
      </c>
      <c r="G713" s="31" t="s">
        <v>607</v>
      </c>
      <c r="N713" s="31">
        <v>0</v>
      </c>
      <c r="O713" s="31">
        <v>0</v>
      </c>
      <c r="Q713" s="31">
        <v>10</v>
      </c>
      <c r="W713" s="31" t="s">
        <v>100</v>
      </c>
      <c r="CE713" s="35" t="s">
        <v>1037</v>
      </c>
      <c r="CG713" s="31" t="s">
        <v>718</v>
      </c>
      <c r="CV713" s="36" t="s">
        <v>108</v>
      </c>
      <c r="CZ713" s="71"/>
    </row>
    <row r="714" spans="1:104">
      <c r="A714" s="72" t="s">
        <v>405</v>
      </c>
      <c r="B714" s="31" t="s">
        <v>98</v>
      </c>
      <c r="C714" s="70"/>
      <c r="E714" s="31">
        <v>8</v>
      </c>
      <c r="G714" s="31" t="s">
        <v>607</v>
      </c>
      <c r="N714" s="31">
        <v>0</v>
      </c>
      <c r="O714" s="31">
        <v>0</v>
      </c>
      <c r="Q714" s="31">
        <v>10</v>
      </c>
      <c r="W714" s="31" t="s">
        <v>100</v>
      </c>
      <c r="CE714" s="35" t="s">
        <v>1037</v>
      </c>
      <c r="CG714" s="31" t="s">
        <v>718</v>
      </c>
      <c r="CV714" s="36" t="s">
        <v>108</v>
      </c>
      <c r="CZ714" s="71"/>
    </row>
    <row r="715" spans="1:104">
      <c r="A715" s="72" t="s">
        <v>406</v>
      </c>
      <c r="B715" s="31" t="s">
        <v>193</v>
      </c>
      <c r="C715" s="70"/>
      <c r="E715" s="31">
        <v>8</v>
      </c>
      <c r="N715" s="31">
        <v>0</v>
      </c>
      <c r="O715" s="31">
        <v>0</v>
      </c>
      <c r="Q715" s="31">
        <v>10</v>
      </c>
      <c r="W715" s="31" t="s">
        <v>194</v>
      </c>
      <c r="CE715" s="35" t="s">
        <v>1037</v>
      </c>
      <c r="CG715" s="31" t="s">
        <v>718</v>
      </c>
      <c r="CV715" s="36" t="s">
        <v>200</v>
      </c>
      <c r="CZ715" s="71"/>
    </row>
    <row r="716" spans="1:104">
      <c r="A716" s="72" t="s">
        <v>738</v>
      </c>
      <c r="B716" s="31" t="s">
        <v>77</v>
      </c>
      <c r="C716" s="70"/>
      <c r="E716" s="31">
        <v>8</v>
      </c>
      <c r="G716" s="31" t="s">
        <v>607</v>
      </c>
      <c r="N716" s="31">
        <v>0</v>
      </c>
      <c r="O716" s="31">
        <v>0</v>
      </c>
      <c r="Q716" s="31">
        <v>10</v>
      </c>
      <c r="W716" s="31" t="s">
        <v>79</v>
      </c>
      <c r="CE716" s="35" t="s">
        <v>1037</v>
      </c>
      <c r="CG716" s="31" t="s">
        <v>718</v>
      </c>
      <c r="CV716" s="36" t="s">
        <v>436</v>
      </c>
      <c r="CZ716" s="71"/>
    </row>
    <row r="717" spans="1:104">
      <c r="A717" s="72" t="s">
        <v>407</v>
      </c>
      <c r="B717" s="31" t="s">
        <v>193</v>
      </c>
      <c r="C717" s="70"/>
      <c r="E717" s="31">
        <v>9</v>
      </c>
      <c r="N717" s="31">
        <v>0</v>
      </c>
      <c r="O717" s="31">
        <v>0</v>
      </c>
      <c r="Q717" s="31">
        <v>10</v>
      </c>
      <c r="W717" s="31" t="s">
        <v>194</v>
      </c>
      <c r="CE717" s="35" t="s">
        <v>1037</v>
      </c>
      <c r="CG717" s="31" t="s">
        <v>718</v>
      </c>
      <c r="CV717" s="36" t="s">
        <v>200</v>
      </c>
      <c r="CZ717" s="71"/>
    </row>
    <row r="718" spans="1:104">
      <c r="A718" s="72" t="s">
        <v>294</v>
      </c>
      <c r="B718" s="31" t="s">
        <v>98</v>
      </c>
      <c r="C718" s="70"/>
      <c r="E718" s="31">
        <v>10</v>
      </c>
      <c r="G718" s="31" t="s">
        <v>607</v>
      </c>
      <c r="H718" s="31">
        <v>3</v>
      </c>
      <c r="N718" s="31">
        <v>0</v>
      </c>
      <c r="O718" s="31">
        <v>0</v>
      </c>
      <c r="Q718" s="31">
        <v>10</v>
      </c>
      <c r="W718" s="31" t="s">
        <v>75</v>
      </c>
      <c r="CE718" s="35" t="s">
        <v>1037</v>
      </c>
      <c r="CG718" s="31" t="s">
        <v>718</v>
      </c>
      <c r="CV718" s="36" t="s">
        <v>217</v>
      </c>
      <c r="CZ718" s="71"/>
    </row>
    <row r="719" spans="1:104">
      <c r="A719" s="72" t="s">
        <v>408</v>
      </c>
      <c r="B719" s="31" t="s">
        <v>98</v>
      </c>
      <c r="C719" s="70"/>
      <c r="E719" s="31">
        <v>18</v>
      </c>
      <c r="G719" s="31" t="s">
        <v>607</v>
      </c>
      <c r="H719" s="31">
        <v>5</v>
      </c>
      <c r="N719" s="31">
        <v>0</v>
      </c>
      <c r="O719" s="31">
        <v>0</v>
      </c>
      <c r="Q719" s="31">
        <v>10</v>
      </c>
      <c r="W719" s="31" t="s">
        <v>75</v>
      </c>
      <c r="CE719" s="35" t="s">
        <v>1037</v>
      </c>
      <c r="CG719" s="31" t="s">
        <v>718</v>
      </c>
      <c r="CV719" s="36" t="s">
        <v>217</v>
      </c>
      <c r="CZ719" s="71"/>
    </row>
    <row r="720" spans="1:104">
      <c r="A720" s="72" t="s">
        <v>293</v>
      </c>
      <c r="B720" s="31" t="s">
        <v>117</v>
      </c>
      <c r="C720" s="70"/>
      <c r="E720" s="31">
        <v>8</v>
      </c>
      <c r="G720" s="31" t="s">
        <v>607</v>
      </c>
      <c r="N720" s="31">
        <v>0</v>
      </c>
      <c r="O720" s="31">
        <v>0</v>
      </c>
      <c r="Q720" s="31">
        <v>10</v>
      </c>
      <c r="W720" s="31" t="s">
        <v>194</v>
      </c>
      <c r="CE720" s="35" t="s">
        <v>1037</v>
      </c>
      <c r="CG720" s="31" t="s">
        <v>718</v>
      </c>
      <c r="CV720" s="36" t="s">
        <v>121</v>
      </c>
      <c r="CZ720" s="71"/>
    </row>
    <row r="721" spans="1:104">
      <c r="A721" s="72" t="s">
        <v>409</v>
      </c>
      <c r="B721" s="31" t="s">
        <v>117</v>
      </c>
      <c r="C721" s="70"/>
      <c r="E721" s="31">
        <v>9</v>
      </c>
      <c r="G721" s="31" t="s">
        <v>607</v>
      </c>
      <c r="N721" s="31">
        <v>0</v>
      </c>
      <c r="O721" s="31">
        <v>0</v>
      </c>
      <c r="Q721" s="31">
        <v>10</v>
      </c>
      <c r="W721" s="31" t="s">
        <v>194</v>
      </c>
      <c r="CE721" s="35" t="s">
        <v>1037</v>
      </c>
      <c r="CG721" s="31" t="s">
        <v>718</v>
      </c>
      <c r="CV721" s="36" t="s">
        <v>121</v>
      </c>
      <c r="CZ721" s="71"/>
    </row>
    <row r="722" spans="1:104">
      <c r="A722" s="72" t="s">
        <v>289</v>
      </c>
      <c r="B722" s="31" t="s">
        <v>129</v>
      </c>
      <c r="C722" s="70"/>
      <c r="E722" s="31">
        <v>7</v>
      </c>
      <c r="G722" s="31" t="s">
        <v>607</v>
      </c>
      <c r="N722" s="31">
        <v>0</v>
      </c>
      <c r="O722" s="31">
        <v>0</v>
      </c>
      <c r="Q722" s="31">
        <v>10</v>
      </c>
      <c r="W722" s="31" t="s">
        <v>130</v>
      </c>
      <c r="CE722" s="35" t="s">
        <v>1037</v>
      </c>
      <c r="CG722" s="31" t="s">
        <v>718</v>
      </c>
      <c r="CV722" s="36" t="s">
        <v>136</v>
      </c>
      <c r="CZ722" s="71"/>
    </row>
    <row r="723" spans="1:104">
      <c r="A723" s="72" t="s">
        <v>410</v>
      </c>
      <c r="B723" s="31" t="s">
        <v>129</v>
      </c>
      <c r="C723" s="70"/>
      <c r="E723" s="31">
        <v>8</v>
      </c>
      <c r="G723" s="31" t="s">
        <v>607</v>
      </c>
      <c r="N723" s="31">
        <v>0</v>
      </c>
      <c r="O723" s="31">
        <v>0</v>
      </c>
      <c r="Q723" s="31">
        <v>10</v>
      </c>
      <c r="W723" s="31" t="s">
        <v>130</v>
      </c>
      <c r="CE723" s="35" t="s">
        <v>1037</v>
      </c>
      <c r="CG723" s="31" t="s">
        <v>718</v>
      </c>
      <c r="CV723" s="36" t="s">
        <v>136</v>
      </c>
      <c r="CZ723" s="71"/>
    </row>
    <row r="724" spans="1:104">
      <c r="A724" s="72" t="s">
        <v>291</v>
      </c>
      <c r="B724" s="31" t="s">
        <v>98</v>
      </c>
      <c r="C724" s="70"/>
      <c r="E724" s="31">
        <v>7</v>
      </c>
      <c r="G724" s="31" t="s">
        <v>607</v>
      </c>
      <c r="N724" s="31">
        <v>0</v>
      </c>
      <c r="O724" s="31">
        <v>0</v>
      </c>
      <c r="Q724" s="31">
        <v>10</v>
      </c>
      <c r="W724" s="31" t="s">
        <v>100</v>
      </c>
      <c r="CE724" s="35" t="s">
        <v>1037</v>
      </c>
      <c r="CG724" s="31" t="s">
        <v>718</v>
      </c>
      <c r="CV724" s="36" t="s">
        <v>108</v>
      </c>
      <c r="CZ724" s="71"/>
    </row>
    <row r="725" spans="1:104">
      <c r="A725" s="72" t="s">
        <v>411</v>
      </c>
      <c r="B725" s="31" t="s">
        <v>98</v>
      </c>
      <c r="C725" s="70"/>
      <c r="E725" s="31">
        <v>8</v>
      </c>
      <c r="G725" s="31" t="s">
        <v>607</v>
      </c>
      <c r="N725" s="31">
        <v>0</v>
      </c>
      <c r="O725" s="31">
        <v>0</v>
      </c>
      <c r="Q725" s="31">
        <v>10</v>
      </c>
      <c r="W725" s="31" t="s">
        <v>100</v>
      </c>
      <c r="CE725" s="35" t="s">
        <v>1037</v>
      </c>
      <c r="CG725" s="31" t="s">
        <v>718</v>
      </c>
      <c r="CV725" s="36" t="s">
        <v>108</v>
      </c>
      <c r="CZ725" s="71"/>
    </row>
    <row r="726" spans="1:104">
      <c r="A726" s="112" t="s">
        <v>1429</v>
      </c>
      <c r="B726" s="113" t="s">
        <v>173</v>
      </c>
      <c r="C726" s="70"/>
      <c r="E726" s="31">
        <v>6</v>
      </c>
      <c r="G726" s="31" t="s">
        <v>606</v>
      </c>
      <c r="N726" s="31">
        <v>0</v>
      </c>
      <c r="O726" s="31">
        <v>0</v>
      </c>
      <c r="Q726" s="31">
        <v>10</v>
      </c>
      <c r="W726" s="113" t="s">
        <v>174</v>
      </c>
      <c r="CE726" s="35" t="s">
        <v>1037</v>
      </c>
      <c r="CG726" s="113" t="s">
        <v>718</v>
      </c>
      <c r="CI726" s="113"/>
      <c r="CJ726" s="113"/>
      <c r="CK726" s="113"/>
      <c r="CL726" s="113"/>
      <c r="CM726" s="113"/>
      <c r="CN726" s="113"/>
      <c r="CV726" s="151" t="s">
        <v>1119</v>
      </c>
      <c r="CZ726" s="71"/>
    </row>
    <row r="727" spans="1:104">
      <c r="A727" s="72" t="s">
        <v>412</v>
      </c>
      <c r="B727" s="31" t="s">
        <v>77</v>
      </c>
      <c r="C727" s="70"/>
      <c r="E727" s="31">
        <v>2</v>
      </c>
      <c r="G727" s="31" t="s">
        <v>607</v>
      </c>
      <c r="N727" s="31">
        <v>0</v>
      </c>
      <c r="O727" s="31">
        <v>0</v>
      </c>
      <c r="Q727" s="31">
        <v>10</v>
      </c>
      <c r="W727" s="31" t="s">
        <v>75</v>
      </c>
      <c r="CD727" s="35" t="s">
        <v>735</v>
      </c>
      <c r="CE727" s="35" t="s">
        <v>1037</v>
      </c>
      <c r="CG727" s="31" t="s">
        <v>718</v>
      </c>
      <c r="CV727" s="36" t="s">
        <v>217</v>
      </c>
      <c r="CZ727" s="71"/>
    </row>
    <row r="728" spans="1:104">
      <c r="A728" s="72" t="s">
        <v>413</v>
      </c>
      <c r="B728" s="31" t="s">
        <v>77</v>
      </c>
      <c r="C728" s="70"/>
      <c r="E728" s="31">
        <v>4</v>
      </c>
      <c r="G728" s="31" t="s">
        <v>607</v>
      </c>
      <c r="N728" s="31">
        <v>0</v>
      </c>
      <c r="O728" s="31">
        <v>0</v>
      </c>
      <c r="Q728" s="31">
        <v>10</v>
      </c>
      <c r="W728" s="31" t="s">
        <v>75</v>
      </c>
      <c r="CD728" s="35" t="s">
        <v>736</v>
      </c>
      <c r="CE728" s="35" t="s">
        <v>1037</v>
      </c>
      <c r="CG728" s="31" t="s">
        <v>718</v>
      </c>
      <c r="CV728" s="36" t="s">
        <v>217</v>
      </c>
      <c r="CZ728" s="71"/>
    </row>
    <row r="729" spans="1:104">
      <c r="A729" s="72" t="s">
        <v>414</v>
      </c>
      <c r="B729" s="31" t="s">
        <v>98</v>
      </c>
      <c r="C729" s="70"/>
      <c r="E729" s="31">
        <v>3</v>
      </c>
      <c r="G729" s="31" t="s">
        <v>607</v>
      </c>
      <c r="N729" s="31">
        <v>0</v>
      </c>
      <c r="O729" s="31">
        <v>0</v>
      </c>
      <c r="Q729" s="31">
        <v>10</v>
      </c>
      <c r="W729" s="31" t="s">
        <v>75</v>
      </c>
      <c r="CE729" s="35" t="s">
        <v>1037</v>
      </c>
      <c r="CG729" s="31" t="s">
        <v>718</v>
      </c>
      <c r="CV729" s="36" t="s">
        <v>217</v>
      </c>
      <c r="CZ729" s="71"/>
    </row>
    <row r="730" spans="1:104">
      <c r="A730" s="72" t="s">
        <v>415</v>
      </c>
      <c r="B730" s="31" t="s">
        <v>98</v>
      </c>
      <c r="C730" s="70"/>
      <c r="E730" s="31">
        <v>5</v>
      </c>
      <c r="G730" s="31" t="s">
        <v>607</v>
      </c>
      <c r="N730" s="31">
        <v>0</v>
      </c>
      <c r="O730" s="31">
        <v>0</v>
      </c>
      <c r="Q730" s="31">
        <v>10</v>
      </c>
      <c r="W730" s="31" t="s">
        <v>75</v>
      </c>
      <c r="CE730" s="35" t="s">
        <v>1037</v>
      </c>
      <c r="CG730" s="31" t="s">
        <v>718</v>
      </c>
      <c r="CV730" s="36" t="s">
        <v>217</v>
      </c>
      <c r="CZ730" s="71"/>
    </row>
    <row r="731" spans="1:104">
      <c r="A731" s="72" t="s">
        <v>416</v>
      </c>
      <c r="B731" s="31" t="s">
        <v>183</v>
      </c>
      <c r="C731" s="70"/>
      <c r="E731" s="31">
        <v>10</v>
      </c>
      <c r="G731" s="31" t="s">
        <v>607</v>
      </c>
      <c r="I731" s="31" t="s">
        <v>99</v>
      </c>
      <c r="N731" s="31">
        <v>0</v>
      </c>
      <c r="O731" s="31">
        <v>0</v>
      </c>
      <c r="Q731" s="31">
        <v>10</v>
      </c>
      <c r="W731" s="31" t="s">
        <v>184</v>
      </c>
      <c r="CE731" s="35" t="s">
        <v>1037</v>
      </c>
      <c r="CF731" s="35" t="s">
        <v>1285</v>
      </c>
      <c r="CG731" s="31" t="s">
        <v>718</v>
      </c>
      <c r="CV731" s="36" t="s">
        <v>217</v>
      </c>
      <c r="CZ731" s="71"/>
    </row>
    <row r="732" spans="1:104">
      <c r="A732" s="72" t="s">
        <v>417</v>
      </c>
      <c r="B732" s="31" t="s">
        <v>183</v>
      </c>
      <c r="C732" s="70"/>
      <c r="E732" s="31">
        <v>20</v>
      </c>
      <c r="G732" s="31" t="s">
        <v>607</v>
      </c>
      <c r="I732" s="31" t="s">
        <v>99</v>
      </c>
      <c r="N732" s="31">
        <v>0</v>
      </c>
      <c r="O732" s="31">
        <v>0</v>
      </c>
      <c r="Q732" s="31">
        <v>10</v>
      </c>
      <c r="W732" s="31" t="s">
        <v>184</v>
      </c>
      <c r="CE732" s="35" t="s">
        <v>1037</v>
      </c>
      <c r="CF732" s="35" t="s">
        <v>1285</v>
      </c>
      <c r="CG732" s="31" t="s">
        <v>718</v>
      </c>
      <c r="CV732" s="36" t="s">
        <v>217</v>
      </c>
      <c r="CZ732" s="71"/>
    </row>
    <row r="733" spans="1:104">
      <c r="A733" s="72" t="s">
        <v>418</v>
      </c>
      <c r="B733" s="31" t="s">
        <v>98</v>
      </c>
      <c r="C733" s="70"/>
      <c r="E733" s="31">
        <v>2</v>
      </c>
      <c r="G733" s="31" t="s">
        <v>607</v>
      </c>
      <c r="N733" s="31">
        <v>0</v>
      </c>
      <c r="O733" s="31">
        <v>0</v>
      </c>
      <c r="Q733" s="31">
        <v>10</v>
      </c>
      <c r="W733" s="31" t="s">
        <v>75</v>
      </c>
      <c r="CE733" s="35" t="s">
        <v>1037</v>
      </c>
      <c r="CG733" s="31" t="s">
        <v>718</v>
      </c>
      <c r="CV733" s="36" t="s">
        <v>217</v>
      </c>
      <c r="CZ733" s="71"/>
    </row>
    <row r="734" spans="1:104">
      <c r="A734" s="72" t="s">
        <v>419</v>
      </c>
      <c r="B734" s="31" t="s">
        <v>98</v>
      </c>
      <c r="C734" s="70"/>
      <c r="E734" s="31">
        <v>4</v>
      </c>
      <c r="G734" s="31" t="s">
        <v>607</v>
      </c>
      <c r="N734" s="31">
        <v>0</v>
      </c>
      <c r="O734" s="31">
        <v>0</v>
      </c>
      <c r="Q734" s="31">
        <v>10</v>
      </c>
      <c r="W734" s="31" t="s">
        <v>75</v>
      </c>
      <c r="CE734" s="35" t="s">
        <v>1037</v>
      </c>
      <c r="CG734" s="31" t="s">
        <v>718</v>
      </c>
      <c r="CV734" s="36" t="s">
        <v>217</v>
      </c>
      <c r="CZ734" s="71"/>
    </row>
    <row r="735" spans="1:104">
      <c r="A735" s="112" t="s">
        <v>1562</v>
      </c>
      <c r="B735" s="31" t="s">
        <v>98</v>
      </c>
      <c r="C735" s="70"/>
      <c r="E735" s="31">
        <v>13</v>
      </c>
      <c r="G735" s="31" t="s">
        <v>607</v>
      </c>
      <c r="I735" s="31" t="s">
        <v>74</v>
      </c>
      <c r="J735" s="31">
        <v>9</v>
      </c>
      <c r="K735" s="31">
        <v>2</v>
      </c>
      <c r="N735" s="31">
        <v>0</v>
      </c>
      <c r="O735" s="31">
        <v>0</v>
      </c>
      <c r="Q735" s="31">
        <v>10</v>
      </c>
      <c r="W735" s="31" t="s">
        <v>75</v>
      </c>
      <c r="CA735" s="44"/>
      <c r="CB735" s="44"/>
      <c r="CD735" s="35" t="s">
        <v>717</v>
      </c>
      <c r="CE735" s="35" t="s">
        <v>1037</v>
      </c>
      <c r="CF735" s="35" t="s">
        <v>1559</v>
      </c>
      <c r="CG735" s="31" t="s">
        <v>718</v>
      </c>
      <c r="CH735" s="44"/>
      <c r="CV735" s="36" t="s">
        <v>217</v>
      </c>
      <c r="CW735" s="33"/>
      <c r="CX735" s="33"/>
      <c r="CY735" s="33"/>
      <c r="CZ735" s="71"/>
    </row>
    <row r="736" spans="1:104">
      <c r="A736" s="72" t="s">
        <v>420</v>
      </c>
      <c r="B736" s="31" t="s">
        <v>98</v>
      </c>
      <c r="C736" s="70"/>
      <c r="E736" s="31">
        <v>10</v>
      </c>
      <c r="G736" s="31" t="s">
        <v>607</v>
      </c>
      <c r="H736" s="31">
        <v>4</v>
      </c>
      <c r="I736" s="31" t="s">
        <v>74</v>
      </c>
      <c r="L736" s="31">
        <v>-20</v>
      </c>
      <c r="N736" s="31">
        <v>0</v>
      </c>
      <c r="O736" s="31">
        <v>0</v>
      </c>
      <c r="Q736" s="31">
        <v>10</v>
      </c>
      <c r="W736" s="31" t="s">
        <v>75</v>
      </c>
      <c r="CE736" s="35" t="s">
        <v>1037</v>
      </c>
      <c r="CF736" s="35" t="s">
        <v>1559</v>
      </c>
      <c r="CG736" s="31" t="s">
        <v>718</v>
      </c>
      <c r="CV736" s="36" t="s">
        <v>217</v>
      </c>
      <c r="CZ736" s="71"/>
    </row>
    <row r="737" spans="1:104">
      <c r="A737" s="72" t="s">
        <v>421</v>
      </c>
      <c r="B737" s="31" t="s">
        <v>98</v>
      </c>
      <c r="C737" s="70"/>
      <c r="E737" s="31">
        <v>20</v>
      </c>
      <c r="G737" s="31" t="s">
        <v>607</v>
      </c>
      <c r="H737" s="31">
        <v>4</v>
      </c>
      <c r="I737" s="31" t="s">
        <v>74</v>
      </c>
      <c r="L737" s="31">
        <v>40</v>
      </c>
      <c r="N737" s="31">
        <v>0</v>
      </c>
      <c r="O737" s="31">
        <v>0</v>
      </c>
      <c r="Q737" s="31">
        <v>10</v>
      </c>
      <c r="W737" s="31" t="s">
        <v>75</v>
      </c>
      <c r="CE737" s="35" t="s">
        <v>1037</v>
      </c>
      <c r="CF737" s="35" t="s">
        <v>1559</v>
      </c>
      <c r="CG737" s="31" t="s">
        <v>718</v>
      </c>
      <c r="CV737" s="36" t="s">
        <v>217</v>
      </c>
      <c r="CZ737" s="71"/>
    </row>
    <row r="738" spans="1:104">
      <c r="A738" s="72" t="s">
        <v>422</v>
      </c>
      <c r="B738" s="31" t="s">
        <v>183</v>
      </c>
      <c r="C738" s="70"/>
      <c r="E738" s="31">
        <v>10</v>
      </c>
      <c r="G738" s="31" t="s">
        <v>607</v>
      </c>
      <c r="H738" s="31">
        <v>5</v>
      </c>
      <c r="I738" s="31" t="s">
        <v>224</v>
      </c>
      <c r="L738" s="31">
        <v>-30</v>
      </c>
      <c r="N738" s="31">
        <v>0</v>
      </c>
      <c r="O738" s="31">
        <v>0</v>
      </c>
      <c r="Q738" s="31">
        <v>10</v>
      </c>
      <c r="W738" s="31" t="s">
        <v>184</v>
      </c>
      <c r="CE738" s="35" t="s">
        <v>1037</v>
      </c>
      <c r="CG738" s="31" t="s">
        <v>718</v>
      </c>
      <c r="CV738" s="36" t="s">
        <v>217</v>
      </c>
      <c r="CZ738" s="71"/>
    </row>
    <row r="739" spans="1:104">
      <c r="A739" s="72" t="s">
        <v>423</v>
      </c>
      <c r="B739" s="31" t="s">
        <v>183</v>
      </c>
      <c r="C739" s="70"/>
      <c r="E739" s="31">
        <v>20</v>
      </c>
      <c r="G739" s="31" t="s">
        <v>607</v>
      </c>
      <c r="H739" s="31">
        <v>5</v>
      </c>
      <c r="I739" s="31" t="s">
        <v>224</v>
      </c>
      <c r="L739" s="31">
        <v>-10</v>
      </c>
      <c r="N739" s="31">
        <v>0</v>
      </c>
      <c r="O739" s="31">
        <v>0</v>
      </c>
      <c r="Q739" s="31">
        <v>10</v>
      </c>
      <c r="W739" s="31" t="s">
        <v>184</v>
      </c>
      <c r="CE739" s="35" t="s">
        <v>1037</v>
      </c>
      <c r="CG739" s="31" t="s">
        <v>718</v>
      </c>
      <c r="CV739" s="36" t="s">
        <v>217</v>
      </c>
      <c r="CZ739" s="71"/>
    </row>
    <row r="740" spans="1:104">
      <c r="A740" s="72" t="s">
        <v>424</v>
      </c>
      <c r="B740" s="31" t="s">
        <v>98</v>
      </c>
      <c r="C740" s="70"/>
      <c r="E740" s="31">
        <v>19</v>
      </c>
      <c r="G740" s="31" t="s">
        <v>607</v>
      </c>
      <c r="H740" s="31">
        <v>5</v>
      </c>
      <c r="I740" s="31" t="s">
        <v>78</v>
      </c>
      <c r="N740" s="31">
        <v>0</v>
      </c>
      <c r="O740" s="31">
        <v>0</v>
      </c>
      <c r="Q740" s="31">
        <v>10</v>
      </c>
      <c r="W740" s="31" t="s">
        <v>75</v>
      </c>
      <c r="CE740" s="35" t="s">
        <v>1037</v>
      </c>
      <c r="CF740" s="35" t="s">
        <v>1559</v>
      </c>
      <c r="CG740" s="31" t="s">
        <v>718</v>
      </c>
      <c r="CV740" s="36" t="s">
        <v>217</v>
      </c>
      <c r="CZ740" s="71"/>
    </row>
    <row r="741" spans="1:104">
      <c r="A741" s="72" t="s">
        <v>425</v>
      </c>
      <c r="B741" s="31" t="s">
        <v>98</v>
      </c>
      <c r="C741" s="70"/>
      <c r="E741" s="31">
        <v>20</v>
      </c>
      <c r="G741" s="31" t="s">
        <v>607</v>
      </c>
      <c r="H741" s="31">
        <v>5</v>
      </c>
      <c r="I741" s="31" t="s">
        <v>78</v>
      </c>
      <c r="L741" s="31">
        <v>-10</v>
      </c>
      <c r="N741" s="31">
        <v>0</v>
      </c>
      <c r="O741" s="31">
        <v>0</v>
      </c>
      <c r="Q741" s="31">
        <v>10</v>
      </c>
      <c r="W741" s="31" t="s">
        <v>75</v>
      </c>
      <c r="CE741" s="35" t="s">
        <v>1037</v>
      </c>
      <c r="CF741" s="35" t="s">
        <v>1559</v>
      </c>
      <c r="CG741" s="31" t="s">
        <v>718</v>
      </c>
      <c r="CV741" s="36" t="s">
        <v>217</v>
      </c>
      <c r="CZ741" s="71"/>
    </row>
    <row r="742" spans="1:104">
      <c r="A742" s="126" t="s">
        <v>1412</v>
      </c>
      <c r="B742" s="31" t="s">
        <v>98</v>
      </c>
      <c r="C742" s="70"/>
      <c r="E742" s="31">
        <v>20</v>
      </c>
      <c r="G742" s="31" t="s">
        <v>607</v>
      </c>
      <c r="H742" s="31">
        <v>5</v>
      </c>
      <c r="I742" s="31" t="s">
        <v>78</v>
      </c>
      <c r="L742" s="31">
        <v>-10</v>
      </c>
      <c r="N742" s="31">
        <v>0</v>
      </c>
      <c r="O742" s="31">
        <v>0</v>
      </c>
      <c r="Q742" s="31">
        <v>10</v>
      </c>
      <c r="W742" s="31" t="s">
        <v>75</v>
      </c>
      <c r="CD742" s="35" t="s">
        <v>717</v>
      </c>
      <c r="CE742" s="35" t="s">
        <v>1037</v>
      </c>
      <c r="CF742" s="35" t="s">
        <v>1559</v>
      </c>
      <c r="CG742" s="31" t="s">
        <v>718</v>
      </c>
      <c r="CV742" s="36" t="s">
        <v>217</v>
      </c>
      <c r="CZ742" s="71"/>
    </row>
    <row r="743" spans="1:104">
      <c r="A743" s="72" t="s">
        <v>426</v>
      </c>
      <c r="B743" s="31" t="s">
        <v>129</v>
      </c>
      <c r="C743" s="70"/>
      <c r="E743" s="31">
        <v>2</v>
      </c>
      <c r="G743" s="31" t="s">
        <v>607</v>
      </c>
      <c r="N743" s="31">
        <v>0</v>
      </c>
      <c r="O743" s="31">
        <v>0</v>
      </c>
      <c r="P743" s="31">
        <v>2</v>
      </c>
      <c r="Q743" s="31">
        <v>10</v>
      </c>
      <c r="W743" s="31" t="s">
        <v>130</v>
      </c>
      <c r="CD743" s="35" t="s">
        <v>717</v>
      </c>
      <c r="CE743" s="35" t="s">
        <v>1037</v>
      </c>
      <c r="CG743" s="31" t="s">
        <v>718</v>
      </c>
      <c r="CV743" s="36" t="s">
        <v>1281</v>
      </c>
      <c r="CZ743" s="71"/>
    </row>
    <row r="744" spans="1:104">
      <c r="A744" s="72" t="s">
        <v>459</v>
      </c>
      <c r="B744" s="31" t="s">
        <v>129</v>
      </c>
      <c r="C744" s="70"/>
      <c r="E744" s="31">
        <v>9</v>
      </c>
      <c r="G744" s="31" t="s">
        <v>607</v>
      </c>
      <c r="N744" s="31">
        <v>0</v>
      </c>
      <c r="O744" s="31">
        <v>0</v>
      </c>
      <c r="P744" s="31">
        <v>2</v>
      </c>
      <c r="Q744" s="31">
        <v>10</v>
      </c>
      <c r="W744" s="31" t="s">
        <v>130</v>
      </c>
      <c r="AG744" s="31">
        <v>5</v>
      </c>
      <c r="CD744" s="35" t="s">
        <v>783</v>
      </c>
      <c r="CE744" s="35" t="s">
        <v>1037</v>
      </c>
      <c r="CG744" s="31" t="s">
        <v>718</v>
      </c>
      <c r="CV744" s="36" t="s">
        <v>1281</v>
      </c>
      <c r="CZ744" s="71"/>
    </row>
    <row r="745" spans="1:104">
      <c r="A745" s="72" t="s">
        <v>427</v>
      </c>
      <c r="B745" s="31" t="s">
        <v>129</v>
      </c>
      <c r="C745" s="70"/>
      <c r="E745" s="31">
        <v>4</v>
      </c>
      <c r="G745" s="31" t="s">
        <v>607</v>
      </c>
      <c r="N745" s="31">
        <v>0</v>
      </c>
      <c r="O745" s="31">
        <v>0</v>
      </c>
      <c r="P745" s="31">
        <v>2</v>
      </c>
      <c r="Q745" s="31">
        <v>10</v>
      </c>
      <c r="W745" s="31" t="s">
        <v>130</v>
      </c>
      <c r="CD745" s="35" t="s">
        <v>1067</v>
      </c>
      <c r="CE745" s="35" t="s">
        <v>1037</v>
      </c>
      <c r="CG745" s="31" t="s">
        <v>718</v>
      </c>
      <c r="CV745" s="36" t="s">
        <v>1281</v>
      </c>
      <c r="CZ745" s="71"/>
    </row>
    <row r="746" spans="1:104">
      <c r="A746" s="72" t="s">
        <v>428</v>
      </c>
      <c r="B746" s="31" t="s">
        <v>129</v>
      </c>
      <c r="C746" s="70"/>
      <c r="E746" s="31">
        <v>10</v>
      </c>
      <c r="G746" s="31" t="s">
        <v>607</v>
      </c>
      <c r="N746" s="31">
        <v>0</v>
      </c>
      <c r="O746" s="31">
        <v>0</v>
      </c>
      <c r="P746" s="31">
        <v>2</v>
      </c>
      <c r="Q746" s="31">
        <v>10</v>
      </c>
      <c r="W746" s="31" t="s">
        <v>130</v>
      </c>
      <c r="CD746" s="35" t="s">
        <v>783</v>
      </c>
      <c r="CE746" s="35" t="s">
        <v>1037</v>
      </c>
      <c r="CG746" s="31" t="s">
        <v>718</v>
      </c>
      <c r="CV746" s="36" t="s">
        <v>1281</v>
      </c>
      <c r="CZ746" s="71"/>
    </row>
    <row r="747" spans="1:104">
      <c r="A747" s="72" t="s">
        <v>429</v>
      </c>
      <c r="B747" s="31" t="s">
        <v>129</v>
      </c>
      <c r="C747" s="70"/>
      <c r="E747" s="31">
        <v>11</v>
      </c>
      <c r="G747" s="31" t="s">
        <v>607</v>
      </c>
      <c r="N747" s="31">
        <v>0</v>
      </c>
      <c r="O747" s="31">
        <v>0</v>
      </c>
      <c r="P747" s="31">
        <v>2</v>
      </c>
      <c r="Q747" s="31">
        <v>10</v>
      </c>
      <c r="W747" s="31" t="s">
        <v>130</v>
      </c>
      <c r="CD747" s="35" t="s">
        <v>1067</v>
      </c>
      <c r="CE747" s="35" t="s">
        <v>1037</v>
      </c>
      <c r="CG747" s="31" t="s">
        <v>718</v>
      </c>
      <c r="CV747" s="36" t="s">
        <v>1281</v>
      </c>
      <c r="CZ747" s="71"/>
    </row>
    <row r="748" spans="1:104">
      <c r="A748" s="112" t="s">
        <v>1265</v>
      </c>
      <c r="B748" s="31" t="s">
        <v>129</v>
      </c>
      <c r="C748" s="70"/>
      <c r="E748" s="31">
        <v>17</v>
      </c>
      <c r="G748" s="31" t="s">
        <v>607</v>
      </c>
      <c r="J748" s="31">
        <v>8</v>
      </c>
      <c r="N748" s="31">
        <v>0</v>
      </c>
      <c r="O748" s="31">
        <v>0</v>
      </c>
      <c r="P748" s="31">
        <v>2</v>
      </c>
      <c r="Q748" s="31">
        <v>10</v>
      </c>
      <c r="W748" s="31" t="s">
        <v>130</v>
      </c>
      <c r="CD748" s="35" t="s">
        <v>717</v>
      </c>
      <c r="CE748" s="35" t="s">
        <v>1037</v>
      </c>
      <c r="CG748" s="31" t="s">
        <v>718</v>
      </c>
      <c r="CV748" s="36" t="s">
        <v>1281</v>
      </c>
      <c r="CZ748" s="71"/>
    </row>
    <row r="749" spans="1:104">
      <c r="A749" s="31" t="s">
        <v>226</v>
      </c>
      <c r="B749" s="31" t="s">
        <v>117</v>
      </c>
      <c r="C749" s="70"/>
      <c r="E749" s="31">
        <v>3</v>
      </c>
      <c r="G749" s="31" t="s">
        <v>607</v>
      </c>
      <c r="N749" s="31">
        <v>0</v>
      </c>
      <c r="O749" s="31">
        <v>0</v>
      </c>
      <c r="Q749" s="31">
        <v>10</v>
      </c>
      <c r="W749" s="31" t="s">
        <v>118</v>
      </c>
      <c r="CE749" s="35" t="s">
        <v>1037</v>
      </c>
      <c r="CG749" s="31" t="s">
        <v>718</v>
      </c>
      <c r="CV749" s="36" t="s">
        <v>438</v>
      </c>
      <c r="CZ749" s="71"/>
    </row>
    <row r="750" spans="1:104">
      <c r="A750" s="31" t="s">
        <v>227</v>
      </c>
      <c r="B750" s="31" t="s">
        <v>117</v>
      </c>
      <c r="C750" s="70"/>
      <c r="E750" s="31">
        <v>4</v>
      </c>
      <c r="G750" s="31" t="s">
        <v>607</v>
      </c>
      <c r="N750" s="31">
        <v>0</v>
      </c>
      <c r="O750" s="31">
        <v>0</v>
      </c>
      <c r="Q750" s="31">
        <v>10</v>
      </c>
      <c r="W750" s="31" t="s">
        <v>118</v>
      </c>
      <c r="CE750" s="35" t="s">
        <v>1037</v>
      </c>
      <c r="CG750" s="31" t="s">
        <v>718</v>
      </c>
      <c r="CV750" s="36" t="s">
        <v>438</v>
      </c>
      <c r="CZ750" s="71"/>
    </row>
    <row r="751" spans="1:104">
      <c r="A751" s="31" t="s">
        <v>228</v>
      </c>
      <c r="B751" s="31" t="s">
        <v>117</v>
      </c>
      <c r="C751" s="70"/>
      <c r="E751" s="31">
        <v>4</v>
      </c>
      <c r="G751" s="31" t="s">
        <v>607</v>
      </c>
      <c r="N751" s="31">
        <v>0</v>
      </c>
      <c r="O751" s="31">
        <v>0</v>
      </c>
      <c r="Q751" s="31">
        <v>10</v>
      </c>
      <c r="W751" s="31" t="s">
        <v>118</v>
      </c>
      <c r="CE751" s="35" t="s">
        <v>1037</v>
      </c>
      <c r="CG751" s="31" t="s">
        <v>718</v>
      </c>
      <c r="CV751" s="36" t="s">
        <v>438</v>
      </c>
      <c r="CZ751" s="71"/>
    </row>
    <row r="752" spans="1:104">
      <c r="A752" s="31" t="s">
        <v>229</v>
      </c>
      <c r="B752" s="31" t="s">
        <v>117</v>
      </c>
      <c r="C752" s="70"/>
      <c r="E752" s="31">
        <v>4</v>
      </c>
      <c r="G752" s="31" t="s">
        <v>607</v>
      </c>
      <c r="N752" s="31">
        <v>0</v>
      </c>
      <c r="O752" s="31">
        <v>0</v>
      </c>
      <c r="Q752" s="31">
        <v>10</v>
      </c>
      <c r="W752" s="31" t="s">
        <v>118</v>
      </c>
      <c r="CE752" s="35" t="s">
        <v>1037</v>
      </c>
      <c r="CG752" s="31" t="s">
        <v>718</v>
      </c>
      <c r="CV752" s="36" t="s">
        <v>438</v>
      </c>
      <c r="CZ752" s="71"/>
    </row>
    <row r="753" spans="1:104">
      <c r="A753" s="31" t="s">
        <v>230</v>
      </c>
      <c r="B753" s="31" t="s">
        <v>117</v>
      </c>
      <c r="C753" s="70"/>
      <c r="E753" s="31">
        <v>7</v>
      </c>
      <c r="G753" s="31" t="s">
        <v>607</v>
      </c>
      <c r="N753" s="31">
        <v>0</v>
      </c>
      <c r="O753" s="31">
        <v>0</v>
      </c>
      <c r="Q753" s="31">
        <v>10</v>
      </c>
      <c r="W753" s="31" t="s">
        <v>118</v>
      </c>
      <c r="CE753" s="35" t="s">
        <v>1037</v>
      </c>
      <c r="CG753" s="31" t="s">
        <v>718</v>
      </c>
      <c r="CV753" s="36" t="s">
        <v>438</v>
      </c>
      <c r="CZ753" s="71"/>
    </row>
    <row r="754" spans="1:104">
      <c r="A754" s="31" t="s">
        <v>231</v>
      </c>
      <c r="B754" s="31" t="s">
        <v>117</v>
      </c>
      <c r="C754" s="70"/>
      <c r="E754" s="31">
        <v>8</v>
      </c>
      <c r="G754" s="31" t="s">
        <v>607</v>
      </c>
      <c r="N754" s="31">
        <v>0</v>
      </c>
      <c r="O754" s="31">
        <v>0</v>
      </c>
      <c r="Q754" s="31">
        <v>10</v>
      </c>
      <c r="W754" s="31" t="s">
        <v>118</v>
      </c>
      <c r="CE754" s="35" t="s">
        <v>1037</v>
      </c>
      <c r="CG754" s="31" t="s">
        <v>718</v>
      </c>
      <c r="CV754" s="36" t="s">
        <v>438</v>
      </c>
      <c r="CZ754" s="71"/>
    </row>
    <row r="755" spans="1:104">
      <c r="A755" s="31" t="s">
        <v>232</v>
      </c>
      <c r="B755" s="31" t="s">
        <v>117</v>
      </c>
      <c r="C755" s="70"/>
      <c r="E755" s="31">
        <v>5</v>
      </c>
      <c r="G755" s="31" t="s">
        <v>607</v>
      </c>
      <c r="N755" s="31">
        <v>0</v>
      </c>
      <c r="O755" s="31">
        <v>0</v>
      </c>
      <c r="Q755" s="31">
        <v>10</v>
      </c>
      <c r="W755" s="31" t="s">
        <v>118</v>
      </c>
      <c r="CE755" s="35" t="s">
        <v>1037</v>
      </c>
      <c r="CG755" s="31" t="s">
        <v>718</v>
      </c>
      <c r="CV755" s="36" t="s">
        <v>438</v>
      </c>
      <c r="CZ755" s="71"/>
    </row>
    <row r="756" spans="1:104">
      <c r="A756" s="31" t="s">
        <v>233</v>
      </c>
      <c r="B756" s="31" t="s">
        <v>117</v>
      </c>
      <c r="C756" s="70"/>
      <c r="E756" s="31">
        <v>8</v>
      </c>
      <c r="G756" s="31" t="s">
        <v>607</v>
      </c>
      <c r="N756" s="31">
        <v>0</v>
      </c>
      <c r="O756" s="31">
        <v>0</v>
      </c>
      <c r="Q756" s="31">
        <v>10</v>
      </c>
      <c r="W756" s="31" t="s">
        <v>118</v>
      </c>
      <c r="CE756" s="35" t="s">
        <v>1037</v>
      </c>
      <c r="CG756" s="31" t="s">
        <v>718</v>
      </c>
      <c r="CV756" s="36" t="s">
        <v>438</v>
      </c>
      <c r="CZ756" s="71"/>
    </row>
    <row r="757" spans="1:104">
      <c r="A757" s="31" t="s">
        <v>234</v>
      </c>
      <c r="B757" s="31" t="s">
        <v>98</v>
      </c>
      <c r="C757" s="70"/>
      <c r="E757" s="31">
        <v>3</v>
      </c>
      <c r="G757" s="31" t="s">
        <v>607</v>
      </c>
      <c r="N757" s="31">
        <v>0</v>
      </c>
      <c r="O757" s="31">
        <v>0</v>
      </c>
      <c r="Q757" s="31">
        <v>10</v>
      </c>
      <c r="W757" s="31" t="s">
        <v>100</v>
      </c>
      <c r="CE757" s="35" t="s">
        <v>1037</v>
      </c>
      <c r="CG757" s="31" t="s">
        <v>718</v>
      </c>
      <c r="CV757" s="36" t="s">
        <v>437</v>
      </c>
      <c r="CZ757" s="71"/>
    </row>
    <row r="758" spans="1:104">
      <c r="A758" s="31" t="s">
        <v>235</v>
      </c>
      <c r="B758" s="31" t="s">
        <v>98</v>
      </c>
      <c r="C758" s="70"/>
      <c r="E758" s="31">
        <v>3</v>
      </c>
      <c r="G758" s="31" t="s">
        <v>607</v>
      </c>
      <c r="N758" s="31">
        <v>0</v>
      </c>
      <c r="O758" s="31">
        <v>0</v>
      </c>
      <c r="Q758" s="31">
        <v>10</v>
      </c>
      <c r="W758" s="31" t="s">
        <v>100</v>
      </c>
      <c r="CE758" s="35" t="s">
        <v>1037</v>
      </c>
      <c r="CG758" s="31" t="s">
        <v>718</v>
      </c>
      <c r="CV758" s="36" t="s">
        <v>437</v>
      </c>
      <c r="CZ758" s="71"/>
    </row>
    <row r="759" spans="1:104">
      <c r="A759" s="31" t="s">
        <v>236</v>
      </c>
      <c r="B759" s="31" t="s">
        <v>98</v>
      </c>
      <c r="C759" s="70"/>
      <c r="E759" s="31">
        <v>4</v>
      </c>
      <c r="G759" s="31" t="s">
        <v>607</v>
      </c>
      <c r="J759" s="31">
        <v>4</v>
      </c>
      <c r="K759" s="31">
        <v>2</v>
      </c>
      <c r="N759" s="31">
        <v>0</v>
      </c>
      <c r="O759" s="31">
        <v>0</v>
      </c>
      <c r="Q759" s="31">
        <v>10</v>
      </c>
      <c r="W759" s="31" t="s">
        <v>100</v>
      </c>
      <c r="CE759" s="35" t="s">
        <v>1037</v>
      </c>
      <c r="CG759" s="31" t="s">
        <v>718</v>
      </c>
      <c r="CV759" s="36" t="s">
        <v>437</v>
      </c>
      <c r="CZ759" s="71"/>
    </row>
    <row r="760" spans="1:104">
      <c r="A760" s="31" t="s">
        <v>453</v>
      </c>
      <c r="B760" s="31" t="s">
        <v>77</v>
      </c>
      <c r="C760" s="70"/>
      <c r="E760" s="31">
        <v>6</v>
      </c>
      <c r="G760" s="31" t="s">
        <v>607</v>
      </c>
      <c r="H760" s="31">
        <v>4</v>
      </c>
      <c r="I760" s="31" t="s">
        <v>78</v>
      </c>
      <c r="J760" s="31">
        <v>3</v>
      </c>
      <c r="N760" s="31">
        <v>0</v>
      </c>
      <c r="O760" s="31">
        <v>0</v>
      </c>
      <c r="Q760" s="31">
        <v>10</v>
      </c>
      <c r="W760" s="31" t="s">
        <v>79</v>
      </c>
      <c r="CE760" s="35" t="s">
        <v>1037</v>
      </c>
      <c r="CG760" s="31" t="s">
        <v>718</v>
      </c>
      <c r="CV760" s="88" t="s">
        <v>709</v>
      </c>
      <c r="CZ760" s="71"/>
    </row>
    <row r="761" spans="1:104">
      <c r="A761" s="113" t="s">
        <v>1434</v>
      </c>
      <c r="B761" s="31" t="s">
        <v>77</v>
      </c>
      <c r="C761" s="70"/>
      <c r="E761" s="31">
        <v>6</v>
      </c>
      <c r="G761" s="31" t="s">
        <v>607</v>
      </c>
      <c r="H761" s="31">
        <v>4</v>
      </c>
      <c r="I761" s="31" t="s">
        <v>78</v>
      </c>
      <c r="J761" s="31">
        <v>8</v>
      </c>
      <c r="N761" s="31">
        <v>0</v>
      </c>
      <c r="O761" s="31">
        <v>0</v>
      </c>
      <c r="Q761" s="31">
        <v>10</v>
      </c>
      <c r="W761" s="31" t="s">
        <v>79</v>
      </c>
      <c r="CE761" s="35" t="s">
        <v>1037</v>
      </c>
      <c r="CG761" s="31" t="s">
        <v>718</v>
      </c>
      <c r="CV761" s="88" t="s">
        <v>709</v>
      </c>
      <c r="CZ761" s="71"/>
    </row>
    <row r="762" spans="1:104">
      <c r="A762" s="31" t="s">
        <v>454</v>
      </c>
      <c r="B762" s="31" t="s">
        <v>193</v>
      </c>
      <c r="C762" s="70"/>
      <c r="E762" s="31">
        <v>6</v>
      </c>
      <c r="N762" s="31">
        <v>0</v>
      </c>
      <c r="O762" s="31">
        <v>0</v>
      </c>
      <c r="Q762" s="31">
        <v>10</v>
      </c>
      <c r="W762" s="31" t="s">
        <v>194</v>
      </c>
      <c r="CE762" s="35" t="s">
        <v>1037</v>
      </c>
      <c r="CG762" s="31" t="s">
        <v>718</v>
      </c>
      <c r="CV762" s="36" t="s">
        <v>445</v>
      </c>
      <c r="CZ762" s="71"/>
    </row>
    <row r="763" spans="1:104">
      <c r="A763" s="31" t="s">
        <v>455</v>
      </c>
      <c r="B763" s="31" t="s">
        <v>77</v>
      </c>
      <c r="C763" s="70"/>
      <c r="E763" s="31">
        <v>6</v>
      </c>
      <c r="G763" s="31" t="s">
        <v>607</v>
      </c>
      <c r="H763" s="31">
        <v>3</v>
      </c>
      <c r="N763" s="31">
        <v>0</v>
      </c>
      <c r="O763" s="31">
        <v>0</v>
      </c>
      <c r="Q763" s="31">
        <v>10</v>
      </c>
      <c r="W763" s="31" t="s">
        <v>79</v>
      </c>
      <c r="CD763" s="35" t="s">
        <v>1068</v>
      </c>
      <c r="CE763" s="35" t="s">
        <v>1037</v>
      </c>
      <c r="CG763" s="31" t="s">
        <v>718</v>
      </c>
      <c r="CV763" s="36" t="s">
        <v>437</v>
      </c>
      <c r="CZ763" s="71"/>
    </row>
    <row r="764" spans="1:104">
      <c r="A764" s="31" t="s">
        <v>456</v>
      </c>
      <c r="B764" s="31" t="s">
        <v>183</v>
      </c>
      <c r="C764" s="70"/>
      <c r="E764" s="31">
        <v>6</v>
      </c>
      <c r="G764" s="31" t="s">
        <v>606</v>
      </c>
      <c r="I764" s="31" t="s">
        <v>219</v>
      </c>
      <c r="N764" s="31">
        <v>0</v>
      </c>
      <c r="O764" s="31">
        <v>0</v>
      </c>
      <c r="Q764" s="31">
        <v>10</v>
      </c>
      <c r="W764" s="31" t="s">
        <v>184</v>
      </c>
      <c r="CE764" s="35" t="s">
        <v>1037</v>
      </c>
      <c r="CG764" s="31" t="s">
        <v>718</v>
      </c>
      <c r="CV764" s="36" t="s">
        <v>444</v>
      </c>
      <c r="CZ764" s="71"/>
    </row>
    <row r="765" spans="1:104">
      <c r="A765" s="31" t="s">
        <v>1228</v>
      </c>
      <c r="B765" s="31" t="s">
        <v>183</v>
      </c>
      <c r="C765" s="70"/>
      <c r="E765" s="31">
        <v>3</v>
      </c>
      <c r="G765" s="31" t="s">
        <v>606</v>
      </c>
      <c r="I765" s="31" t="s">
        <v>219</v>
      </c>
      <c r="N765" s="31">
        <v>0</v>
      </c>
      <c r="O765" s="31">
        <v>0</v>
      </c>
      <c r="Q765" s="31">
        <v>10</v>
      </c>
      <c r="W765" s="31" t="s">
        <v>184</v>
      </c>
      <c r="CE765" s="35" t="s">
        <v>1037</v>
      </c>
      <c r="CG765" s="31" t="s">
        <v>718</v>
      </c>
      <c r="CV765" s="36" t="s">
        <v>444</v>
      </c>
      <c r="CZ765" s="71"/>
    </row>
    <row r="766" spans="1:104">
      <c r="A766" s="31" t="s">
        <v>1229</v>
      </c>
      <c r="B766" s="31" t="s">
        <v>183</v>
      </c>
      <c r="C766" s="70"/>
      <c r="E766" s="31">
        <v>5</v>
      </c>
      <c r="G766" s="31" t="s">
        <v>606</v>
      </c>
      <c r="I766" s="31" t="s">
        <v>219</v>
      </c>
      <c r="N766" s="31">
        <v>0</v>
      </c>
      <c r="O766" s="31">
        <v>0</v>
      </c>
      <c r="Q766" s="31">
        <v>10</v>
      </c>
      <c r="W766" s="31" t="s">
        <v>184</v>
      </c>
      <c r="CE766" s="35" t="s">
        <v>1037</v>
      </c>
      <c r="CG766" s="31" t="s">
        <v>718</v>
      </c>
      <c r="CV766" s="36" t="s">
        <v>444</v>
      </c>
      <c r="CZ766" s="71"/>
    </row>
    <row r="767" spans="1:104">
      <c r="A767" s="31" t="s">
        <v>1230</v>
      </c>
      <c r="B767" s="31" t="s">
        <v>183</v>
      </c>
      <c r="C767" s="70"/>
      <c r="E767" s="31">
        <v>8</v>
      </c>
      <c r="G767" s="31" t="s">
        <v>606</v>
      </c>
      <c r="I767" s="31" t="s">
        <v>219</v>
      </c>
      <c r="N767" s="31">
        <v>0</v>
      </c>
      <c r="O767" s="31">
        <v>0</v>
      </c>
      <c r="Q767" s="31">
        <v>10</v>
      </c>
      <c r="W767" s="31" t="s">
        <v>184</v>
      </c>
      <c r="CE767" s="35" t="s">
        <v>1037</v>
      </c>
      <c r="CG767" s="31" t="s">
        <v>718</v>
      </c>
      <c r="CV767" s="36" t="s">
        <v>444</v>
      </c>
      <c r="CZ767" s="71"/>
    </row>
    <row r="768" spans="1:104">
      <c r="A768" s="31" t="s">
        <v>1231</v>
      </c>
      <c r="B768" s="31" t="s">
        <v>183</v>
      </c>
      <c r="C768" s="70"/>
      <c r="E768" s="31">
        <v>3</v>
      </c>
      <c r="G768" s="31" t="s">
        <v>606</v>
      </c>
      <c r="I768" s="31" t="s">
        <v>216</v>
      </c>
      <c r="N768" s="31">
        <v>0</v>
      </c>
      <c r="O768" s="31">
        <v>0</v>
      </c>
      <c r="Q768" s="31">
        <v>10</v>
      </c>
      <c r="W768" s="31" t="s">
        <v>184</v>
      </c>
      <c r="CE768" s="35" t="s">
        <v>1037</v>
      </c>
      <c r="CG768" s="31" t="s">
        <v>718</v>
      </c>
      <c r="CV768" s="36" t="s">
        <v>444</v>
      </c>
      <c r="CZ768" s="71"/>
    </row>
    <row r="769" spans="1:104">
      <c r="A769" s="31" t="s">
        <v>1232</v>
      </c>
      <c r="B769" s="31" t="s">
        <v>183</v>
      </c>
      <c r="C769" s="70"/>
      <c r="E769" s="31">
        <v>5</v>
      </c>
      <c r="G769" s="31" t="s">
        <v>606</v>
      </c>
      <c r="I769" s="31" t="s">
        <v>216</v>
      </c>
      <c r="N769" s="31">
        <v>0</v>
      </c>
      <c r="O769" s="31">
        <v>0</v>
      </c>
      <c r="Q769" s="31">
        <v>10</v>
      </c>
      <c r="W769" s="31" t="s">
        <v>184</v>
      </c>
      <c r="CE769" s="35" t="s">
        <v>1037</v>
      </c>
      <c r="CG769" s="31" t="s">
        <v>718</v>
      </c>
      <c r="CV769" s="36" t="s">
        <v>444</v>
      </c>
      <c r="CZ769" s="71"/>
    </row>
    <row r="770" spans="1:104">
      <c r="A770" s="31" t="s">
        <v>1233</v>
      </c>
      <c r="B770" s="31" t="s">
        <v>183</v>
      </c>
      <c r="C770" s="70"/>
      <c r="E770" s="31">
        <v>8</v>
      </c>
      <c r="G770" s="31" t="s">
        <v>606</v>
      </c>
      <c r="I770" s="31" t="s">
        <v>216</v>
      </c>
      <c r="N770" s="31">
        <v>0</v>
      </c>
      <c r="O770" s="31">
        <v>0</v>
      </c>
      <c r="Q770" s="31">
        <v>10</v>
      </c>
      <c r="W770" s="31" t="s">
        <v>184</v>
      </c>
      <c r="CE770" s="35" t="s">
        <v>1037</v>
      </c>
      <c r="CG770" s="31" t="s">
        <v>718</v>
      </c>
      <c r="CV770" s="36" t="s">
        <v>444</v>
      </c>
      <c r="CZ770" s="71"/>
    </row>
    <row r="771" spans="1:104">
      <c r="A771" s="31" t="s">
        <v>1234</v>
      </c>
      <c r="B771" s="31" t="s">
        <v>183</v>
      </c>
      <c r="C771" s="70"/>
      <c r="E771" s="31">
        <v>3</v>
      </c>
      <c r="G771" s="31" t="s">
        <v>606</v>
      </c>
      <c r="I771" s="31" t="s">
        <v>224</v>
      </c>
      <c r="N771" s="31">
        <v>0</v>
      </c>
      <c r="O771" s="31">
        <v>0</v>
      </c>
      <c r="Q771" s="31">
        <v>10</v>
      </c>
      <c r="W771" s="31" t="s">
        <v>184</v>
      </c>
      <c r="CE771" s="35" t="s">
        <v>1037</v>
      </c>
      <c r="CG771" s="31" t="s">
        <v>718</v>
      </c>
      <c r="CV771" s="36" t="s">
        <v>444</v>
      </c>
      <c r="CZ771" s="71"/>
    </row>
    <row r="772" spans="1:104">
      <c r="A772" s="31" t="s">
        <v>1235</v>
      </c>
      <c r="B772" s="31" t="s">
        <v>183</v>
      </c>
      <c r="C772" s="70"/>
      <c r="E772" s="31">
        <v>5</v>
      </c>
      <c r="G772" s="31" t="s">
        <v>606</v>
      </c>
      <c r="I772" s="31" t="s">
        <v>224</v>
      </c>
      <c r="N772" s="31">
        <v>0</v>
      </c>
      <c r="O772" s="31">
        <v>0</v>
      </c>
      <c r="Q772" s="31">
        <v>10</v>
      </c>
      <c r="W772" s="31" t="s">
        <v>184</v>
      </c>
      <c r="CE772" s="35" t="s">
        <v>1037</v>
      </c>
      <c r="CG772" s="31" t="s">
        <v>718</v>
      </c>
      <c r="CV772" s="36" t="s">
        <v>444</v>
      </c>
      <c r="CZ772" s="71"/>
    </row>
    <row r="773" spans="1:104">
      <c r="A773" s="31" t="s">
        <v>1236</v>
      </c>
      <c r="B773" s="31" t="s">
        <v>183</v>
      </c>
      <c r="C773" s="70"/>
      <c r="E773" s="31">
        <v>8</v>
      </c>
      <c r="G773" s="31" t="s">
        <v>606</v>
      </c>
      <c r="I773" s="31" t="s">
        <v>224</v>
      </c>
      <c r="N773" s="31">
        <v>0</v>
      </c>
      <c r="O773" s="31">
        <v>0</v>
      </c>
      <c r="Q773" s="31">
        <v>10</v>
      </c>
      <c r="W773" s="31" t="s">
        <v>184</v>
      </c>
      <c r="CE773" s="35" t="s">
        <v>1037</v>
      </c>
      <c r="CG773" s="31" t="s">
        <v>718</v>
      </c>
      <c r="CV773" s="36" t="s">
        <v>444</v>
      </c>
      <c r="CZ773" s="71"/>
    </row>
    <row r="774" spans="1:104">
      <c r="A774" s="31" t="s">
        <v>1237</v>
      </c>
      <c r="B774" s="31" t="s">
        <v>183</v>
      </c>
      <c r="C774" s="70"/>
      <c r="E774" s="31">
        <v>3</v>
      </c>
      <c r="G774" s="31" t="s">
        <v>606</v>
      </c>
      <c r="I774" s="31" t="s">
        <v>222</v>
      </c>
      <c r="N774" s="31">
        <v>0</v>
      </c>
      <c r="O774" s="31">
        <v>0</v>
      </c>
      <c r="Q774" s="31">
        <v>10</v>
      </c>
      <c r="W774" s="31" t="s">
        <v>184</v>
      </c>
      <c r="CE774" s="35" t="s">
        <v>1037</v>
      </c>
      <c r="CG774" s="31" t="s">
        <v>718</v>
      </c>
      <c r="CV774" s="36" t="s">
        <v>444</v>
      </c>
      <c r="CZ774" s="71"/>
    </row>
    <row r="775" spans="1:104">
      <c r="A775" s="31" t="s">
        <v>1238</v>
      </c>
      <c r="B775" s="31" t="s">
        <v>183</v>
      </c>
      <c r="C775" s="70"/>
      <c r="E775" s="31">
        <v>5</v>
      </c>
      <c r="G775" s="31" t="s">
        <v>606</v>
      </c>
      <c r="I775" s="31" t="s">
        <v>222</v>
      </c>
      <c r="N775" s="31">
        <v>0</v>
      </c>
      <c r="O775" s="31">
        <v>0</v>
      </c>
      <c r="Q775" s="31">
        <v>10</v>
      </c>
      <c r="W775" s="31" t="s">
        <v>184</v>
      </c>
      <c r="CE775" s="35" t="s">
        <v>1037</v>
      </c>
      <c r="CG775" s="31" t="s">
        <v>718</v>
      </c>
      <c r="CV775" s="36" t="s">
        <v>444</v>
      </c>
      <c r="CZ775" s="71"/>
    </row>
    <row r="776" spans="1:104">
      <c r="A776" s="31" t="s">
        <v>1239</v>
      </c>
      <c r="B776" s="31" t="s">
        <v>183</v>
      </c>
      <c r="C776" s="70"/>
      <c r="E776" s="31">
        <v>8</v>
      </c>
      <c r="G776" s="31" t="s">
        <v>606</v>
      </c>
      <c r="I776" s="31" t="s">
        <v>222</v>
      </c>
      <c r="N776" s="31">
        <v>0</v>
      </c>
      <c r="O776" s="31">
        <v>0</v>
      </c>
      <c r="Q776" s="31">
        <v>10</v>
      </c>
      <c r="W776" s="31" t="s">
        <v>184</v>
      </c>
      <c r="CE776" s="35" t="s">
        <v>1037</v>
      </c>
      <c r="CG776" s="31" t="s">
        <v>718</v>
      </c>
      <c r="CV776" s="36" t="s">
        <v>444</v>
      </c>
      <c r="CZ776" s="71"/>
    </row>
    <row r="777" spans="1:104">
      <c r="A777" s="31" t="s">
        <v>237</v>
      </c>
      <c r="B777" s="31" t="s">
        <v>98</v>
      </c>
      <c r="C777" s="70"/>
      <c r="E777" s="31">
        <v>5</v>
      </c>
      <c r="G777" s="31" t="s">
        <v>607</v>
      </c>
      <c r="N777" s="31">
        <v>0</v>
      </c>
      <c r="O777" s="31">
        <v>0</v>
      </c>
      <c r="Q777" s="31">
        <v>10</v>
      </c>
      <c r="W777" s="31" t="s">
        <v>100</v>
      </c>
      <c r="CE777" s="35" t="s">
        <v>1037</v>
      </c>
      <c r="CG777" s="31" t="s">
        <v>718</v>
      </c>
      <c r="CV777" s="36" t="s">
        <v>437</v>
      </c>
      <c r="CZ777" s="71"/>
    </row>
    <row r="778" spans="1:104">
      <c r="A778" s="31" t="s">
        <v>238</v>
      </c>
      <c r="B778" s="31" t="s">
        <v>98</v>
      </c>
      <c r="C778" s="70"/>
      <c r="E778" s="31">
        <v>7</v>
      </c>
      <c r="G778" s="31" t="s">
        <v>607</v>
      </c>
      <c r="N778" s="31">
        <v>0</v>
      </c>
      <c r="O778" s="31">
        <v>0</v>
      </c>
      <c r="Q778" s="31">
        <v>10</v>
      </c>
      <c r="W778" s="31" t="s">
        <v>100</v>
      </c>
      <c r="CE778" s="35" t="s">
        <v>1037</v>
      </c>
      <c r="CG778" s="31" t="s">
        <v>718</v>
      </c>
      <c r="CV778" s="36" t="s">
        <v>437</v>
      </c>
      <c r="CZ778" s="71"/>
    </row>
    <row r="779" spans="1:104">
      <c r="A779" s="31" t="s">
        <v>239</v>
      </c>
      <c r="B779" s="31" t="s">
        <v>98</v>
      </c>
      <c r="C779" s="70"/>
      <c r="E779" s="31">
        <v>7</v>
      </c>
      <c r="G779" s="31" t="s">
        <v>607</v>
      </c>
      <c r="J779" s="31">
        <v>4</v>
      </c>
      <c r="K779" s="31">
        <v>2</v>
      </c>
      <c r="N779" s="31">
        <v>0</v>
      </c>
      <c r="O779" s="31">
        <v>0</v>
      </c>
      <c r="Q779" s="31">
        <v>10</v>
      </c>
      <c r="W779" s="31" t="s">
        <v>100</v>
      </c>
      <c r="CE779" s="35" t="s">
        <v>1037</v>
      </c>
      <c r="CG779" s="31" t="s">
        <v>718</v>
      </c>
      <c r="CV779" s="36" t="s">
        <v>437</v>
      </c>
      <c r="CZ779" s="71"/>
    </row>
    <row r="780" spans="1:104">
      <c r="A780" s="31" t="s">
        <v>240</v>
      </c>
      <c r="B780" s="31" t="s">
        <v>98</v>
      </c>
      <c r="C780" s="70"/>
      <c r="E780" s="31">
        <v>8</v>
      </c>
      <c r="G780" s="31" t="s">
        <v>607</v>
      </c>
      <c r="J780" s="31">
        <v>4</v>
      </c>
      <c r="K780" s="31">
        <v>2</v>
      </c>
      <c r="N780" s="31">
        <v>0</v>
      </c>
      <c r="O780" s="31">
        <v>0</v>
      </c>
      <c r="Q780" s="31">
        <v>10</v>
      </c>
      <c r="W780" s="31" t="s">
        <v>100</v>
      </c>
      <c r="CE780" s="35" t="s">
        <v>1037</v>
      </c>
      <c r="CG780" s="31" t="s">
        <v>718</v>
      </c>
      <c r="CV780" s="36" t="s">
        <v>437</v>
      </c>
      <c r="CZ780" s="71"/>
    </row>
    <row r="781" spans="1:104">
      <c r="A781" s="31" t="s">
        <v>241</v>
      </c>
      <c r="B781" s="31" t="s">
        <v>98</v>
      </c>
      <c r="C781" s="70"/>
      <c r="E781" s="31">
        <v>5</v>
      </c>
      <c r="G781" s="31" t="s">
        <v>607</v>
      </c>
      <c r="J781" s="31">
        <v>4</v>
      </c>
      <c r="K781" s="31">
        <v>2</v>
      </c>
      <c r="N781" s="31">
        <v>0</v>
      </c>
      <c r="O781" s="31">
        <v>0</v>
      </c>
      <c r="Q781" s="31">
        <v>10</v>
      </c>
      <c r="W781" s="31" t="s">
        <v>100</v>
      </c>
      <c r="CE781" s="35" t="s">
        <v>1037</v>
      </c>
      <c r="CG781" s="31" t="s">
        <v>718</v>
      </c>
      <c r="CV781" s="36" t="s">
        <v>437</v>
      </c>
      <c r="CZ781" s="71"/>
    </row>
    <row r="782" spans="1:104">
      <c r="A782" s="31" t="s">
        <v>242</v>
      </c>
      <c r="B782" s="31" t="s">
        <v>129</v>
      </c>
      <c r="C782" s="70"/>
      <c r="E782" s="31">
        <v>3</v>
      </c>
      <c r="G782" s="31" t="s">
        <v>607</v>
      </c>
      <c r="N782" s="31">
        <v>0</v>
      </c>
      <c r="O782" s="31">
        <v>0</v>
      </c>
      <c r="Q782" s="31">
        <v>10</v>
      </c>
      <c r="W782" s="31" t="s">
        <v>130</v>
      </c>
      <c r="CE782" s="35" t="s">
        <v>1037</v>
      </c>
      <c r="CG782" s="31" t="s">
        <v>718</v>
      </c>
      <c r="CV782" s="36" t="s">
        <v>705</v>
      </c>
      <c r="CZ782" s="71"/>
    </row>
    <row r="783" spans="1:104">
      <c r="A783" s="31" t="s">
        <v>243</v>
      </c>
      <c r="B783" s="31" t="s">
        <v>129</v>
      </c>
      <c r="C783" s="70"/>
      <c r="E783" s="31">
        <v>3</v>
      </c>
      <c r="G783" s="31" t="s">
        <v>607</v>
      </c>
      <c r="N783" s="31">
        <v>0</v>
      </c>
      <c r="O783" s="31">
        <v>0</v>
      </c>
      <c r="Q783" s="31">
        <v>10</v>
      </c>
      <c r="W783" s="31" t="s">
        <v>130</v>
      </c>
      <c r="CE783" s="35" t="s">
        <v>1037</v>
      </c>
      <c r="CG783" s="31" t="s">
        <v>718</v>
      </c>
      <c r="CV783" s="36" t="s">
        <v>705</v>
      </c>
      <c r="CZ783" s="71"/>
    </row>
    <row r="784" spans="1:104">
      <c r="A784" s="31" t="s">
        <v>244</v>
      </c>
      <c r="B784" s="31" t="s">
        <v>129</v>
      </c>
      <c r="C784" s="70"/>
      <c r="E784" s="31">
        <v>4</v>
      </c>
      <c r="G784" s="31" t="s">
        <v>607</v>
      </c>
      <c r="N784" s="31">
        <v>0</v>
      </c>
      <c r="O784" s="31">
        <v>0</v>
      </c>
      <c r="Q784" s="31">
        <v>10</v>
      </c>
      <c r="W784" s="31" t="s">
        <v>130</v>
      </c>
      <c r="CE784" s="35" t="s">
        <v>1037</v>
      </c>
      <c r="CG784" s="31" t="s">
        <v>718</v>
      </c>
      <c r="CV784" s="36" t="s">
        <v>439</v>
      </c>
      <c r="CZ784" s="71"/>
    </row>
    <row r="785" spans="1:104">
      <c r="A785" s="31" t="s">
        <v>245</v>
      </c>
      <c r="B785" s="31" t="s">
        <v>129</v>
      </c>
      <c r="C785" s="70"/>
      <c r="E785" s="31">
        <v>5</v>
      </c>
      <c r="G785" s="31" t="s">
        <v>607</v>
      </c>
      <c r="N785" s="31">
        <v>0</v>
      </c>
      <c r="O785" s="31">
        <v>0</v>
      </c>
      <c r="Q785" s="31">
        <v>10</v>
      </c>
      <c r="W785" s="31" t="s">
        <v>130</v>
      </c>
      <c r="CE785" s="35" t="s">
        <v>1037</v>
      </c>
      <c r="CG785" s="31" t="s">
        <v>718</v>
      </c>
      <c r="CV785" s="36" t="s">
        <v>439</v>
      </c>
      <c r="CZ785" s="71"/>
    </row>
    <row r="786" spans="1:104">
      <c r="A786" s="31" t="s">
        <v>246</v>
      </c>
      <c r="B786" s="31" t="s">
        <v>129</v>
      </c>
      <c r="C786" s="70"/>
      <c r="E786" s="31">
        <v>7</v>
      </c>
      <c r="G786" s="31" t="s">
        <v>607</v>
      </c>
      <c r="N786" s="31">
        <v>0</v>
      </c>
      <c r="O786" s="31">
        <v>0</v>
      </c>
      <c r="Q786" s="31">
        <v>10</v>
      </c>
      <c r="W786" s="31" t="s">
        <v>130</v>
      </c>
      <c r="CD786" s="35" t="s">
        <v>1069</v>
      </c>
      <c r="CE786" s="35" t="s">
        <v>1037</v>
      </c>
      <c r="CG786" s="31" t="s">
        <v>718</v>
      </c>
      <c r="CV786" s="36" t="s">
        <v>439</v>
      </c>
      <c r="CZ786" s="71"/>
    </row>
    <row r="787" spans="1:104">
      <c r="A787" s="31" t="s">
        <v>247</v>
      </c>
      <c r="B787" s="31" t="s">
        <v>129</v>
      </c>
      <c r="C787" s="70"/>
      <c r="E787" s="31">
        <v>8</v>
      </c>
      <c r="G787" s="31" t="s">
        <v>607</v>
      </c>
      <c r="N787" s="31">
        <v>0</v>
      </c>
      <c r="O787" s="31">
        <v>0</v>
      </c>
      <c r="Q787" s="31">
        <v>10</v>
      </c>
      <c r="W787" s="31" t="s">
        <v>130</v>
      </c>
      <c r="CD787" s="35" t="s">
        <v>1059</v>
      </c>
      <c r="CE787" s="35" t="s">
        <v>1037</v>
      </c>
      <c r="CG787" s="31" t="s">
        <v>718</v>
      </c>
      <c r="CV787" s="36" t="s">
        <v>439</v>
      </c>
      <c r="CZ787" s="71"/>
    </row>
    <row r="788" spans="1:104">
      <c r="A788" s="31" t="s">
        <v>248</v>
      </c>
      <c r="B788" s="31" t="s">
        <v>129</v>
      </c>
      <c r="C788" s="70"/>
      <c r="E788" s="31">
        <v>6</v>
      </c>
      <c r="G788" s="31" t="s">
        <v>607</v>
      </c>
      <c r="N788" s="31">
        <v>0</v>
      </c>
      <c r="O788" s="31">
        <v>0</v>
      </c>
      <c r="Q788" s="31">
        <v>10</v>
      </c>
      <c r="W788" s="31" t="s">
        <v>130</v>
      </c>
      <c r="CE788" s="35" t="s">
        <v>1037</v>
      </c>
      <c r="CG788" s="31" t="s">
        <v>718</v>
      </c>
      <c r="CV788" s="36" t="s">
        <v>439</v>
      </c>
      <c r="CZ788" s="71"/>
    </row>
    <row r="789" spans="1:104">
      <c r="A789" s="31" t="s">
        <v>249</v>
      </c>
      <c r="B789" s="31" t="s">
        <v>129</v>
      </c>
      <c r="C789" s="70"/>
      <c r="E789" s="31">
        <v>6</v>
      </c>
      <c r="G789" s="31" t="s">
        <v>607</v>
      </c>
      <c r="J789" s="31">
        <v>5</v>
      </c>
      <c r="K789" s="31">
        <v>1</v>
      </c>
      <c r="N789" s="31">
        <v>0</v>
      </c>
      <c r="O789" s="31">
        <v>0</v>
      </c>
      <c r="Q789" s="31">
        <v>10</v>
      </c>
      <c r="W789" s="31" t="s">
        <v>130</v>
      </c>
      <c r="CE789" s="35" t="s">
        <v>1037</v>
      </c>
      <c r="CG789" s="31" t="s">
        <v>718</v>
      </c>
      <c r="CV789" s="36" t="s">
        <v>439</v>
      </c>
      <c r="CZ789" s="71"/>
    </row>
    <row r="790" spans="1:104">
      <c r="A790" s="31" t="s">
        <v>250</v>
      </c>
      <c r="B790" s="31" t="s">
        <v>193</v>
      </c>
      <c r="C790" s="70"/>
      <c r="E790" s="31">
        <v>3</v>
      </c>
      <c r="L790" s="31">
        <v>-20</v>
      </c>
      <c r="N790" s="31">
        <v>0</v>
      </c>
      <c r="O790" s="31">
        <v>0</v>
      </c>
      <c r="P790" s="31">
        <v>7</v>
      </c>
      <c r="Q790" s="31">
        <v>10</v>
      </c>
      <c r="W790" s="31" t="s">
        <v>194</v>
      </c>
      <c r="CE790" s="35" t="s">
        <v>1037</v>
      </c>
      <c r="CG790" s="31" t="s">
        <v>718</v>
      </c>
      <c r="CV790" s="36" t="s">
        <v>445</v>
      </c>
      <c r="CZ790" s="71"/>
    </row>
    <row r="791" spans="1:104">
      <c r="A791" s="31" t="s">
        <v>251</v>
      </c>
      <c r="B791" s="31" t="s">
        <v>193</v>
      </c>
      <c r="C791" s="70"/>
      <c r="E791" s="31">
        <v>4</v>
      </c>
      <c r="L791" s="31">
        <v>-10</v>
      </c>
      <c r="N791" s="31">
        <v>0</v>
      </c>
      <c r="O791" s="31">
        <v>0</v>
      </c>
      <c r="P791" s="31">
        <v>7</v>
      </c>
      <c r="Q791" s="31">
        <v>10</v>
      </c>
      <c r="W791" s="31" t="s">
        <v>194</v>
      </c>
      <c r="CE791" s="35" t="s">
        <v>1037</v>
      </c>
      <c r="CG791" s="31" t="s">
        <v>718</v>
      </c>
      <c r="CV791" s="36" t="s">
        <v>445</v>
      </c>
      <c r="CZ791" s="71"/>
    </row>
    <row r="792" spans="1:104">
      <c r="A792" s="31" t="s">
        <v>252</v>
      </c>
      <c r="B792" s="31" t="s">
        <v>193</v>
      </c>
      <c r="C792" s="70"/>
      <c r="E792" s="31">
        <v>5</v>
      </c>
      <c r="L792" s="31">
        <v>-10</v>
      </c>
      <c r="N792" s="31">
        <v>0</v>
      </c>
      <c r="O792" s="31">
        <v>0</v>
      </c>
      <c r="P792" s="31">
        <v>7</v>
      </c>
      <c r="Q792" s="31">
        <v>10</v>
      </c>
      <c r="W792" s="31" t="s">
        <v>194</v>
      </c>
      <c r="CE792" s="35" t="s">
        <v>1037</v>
      </c>
      <c r="CG792" s="31" t="s">
        <v>718</v>
      </c>
      <c r="CV792" s="36" t="s">
        <v>445</v>
      </c>
      <c r="CZ792" s="71"/>
    </row>
    <row r="793" spans="1:104">
      <c r="A793" s="31" t="s">
        <v>253</v>
      </c>
      <c r="B793" s="31" t="s">
        <v>193</v>
      </c>
      <c r="C793" s="70"/>
      <c r="E793" s="31">
        <v>7</v>
      </c>
      <c r="N793" s="31">
        <v>0</v>
      </c>
      <c r="O793" s="31">
        <v>0</v>
      </c>
      <c r="P793" s="31">
        <v>7</v>
      </c>
      <c r="Q793" s="31">
        <v>10</v>
      </c>
      <c r="W793" s="31" t="s">
        <v>194</v>
      </c>
      <c r="CE793" s="35" t="s">
        <v>1037</v>
      </c>
      <c r="CG793" s="31" t="s">
        <v>718</v>
      </c>
      <c r="CV793" s="36" t="s">
        <v>445</v>
      </c>
      <c r="CZ793" s="71"/>
    </row>
    <row r="794" spans="1:104">
      <c r="A794" s="31" t="s">
        <v>254</v>
      </c>
      <c r="B794" s="31" t="s">
        <v>193</v>
      </c>
      <c r="C794" s="70"/>
      <c r="E794" s="31">
        <v>8</v>
      </c>
      <c r="N794" s="31">
        <v>0</v>
      </c>
      <c r="O794" s="31">
        <v>0</v>
      </c>
      <c r="P794" s="31">
        <v>7</v>
      </c>
      <c r="Q794" s="31">
        <v>10</v>
      </c>
      <c r="W794" s="31" t="s">
        <v>194</v>
      </c>
      <c r="CE794" s="35" t="s">
        <v>1037</v>
      </c>
      <c r="CG794" s="31" t="s">
        <v>718</v>
      </c>
      <c r="CV794" s="36" t="s">
        <v>445</v>
      </c>
      <c r="CZ794" s="71"/>
    </row>
    <row r="795" spans="1:104">
      <c r="A795" s="31" t="s">
        <v>332</v>
      </c>
      <c r="B795" s="31" t="s">
        <v>77</v>
      </c>
      <c r="E795" s="31">
        <v>3</v>
      </c>
      <c r="G795" s="31" t="s">
        <v>607</v>
      </c>
      <c r="H795" s="31">
        <v>3</v>
      </c>
      <c r="L795" s="31">
        <v>-20</v>
      </c>
      <c r="N795" s="31">
        <v>0</v>
      </c>
      <c r="O795" s="31">
        <v>0</v>
      </c>
      <c r="Q795" s="31">
        <v>10</v>
      </c>
      <c r="W795" s="31" t="s">
        <v>79</v>
      </c>
      <c r="CD795" s="35" t="s">
        <v>1070</v>
      </c>
      <c r="CE795" s="35" t="s">
        <v>1037</v>
      </c>
      <c r="CG795" s="31" t="s">
        <v>718</v>
      </c>
      <c r="CV795" s="36" t="s">
        <v>436</v>
      </c>
      <c r="CZ795" s="71"/>
    </row>
    <row r="796" spans="1:104">
      <c r="A796" s="31" t="s">
        <v>333</v>
      </c>
      <c r="B796" s="31" t="s">
        <v>77</v>
      </c>
      <c r="C796" s="70"/>
      <c r="E796" s="31">
        <v>4</v>
      </c>
      <c r="G796" s="31" t="s">
        <v>607</v>
      </c>
      <c r="H796" s="31">
        <v>3</v>
      </c>
      <c r="L796" s="31">
        <v>-10</v>
      </c>
      <c r="N796" s="31">
        <v>0</v>
      </c>
      <c r="O796" s="31">
        <v>0</v>
      </c>
      <c r="Q796" s="31">
        <v>10</v>
      </c>
      <c r="W796" s="31" t="s">
        <v>79</v>
      </c>
      <c r="CD796" s="35" t="s">
        <v>1070</v>
      </c>
      <c r="CE796" s="35" t="s">
        <v>1037</v>
      </c>
      <c r="CG796" s="31" t="s">
        <v>718</v>
      </c>
      <c r="CV796" s="36" t="s">
        <v>436</v>
      </c>
      <c r="CZ796" s="71"/>
    </row>
    <row r="797" spans="1:104">
      <c r="A797" s="31" t="s">
        <v>334</v>
      </c>
      <c r="B797" s="31" t="s">
        <v>77</v>
      </c>
      <c r="C797" s="70"/>
      <c r="E797" s="31">
        <v>5</v>
      </c>
      <c r="G797" s="31" t="s">
        <v>607</v>
      </c>
      <c r="H797" s="31">
        <v>3</v>
      </c>
      <c r="L797" s="31">
        <v>-10</v>
      </c>
      <c r="N797" s="31">
        <v>0</v>
      </c>
      <c r="O797" s="31">
        <v>0</v>
      </c>
      <c r="Q797" s="31">
        <v>10</v>
      </c>
      <c r="W797" s="31" t="s">
        <v>79</v>
      </c>
      <c r="CD797" s="35" t="s">
        <v>1070</v>
      </c>
      <c r="CE797" s="35" t="s">
        <v>1037</v>
      </c>
      <c r="CG797" s="31" t="s">
        <v>718</v>
      </c>
      <c r="CV797" s="36" t="s">
        <v>436</v>
      </c>
      <c r="CZ797" s="71"/>
    </row>
    <row r="798" spans="1:104">
      <c r="A798" s="72" t="s">
        <v>335</v>
      </c>
      <c r="B798" s="31" t="s">
        <v>77</v>
      </c>
      <c r="C798" s="70"/>
      <c r="E798" s="31">
        <v>7</v>
      </c>
      <c r="G798" s="31" t="s">
        <v>607</v>
      </c>
      <c r="H798" s="31">
        <v>3</v>
      </c>
      <c r="N798" s="31">
        <v>0</v>
      </c>
      <c r="O798" s="31">
        <v>0</v>
      </c>
      <c r="Q798" s="31">
        <v>10</v>
      </c>
      <c r="W798" s="31" t="s">
        <v>79</v>
      </c>
      <c r="CD798" s="35" t="s">
        <v>1070</v>
      </c>
      <c r="CE798" s="35" t="s">
        <v>1037</v>
      </c>
      <c r="CG798" s="31" t="s">
        <v>718</v>
      </c>
      <c r="CV798" s="36" t="s">
        <v>436</v>
      </c>
      <c r="CZ798" s="71"/>
    </row>
    <row r="799" spans="1:104">
      <c r="A799" s="72" t="s">
        <v>336</v>
      </c>
      <c r="B799" s="31" t="s">
        <v>77</v>
      </c>
      <c r="C799" s="70"/>
      <c r="E799" s="31">
        <v>8</v>
      </c>
      <c r="G799" s="31" t="s">
        <v>607</v>
      </c>
      <c r="H799" s="31">
        <v>3</v>
      </c>
      <c r="N799" s="31">
        <v>0</v>
      </c>
      <c r="O799" s="31">
        <v>0</v>
      </c>
      <c r="Q799" s="31">
        <v>10</v>
      </c>
      <c r="W799" s="31" t="s">
        <v>79</v>
      </c>
      <c r="CD799" s="35" t="s">
        <v>1070</v>
      </c>
      <c r="CE799" s="35" t="s">
        <v>1037</v>
      </c>
      <c r="CG799" s="31" t="s">
        <v>718</v>
      </c>
      <c r="CV799" s="36" t="s">
        <v>436</v>
      </c>
      <c r="CZ799" s="71"/>
    </row>
    <row r="800" spans="1:104">
      <c r="A800" s="72" t="s">
        <v>255</v>
      </c>
      <c r="B800" s="31" t="s">
        <v>165</v>
      </c>
      <c r="C800" s="70"/>
      <c r="E800" s="31">
        <v>3</v>
      </c>
      <c r="G800" s="31" t="s">
        <v>606</v>
      </c>
      <c r="N800" s="31">
        <v>0</v>
      </c>
      <c r="O800" s="31">
        <v>0</v>
      </c>
      <c r="Q800" s="31">
        <v>10</v>
      </c>
      <c r="W800" s="31" t="s">
        <v>100</v>
      </c>
      <c r="X800" s="31" t="s">
        <v>1403</v>
      </c>
      <c r="CE800" s="35" t="s">
        <v>1037</v>
      </c>
      <c r="CG800" s="31" t="s">
        <v>718</v>
      </c>
      <c r="CV800" s="49" t="s">
        <v>442</v>
      </c>
      <c r="CZ800" s="71"/>
    </row>
    <row r="801" spans="1:104">
      <c r="A801" s="72" t="s">
        <v>256</v>
      </c>
      <c r="B801" s="31" t="s">
        <v>149</v>
      </c>
      <c r="C801" s="70"/>
      <c r="E801" s="31">
        <v>8</v>
      </c>
      <c r="G801" s="31" t="s">
        <v>606</v>
      </c>
      <c r="N801" s="31">
        <v>0</v>
      </c>
      <c r="O801" s="31">
        <v>0</v>
      </c>
      <c r="Q801" s="31">
        <v>10</v>
      </c>
      <c r="W801" s="31" t="s">
        <v>118</v>
      </c>
      <c r="X801" s="31" t="s">
        <v>31</v>
      </c>
      <c r="CD801" s="35" t="s">
        <v>716</v>
      </c>
      <c r="CE801" s="35" t="s">
        <v>1037</v>
      </c>
      <c r="CG801" s="31" t="s">
        <v>718</v>
      </c>
      <c r="CV801" s="36" t="s">
        <v>156</v>
      </c>
      <c r="CZ801" s="71"/>
    </row>
    <row r="802" spans="1:104">
      <c r="A802" s="72" t="s">
        <v>257</v>
      </c>
      <c r="B802" s="31" t="s">
        <v>77</v>
      </c>
      <c r="C802" s="70"/>
      <c r="E802" s="31">
        <v>11</v>
      </c>
      <c r="N802" s="31">
        <v>0</v>
      </c>
      <c r="O802" s="31">
        <v>0</v>
      </c>
      <c r="Q802" s="31">
        <v>10</v>
      </c>
      <c r="W802" s="31" t="s">
        <v>75</v>
      </c>
      <c r="CE802" s="35" t="s">
        <v>1037</v>
      </c>
      <c r="CG802" s="31" t="s">
        <v>718</v>
      </c>
      <c r="CV802" s="36" t="s">
        <v>217</v>
      </c>
      <c r="CZ802" s="71"/>
    </row>
    <row r="803" spans="1:104">
      <c r="A803" s="72" t="s">
        <v>258</v>
      </c>
      <c r="B803" s="31" t="s">
        <v>129</v>
      </c>
      <c r="C803" s="70"/>
      <c r="E803" s="31">
        <v>5</v>
      </c>
      <c r="N803" s="31">
        <v>0</v>
      </c>
      <c r="O803" s="31">
        <v>0</v>
      </c>
      <c r="Q803" s="31">
        <v>10</v>
      </c>
      <c r="W803" s="31" t="s">
        <v>75</v>
      </c>
      <c r="CE803" s="35" t="s">
        <v>1037</v>
      </c>
      <c r="CG803" s="31" t="s">
        <v>718</v>
      </c>
      <c r="CV803" s="36" t="s">
        <v>217</v>
      </c>
      <c r="CZ803" s="71"/>
    </row>
    <row r="804" spans="1:104">
      <c r="A804" s="72" t="s">
        <v>849</v>
      </c>
      <c r="B804" s="31" t="s">
        <v>165</v>
      </c>
      <c r="C804" s="70"/>
      <c r="E804" s="31">
        <v>7</v>
      </c>
      <c r="G804" s="31" t="s">
        <v>606</v>
      </c>
      <c r="H804" s="31">
        <v>5</v>
      </c>
      <c r="I804" s="31" t="s">
        <v>74</v>
      </c>
      <c r="J804" s="31">
        <v>7</v>
      </c>
      <c r="L804" s="31">
        <v>-30</v>
      </c>
      <c r="N804" s="31">
        <v>0</v>
      </c>
      <c r="O804" s="31">
        <v>0</v>
      </c>
      <c r="Q804" s="31">
        <v>10</v>
      </c>
      <c r="W804" s="31" t="s">
        <v>100</v>
      </c>
      <c r="X804" s="31" t="s">
        <v>31</v>
      </c>
      <c r="CD804" s="35" t="s">
        <v>850</v>
      </c>
      <c r="CE804" s="35" t="s">
        <v>1037</v>
      </c>
      <c r="CF804" s="35" t="s">
        <v>1283</v>
      </c>
      <c r="CG804" s="31" t="s">
        <v>718</v>
      </c>
      <c r="CV804" s="36" t="s">
        <v>217</v>
      </c>
      <c r="CZ804" s="71"/>
    </row>
    <row r="805" spans="1:104">
      <c r="A805" s="72" t="s">
        <v>259</v>
      </c>
      <c r="B805" s="31" t="s">
        <v>165</v>
      </c>
      <c r="C805" s="70"/>
      <c r="E805" s="31">
        <v>9</v>
      </c>
      <c r="G805" s="31" t="s">
        <v>606</v>
      </c>
      <c r="H805" s="31">
        <v>6</v>
      </c>
      <c r="I805" s="31" t="s">
        <v>74</v>
      </c>
      <c r="J805" s="31">
        <v>6</v>
      </c>
      <c r="K805" s="31">
        <v>2</v>
      </c>
      <c r="L805" s="31">
        <v>-30</v>
      </c>
      <c r="N805" s="31">
        <v>0</v>
      </c>
      <c r="O805" s="31">
        <v>0</v>
      </c>
      <c r="Q805" s="31">
        <v>10</v>
      </c>
      <c r="W805" s="31" t="s">
        <v>100</v>
      </c>
      <c r="X805" s="31" t="s">
        <v>31</v>
      </c>
      <c r="CD805" s="35" t="s">
        <v>850</v>
      </c>
      <c r="CE805" s="35" t="s">
        <v>1037</v>
      </c>
      <c r="CF805" s="35" t="s">
        <v>1283</v>
      </c>
      <c r="CG805" s="31" t="s">
        <v>718</v>
      </c>
      <c r="CV805" s="36" t="s">
        <v>217</v>
      </c>
      <c r="CZ805" s="71"/>
    </row>
    <row r="806" spans="1:104">
      <c r="A806" s="72" t="s">
        <v>452</v>
      </c>
      <c r="B806" s="31" t="s">
        <v>98</v>
      </c>
      <c r="C806" s="70"/>
      <c r="E806" s="31">
        <v>4</v>
      </c>
      <c r="I806" s="31" t="s">
        <v>74</v>
      </c>
      <c r="L806" s="31">
        <v>-30</v>
      </c>
      <c r="N806" s="31">
        <v>0</v>
      </c>
      <c r="O806" s="31">
        <v>0</v>
      </c>
      <c r="Q806" s="31">
        <v>10</v>
      </c>
      <c r="W806" s="31" t="s">
        <v>75</v>
      </c>
      <c r="CD806" s="35" t="s">
        <v>220</v>
      </c>
      <c r="CE806" s="35" t="s">
        <v>1037</v>
      </c>
      <c r="CF806" s="35" t="s">
        <v>1283</v>
      </c>
      <c r="CG806" s="31" t="s">
        <v>718</v>
      </c>
      <c r="CV806" s="36" t="s">
        <v>217</v>
      </c>
      <c r="CZ806" s="71"/>
    </row>
    <row r="807" spans="1:104">
      <c r="A807" s="72" t="s">
        <v>904</v>
      </c>
      <c r="B807" s="31" t="s">
        <v>173</v>
      </c>
      <c r="C807" s="70"/>
      <c r="E807" s="31">
        <v>6</v>
      </c>
      <c r="G807" s="31" t="s">
        <v>606</v>
      </c>
      <c r="H807" s="31">
        <v>4</v>
      </c>
      <c r="I807" s="31" t="s">
        <v>78</v>
      </c>
      <c r="N807" s="31">
        <v>0</v>
      </c>
      <c r="O807" s="31">
        <v>0</v>
      </c>
      <c r="Q807" s="31">
        <v>10</v>
      </c>
      <c r="W807" s="31" t="s">
        <v>174</v>
      </c>
      <c r="CD807" s="35" t="s">
        <v>220</v>
      </c>
      <c r="CE807" s="35" t="s">
        <v>1037</v>
      </c>
      <c r="CF807" s="35" t="s">
        <v>1283</v>
      </c>
      <c r="CG807" s="31" t="s">
        <v>718</v>
      </c>
      <c r="CV807" s="36" t="s">
        <v>443</v>
      </c>
      <c r="CZ807" s="71"/>
    </row>
    <row r="808" spans="1:104">
      <c r="A808" s="72" t="s">
        <v>897</v>
      </c>
      <c r="B808" s="31" t="s">
        <v>98</v>
      </c>
      <c r="C808" s="70"/>
      <c r="E808" s="31">
        <v>6</v>
      </c>
      <c r="G808" s="31" t="s">
        <v>607</v>
      </c>
      <c r="H808" s="31">
        <v>4</v>
      </c>
      <c r="I808" s="31" t="s">
        <v>99</v>
      </c>
      <c r="N808" s="31">
        <v>0</v>
      </c>
      <c r="O808" s="31">
        <v>0</v>
      </c>
      <c r="Q808" s="31">
        <v>10</v>
      </c>
      <c r="W808" s="31" t="s">
        <v>100</v>
      </c>
      <c r="CD808" s="35" t="s">
        <v>220</v>
      </c>
      <c r="CE808" s="35" t="s">
        <v>1037</v>
      </c>
      <c r="CF808" s="35" t="s">
        <v>1283</v>
      </c>
      <c r="CG808" s="31" t="s">
        <v>718</v>
      </c>
      <c r="CV808" s="36" t="s">
        <v>437</v>
      </c>
      <c r="CZ808" s="71"/>
    </row>
    <row r="809" spans="1:104">
      <c r="A809" s="72" t="s">
        <v>898</v>
      </c>
      <c r="B809" s="31" t="s">
        <v>149</v>
      </c>
      <c r="C809" s="70"/>
      <c r="E809" s="31">
        <v>6</v>
      </c>
      <c r="G809" s="31" t="s">
        <v>606</v>
      </c>
      <c r="H809" s="31">
        <v>4</v>
      </c>
      <c r="I809" s="31" t="s">
        <v>99</v>
      </c>
      <c r="N809" s="31">
        <v>0</v>
      </c>
      <c r="O809" s="31">
        <v>0</v>
      </c>
      <c r="Q809" s="31">
        <v>10</v>
      </c>
      <c r="U809" s="31">
        <v>-2</v>
      </c>
      <c r="W809" s="31" t="s">
        <v>118</v>
      </c>
      <c r="CD809" s="35" t="s">
        <v>903</v>
      </c>
      <c r="CE809" s="35" t="s">
        <v>1037</v>
      </c>
      <c r="CF809" s="35" t="s">
        <v>1283</v>
      </c>
      <c r="CG809" s="31" t="s">
        <v>718</v>
      </c>
      <c r="CV809" s="36" t="s">
        <v>154</v>
      </c>
      <c r="CZ809" s="71"/>
    </row>
    <row r="810" spans="1:104">
      <c r="A810" s="72" t="s">
        <v>899</v>
      </c>
      <c r="B810" s="31" t="s">
        <v>165</v>
      </c>
      <c r="C810" s="70"/>
      <c r="E810" s="31">
        <v>6</v>
      </c>
      <c r="G810" s="31" t="s">
        <v>606</v>
      </c>
      <c r="H810" s="31">
        <v>4</v>
      </c>
      <c r="I810" s="31" t="s">
        <v>99</v>
      </c>
      <c r="N810" s="31">
        <v>0</v>
      </c>
      <c r="O810" s="31">
        <v>0</v>
      </c>
      <c r="Q810" s="31">
        <v>10</v>
      </c>
      <c r="U810" s="31">
        <v>-2</v>
      </c>
      <c r="W810" s="31" t="s">
        <v>100</v>
      </c>
      <c r="CD810" s="35" t="s">
        <v>902</v>
      </c>
      <c r="CE810" s="35" t="s">
        <v>1037</v>
      </c>
      <c r="CF810" s="35" t="s">
        <v>1283</v>
      </c>
      <c r="CG810" s="31" t="s">
        <v>718</v>
      </c>
      <c r="CV810" s="49" t="s">
        <v>442</v>
      </c>
      <c r="CZ810" s="71"/>
    </row>
    <row r="811" spans="1:104">
      <c r="A811" s="72" t="s">
        <v>900</v>
      </c>
      <c r="B811" s="31" t="s">
        <v>183</v>
      </c>
      <c r="C811" s="70"/>
      <c r="E811" s="31">
        <v>6</v>
      </c>
      <c r="G811" s="31" t="s">
        <v>606</v>
      </c>
      <c r="H811" s="31">
        <v>4</v>
      </c>
      <c r="I811" s="31" t="s">
        <v>219</v>
      </c>
      <c r="N811" s="31">
        <v>0</v>
      </c>
      <c r="O811" s="31">
        <v>0</v>
      </c>
      <c r="Q811" s="31">
        <v>10</v>
      </c>
      <c r="U811" s="31">
        <v>-4</v>
      </c>
      <c r="W811" s="31" t="s">
        <v>184</v>
      </c>
      <c r="CD811" s="35" t="s">
        <v>220</v>
      </c>
      <c r="CE811" s="35" t="s">
        <v>1037</v>
      </c>
      <c r="CG811" s="31" t="s">
        <v>718</v>
      </c>
      <c r="CV811" s="36" t="s">
        <v>444</v>
      </c>
      <c r="CZ811" s="71"/>
    </row>
    <row r="812" spans="1:104">
      <c r="A812" s="72" t="s">
        <v>901</v>
      </c>
      <c r="B812" s="31" t="s">
        <v>193</v>
      </c>
      <c r="C812" s="70"/>
      <c r="E812" s="31">
        <v>6</v>
      </c>
      <c r="H812" s="31">
        <v>4</v>
      </c>
      <c r="I812" s="31" t="s">
        <v>78</v>
      </c>
      <c r="N812" s="31">
        <v>0</v>
      </c>
      <c r="O812" s="31">
        <v>0</v>
      </c>
      <c r="P812" s="31">
        <v>7</v>
      </c>
      <c r="Q812" s="31">
        <v>10</v>
      </c>
      <c r="W812" s="31" t="s">
        <v>194</v>
      </c>
      <c r="CD812" s="35" t="s">
        <v>220</v>
      </c>
      <c r="CE812" s="35" t="s">
        <v>1037</v>
      </c>
      <c r="CF812" s="35" t="s">
        <v>1283</v>
      </c>
      <c r="CG812" s="31" t="s">
        <v>718</v>
      </c>
      <c r="CV812" s="36" t="s">
        <v>445</v>
      </c>
      <c r="CZ812" s="71"/>
    </row>
    <row r="813" spans="1:104">
      <c r="A813" s="72" t="s">
        <v>1013</v>
      </c>
      <c r="B813" s="31" t="s">
        <v>193</v>
      </c>
      <c r="C813" s="70"/>
      <c r="E813" s="31">
        <v>6</v>
      </c>
      <c r="H813" s="31">
        <v>4</v>
      </c>
      <c r="I813" s="31" t="s">
        <v>78</v>
      </c>
      <c r="J813" s="31">
        <v>2</v>
      </c>
      <c r="N813" s="31">
        <v>0</v>
      </c>
      <c r="O813" s="31">
        <v>0</v>
      </c>
      <c r="P813" s="31">
        <v>7</v>
      </c>
      <c r="Q813" s="31">
        <v>10</v>
      </c>
      <c r="W813" s="31" t="s">
        <v>194</v>
      </c>
      <c r="CE813" s="35" t="s">
        <v>1037</v>
      </c>
      <c r="CF813" s="35" t="s">
        <v>1283</v>
      </c>
      <c r="CG813" s="31" t="s">
        <v>718</v>
      </c>
      <c r="CV813" s="36" t="s">
        <v>445</v>
      </c>
      <c r="CZ813" s="71"/>
    </row>
    <row r="814" spans="1:104">
      <c r="A814" s="112" t="s">
        <v>1808</v>
      </c>
      <c r="B814" s="31" t="s">
        <v>77</v>
      </c>
      <c r="C814" s="70"/>
      <c r="E814" s="31">
        <v>6</v>
      </c>
      <c r="N814" s="31">
        <v>0</v>
      </c>
      <c r="O814" s="31">
        <v>0</v>
      </c>
      <c r="Q814" s="31">
        <v>10</v>
      </c>
      <c r="W814" s="31" t="s">
        <v>75</v>
      </c>
      <c r="CE814" s="35" t="s">
        <v>1037</v>
      </c>
      <c r="CG814" s="31" t="s">
        <v>718</v>
      </c>
      <c r="CV814" s="36" t="s">
        <v>217</v>
      </c>
      <c r="CZ814" s="71"/>
    </row>
    <row r="815" spans="1:104">
      <c r="A815" s="31" t="s">
        <v>260</v>
      </c>
      <c r="B815" s="113" t="s">
        <v>129</v>
      </c>
      <c r="C815" s="70"/>
      <c r="E815" s="31">
        <v>5</v>
      </c>
      <c r="H815" s="31">
        <v>6</v>
      </c>
      <c r="I815" s="113" t="s">
        <v>99</v>
      </c>
      <c r="J815" s="31">
        <v>10</v>
      </c>
      <c r="K815" s="31">
        <v>4</v>
      </c>
      <c r="N815" s="31">
        <v>0</v>
      </c>
      <c r="O815" s="31">
        <v>0</v>
      </c>
      <c r="P815" s="31">
        <v>2</v>
      </c>
      <c r="Q815" s="31">
        <v>10</v>
      </c>
      <c r="W815" s="31" t="s">
        <v>75</v>
      </c>
      <c r="CD815" s="35" t="s">
        <v>1563</v>
      </c>
      <c r="CE815" s="35" t="s">
        <v>1037</v>
      </c>
      <c r="CG815" s="31" t="s">
        <v>718</v>
      </c>
      <c r="CV815" s="36" t="s">
        <v>217</v>
      </c>
      <c r="CZ815" s="71"/>
    </row>
    <row r="816" spans="1:104">
      <c r="A816" s="149" t="s">
        <v>261</v>
      </c>
      <c r="B816" s="113" t="s">
        <v>129</v>
      </c>
      <c r="C816" s="70"/>
      <c r="E816" s="31">
        <v>3</v>
      </c>
      <c r="H816" s="31">
        <v>3</v>
      </c>
      <c r="J816" s="31">
        <v>7</v>
      </c>
      <c r="K816" s="31">
        <v>2</v>
      </c>
      <c r="N816" s="31">
        <v>0</v>
      </c>
      <c r="O816" s="31">
        <v>0</v>
      </c>
      <c r="Q816" s="31">
        <v>10</v>
      </c>
      <c r="W816" s="31" t="s">
        <v>75</v>
      </c>
      <c r="CD816" s="35" t="s">
        <v>300</v>
      </c>
      <c r="CE816" s="35" t="s">
        <v>1037</v>
      </c>
      <c r="CG816" s="31" t="s">
        <v>718</v>
      </c>
      <c r="CV816" s="36" t="s">
        <v>217</v>
      </c>
      <c r="CZ816" s="71"/>
    </row>
    <row r="817" spans="1:104">
      <c r="A817" s="149" t="s">
        <v>470</v>
      </c>
      <c r="B817" s="113" t="s">
        <v>129</v>
      </c>
      <c r="C817" s="70"/>
      <c r="E817" s="31">
        <v>9</v>
      </c>
      <c r="J817" s="31">
        <v>3</v>
      </c>
      <c r="K817" s="31">
        <v>1</v>
      </c>
      <c r="N817" s="31">
        <v>0</v>
      </c>
      <c r="O817" s="31">
        <v>0</v>
      </c>
      <c r="Q817" s="31">
        <v>10</v>
      </c>
      <c r="W817" s="31" t="s">
        <v>75</v>
      </c>
      <c r="CD817" s="35" t="s">
        <v>1593</v>
      </c>
      <c r="CE817" s="35" t="s">
        <v>1037</v>
      </c>
      <c r="CG817" s="31" t="s">
        <v>718</v>
      </c>
      <c r="CV817" s="36" t="s">
        <v>217</v>
      </c>
      <c r="CZ817" s="71"/>
    </row>
    <row r="818" spans="1:104">
      <c r="A818" s="149" t="s">
        <v>430</v>
      </c>
      <c r="B818" s="113" t="s">
        <v>129</v>
      </c>
      <c r="C818" s="70"/>
      <c r="E818" s="31">
        <v>4</v>
      </c>
      <c r="G818" s="31" t="s">
        <v>607</v>
      </c>
      <c r="J818" s="31">
        <v>4</v>
      </c>
      <c r="K818" s="31">
        <v>2</v>
      </c>
      <c r="L818" s="31">
        <v>-10</v>
      </c>
      <c r="N818" s="31">
        <v>0</v>
      </c>
      <c r="O818" s="31">
        <v>0</v>
      </c>
      <c r="Q818" s="31">
        <v>10</v>
      </c>
      <c r="W818" s="31" t="s">
        <v>75</v>
      </c>
      <c r="CD818" s="35" t="s">
        <v>300</v>
      </c>
      <c r="CE818" s="35" t="s">
        <v>1037</v>
      </c>
      <c r="CG818" s="31" t="s">
        <v>718</v>
      </c>
      <c r="CV818" s="36" t="s">
        <v>217</v>
      </c>
      <c r="CZ818" s="71"/>
    </row>
    <row r="819" spans="1:104">
      <c r="A819" s="149" t="s">
        <v>431</v>
      </c>
      <c r="B819" s="113" t="s">
        <v>129</v>
      </c>
      <c r="C819" s="70"/>
      <c r="E819" s="31">
        <v>7</v>
      </c>
      <c r="G819" s="31" t="s">
        <v>607</v>
      </c>
      <c r="J819" s="31">
        <v>4</v>
      </c>
      <c r="K819" s="31">
        <v>2</v>
      </c>
      <c r="N819" s="31">
        <v>0</v>
      </c>
      <c r="O819" s="31">
        <v>0</v>
      </c>
      <c r="Q819" s="31">
        <v>10</v>
      </c>
      <c r="W819" s="31" t="s">
        <v>75</v>
      </c>
      <c r="CD819" s="35" t="s">
        <v>1071</v>
      </c>
      <c r="CE819" s="35" t="s">
        <v>1037</v>
      </c>
      <c r="CG819" s="31" t="s">
        <v>718</v>
      </c>
      <c r="CV819" s="36" t="s">
        <v>217</v>
      </c>
      <c r="CZ819" s="71"/>
    </row>
    <row r="820" spans="1:104">
      <c r="A820" s="147" t="s">
        <v>1587</v>
      </c>
      <c r="B820" s="113" t="s">
        <v>129</v>
      </c>
      <c r="C820" s="70"/>
      <c r="E820" s="31">
        <v>3</v>
      </c>
      <c r="H820" s="31">
        <v>3</v>
      </c>
      <c r="J820" s="31">
        <v>7</v>
      </c>
      <c r="K820" s="31">
        <v>2</v>
      </c>
      <c r="L820" s="31">
        <v>-20</v>
      </c>
      <c r="N820" s="31">
        <v>0</v>
      </c>
      <c r="O820" s="31">
        <v>0</v>
      </c>
      <c r="Q820" s="31">
        <v>10</v>
      </c>
      <c r="W820" s="31" t="s">
        <v>75</v>
      </c>
      <c r="CD820" s="35" t="s">
        <v>1592</v>
      </c>
      <c r="CE820" s="35" t="s">
        <v>1037</v>
      </c>
      <c r="CF820" s="35" t="s">
        <v>1285</v>
      </c>
      <c r="CG820" s="31" t="s">
        <v>718</v>
      </c>
      <c r="CV820" s="36" t="s">
        <v>217</v>
      </c>
      <c r="CZ820" s="71"/>
    </row>
    <row r="821" spans="1:104">
      <c r="A821" s="73" t="s">
        <v>262</v>
      </c>
      <c r="B821" s="31" t="s">
        <v>129</v>
      </c>
      <c r="C821" s="70"/>
      <c r="E821" s="31">
        <v>2</v>
      </c>
      <c r="G821" s="31" t="s">
        <v>607</v>
      </c>
      <c r="N821" s="31">
        <v>0</v>
      </c>
      <c r="O821" s="31">
        <v>0</v>
      </c>
      <c r="Q821" s="31">
        <v>10</v>
      </c>
      <c r="W821" s="31" t="s">
        <v>130</v>
      </c>
      <c r="CE821" s="35" t="s">
        <v>1037</v>
      </c>
      <c r="CG821" s="31" t="s">
        <v>718</v>
      </c>
      <c r="CV821" s="36" t="s">
        <v>134</v>
      </c>
      <c r="CZ821" s="71"/>
    </row>
    <row r="822" spans="1:104">
      <c r="A822" s="73" t="s">
        <v>263</v>
      </c>
      <c r="B822" s="31" t="s">
        <v>129</v>
      </c>
      <c r="C822" s="70"/>
      <c r="E822" s="31">
        <v>2</v>
      </c>
      <c r="G822" s="31" t="s">
        <v>607</v>
      </c>
      <c r="N822" s="31">
        <v>0</v>
      </c>
      <c r="O822" s="31">
        <v>0</v>
      </c>
      <c r="Q822" s="31">
        <v>10</v>
      </c>
      <c r="W822" s="31" t="s">
        <v>130</v>
      </c>
      <c r="CE822" s="35" t="s">
        <v>1037</v>
      </c>
      <c r="CG822" s="31" t="s">
        <v>718</v>
      </c>
      <c r="CV822" s="36" t="s">
        <v>439</v>
      </c>
      <c r="CZ822" s="71"/>
    </row>
    <row r="823" spans="1:104">
      <c r="A823" s="73" t="s">
        <v>264</v>
      </c>
      <c r="B823" s="31" t="s">
        <v>129</v>
      </c>
      <c r="C823" s="70"/>
      <c r="E823" s="31">
        <v>6</v>
      </c>
      <c r="G823" s="31" t="s">
        <v>607</v>
      </c>
      <c r="N823" s="31">
        <v>0</v>
      </c>
      <c r="O823" s="31">
        <v>0</v>
      </c>
      <c r="Q823" s="31">
        <v>10</v>
      </c>
      <c r="W823" s="31" t="s">
        <v>130</v>
      </c>
      <c r="CE823" s="35" t="s">
        <v>1037</v>
      </c>
      <c r="CG823" s="31" t="s">
        <v>718</v>
      </c>
      <c r="CV823" s="36" t="s">
        <v>439</v>
      </c>
      <c r="CZ823" s="71"/>
    </row>
    <row r="824" spans="1:104">
      <c r="A824" s="73" t="s">
        <v>265</v>
      </c>
      <c r="B824" s="31" t="s">
        <v>117</v>
      </c>
      <c r="C824" s="70"/>
      <c r="E824" s="31">
        <v>4</v>
      </c>
      <c r="G824" s="31" t="s">
        <v>607</v>
      </c>
      <c r="N824" s="31">
        <v>0</v>
      </c>
      <c r="O824" s="31">
        <v>0</v>
      </c>
      <c r="Q824" s="31">
        <v>10</v>
      </c>
      <c r="W824" s="31" t="s">
        <v>118</v>
      </c>
      <c r="CE824" s="35" t="s">
        <v>1037</v>
      </c>
      <c r="CG824" s="31" t="s">
        <v>718</v>
      </c>
      <c r="CV824" s="36" t="s">
        <v>438</v>
      </c>
      <c r="CZ824" s="71"/>
    </row>
    <row r="825" spans="1:104">
      <c r="A825" s="73" t="s">
        <v>266</v>
      </c>
      <c r="B825" s="31" t="s">
        <v>117</v>
      </c>
      <c r="C825" s="70"/>
      <c r="E825" s="31">
        <v>5</v>
      </c>
      <c r="G825" s="31" t="s">
        <v>607</v>
      </c>
      <c r="N825" s="31">
        <v>0</v>
      </c>
      <c r="O825" s="31">
        <v>0</v>
      </c>
      <c r="Q825" s="31">
        <v>10</v>
      </c>
      <c r="W825" s="31" t="s">
        <v>118</v>
      </c>
      <c r="CE825" s="35" t="s">
        <v>1037</v>
      </c>
      <c r="CG825" s="31" t="s">
        <v>718</v>
      </c>
      <c r="CV825" s="36" t="s">
        <v>1472</v>
      </c>
      <c r="CZ825" s="71"/>
    </row>
    <row r="826" spans="1:104">
      <c r="A826" s="73" t="s">
        <v>267</v>
      </c>
      <c r="B826" s="31" t="s">
        <v>117</v>
      </c>
      <c r="C826" s="70"/>
      <c r="E826" s="31">
        <v>6</v>
      </c>
      <c r="G826" s="31" t="s">
        <v>607</v>
      </c>
      <c r="N826" s="31">
        <v>0</v>
      </c>
      <c r="O826" s="31">
        <v>0</v>
      </c>
      <c r="Q826" s="31">
        <v>10</v>
      </c>
      <c r="W826" s="31" t="s">
        <v>118</v>
      </c>
      <c r="CE826" s="35" t="s">
        <v>1037</v>
      </c>
      <c r="CG826" s="31" t="s">
        <v>718</v>
      </c>
      <c r="CV826" s="36" t="s">
        <v>437</v>
      </c>
      <c r="CZ826" s="71"/>
    </row>
    <row r="827" spans="1:104">
      <c r="A827" s="73" t="s">
        <v>268</v>
      </c>
      <c r="B827" s="31" t="s">
        <v>98</v>
      </c>
      <c r="C827" s="70"/>
      <c r="E827" s="31">
        <v>4</v>
      </c>
      <c r="G827" s="31" t="s">
        <v>607</v>
      </c>
      <c r="N827" s="31">
        <v>0</v>
      </c>
      <c r="O827" s="31">
        <v>0</v>
      </c>
      <c r="Q827" s="31">
        <v>10</v>
      </c>
      <c r="W827" s="31" t="s">
        <v>100</v>
      </c>
      <c r="CE827" s="35" t="s">
        <v>1037</v>
      </c>
      <c r="CG827" s="31" t="s">
        <v>718</v>
      </c>
      <c r="CV827" s="36" t="s">
        <v>437</v>
      </c>
      <c r="CZ827" s="71"/>
    </row>
    <row r="828" spans="1:104">
      <c r="A828" s="73" t="s">
        <v>269</v>
      </c>
      <c r="B828" s="31" t="s">
        <v>98</v>
      </c>
      <c r="C828" s="70"/>
      <c r="E828" s="31">
        <v>8</v>
      </c>
      <c r="G828" s="31" t="s">
        <v>607</v>
      </c>
      <c r="N828" s="31">
        <v>0</v>
      </c>
      <c r="O828" s="31">
        <v>0</v>
      </c>
      <c r="Q828" s="31">
        <v>10</v>
      </c>
      <c r="W828" s="31" t="s">
        <v>100</v>
      </c>
      <c r="CE828" s="35" t="s">
        <v>1037</v>
      </c>
      <c r="CG828" s="31" t="s">
        <v>718</v>
      </c>
      <c r="CV828" s="36" t="s">
        <v>437</v>
      </c>
      <c r="CZ828" s="71"/>
    </row>
    <row r="829" spans="1:104">
      <c r="A829" s="73" t="s">
        <v>270</v>
      </c>
      <c r="B829" s="31" t="s">
        <v>98</v>
      </c>
      <c r="C829" s="70"/>
      <c r="E829" s="31">
        <v>12</v>
      </c>
      <c r="G829" s="31" t="s">
        <v>607</v>
      </c>
      <c r="N829" s="31">
        <v>0</v>
      </c>
      <c r="O829" s="31">
        <v>0</v>
      </c>
      <c r="Q829" s="31">
        <v>10</v>
      </c>
      <c r="W829" s="31" t="s">
        <v>100</v>
      </c>
      <c r="CE829" s="35" t="s">
        <v>1037</v>
      </c>
      <c r="CG829" s="31" t="s">
        <v>718</v>
      </c>
      <c r="CV829" s="36" t="s">
        <v>109</v>
      </c>
      <c r="CZ829" s="71"/>
    </row>
    <row r="830" spans="1:104">
      <c r="A830" s="73" t="s">
        <v>271</v>
      </c>
      <c r="B830" s="31" t="s">
        <v>149</v>
      </c>
      <c r="C830" s="70"/>
      <c r="E830" s="31">
        <v>5</v>
      </c>
      <c r="G830" s="31" t="s">
        <v>606</v>
      </c>
      <c r="N830" s="31">
        <v>0</v>
      </c>
      <c r="O830" s="31">
        <v>0</v>
      </c>
      <c r="Q830" s="31">
        <v>10</v>
      </c>
      <c r="W830" s="31" t="s">
        <v>118</v>
      </c>
      <c r="CE830" s="35" t="s">
        <v>1037</v>
      </c>
      <c r="CG830" s="31" t="s">
        <v>718</v>
      </c>
      <c r="CV830" s="36" t="s">
        <v>154</v>
      </c>
      <c r="CZ830" s="71"/>
    </row>
    <row r="831" spans="1:104">
      <c r="A831" s="73" t="s">
        <v>272</v>
      </c>
      <c r="B831" s="31" t="s">
        <v>149</v>
      </c>
      <c r="C831" s="70"/>
      <c r="E831" s="31">
        <v>6</v>
      </c>
      <c r="G831" s="31" t="s">
        <v>606</v>
      </c>
      <c r="N831" s="31">
        <v>0</v>
      </c>
      <c r="O831" s="31">
        <v>0</v>
      </c>
      <c r="Q831" s="31">
        <v>10</v>
      </c>
      <c r="W831" s="31" t="s">
        <v>118</v>
      </c>
      <c r="CE831" s="35" t="s">
        <v>1037</v>
      </c>
      <c r="CG831" s="31" t="s">
        <v>718</v>
      </c>
      <c r="CV831" s="36" t="s">
        <v>156</v>
      </c>
      <c r="CZ831" s="71"/>
    </row>
    <row r="832" spans="1:104">
      <c r="A832" s="73" t="s">
        <v>273</v>
      </c>
      <c r="B832" s="31" t="s">
        <v>149</v>
      </c>
      <c r="C832" s="70"/>
      <c r="E832" s="31">
        <v>12</v>
      </c>
      <c r="G832" s="31" t="s">
        <v>606</v>
      </c>
      <c r="N832" s="31">
        <v>0</v>
      </c>
      <c r="O832" s="31">
        <v>0</v>
      </c>
      <c r="Q832" s="31">
        <v>10</v>
      </c>
      <c r="W832" s="31" t="s">
        <v>118</v>
      </c>
      <c r="CE832" s="35" t="s">
        <v>1037</v>
      </c>
      <c r="CG832" s="31" t="s">
        <v>718</v>
      </c>
      <c r="CV832" s="36" t="s">
        <v>156</v>
      </c>
      <c r="CZ832" s="71"/>
    </row>
    <row r="833" spans="1:104">
      <c r="A833" s="73" t="s">
        <v>274</v>
      </c>
      <c r="B833" s="31" t="s">
        <v>165</v>
      </c>
      <c r="C833" s="70"/>
      <c r="E833" s="31">
        <v>12</v>
      </c>
      <c r="G833" s="31" t="s">
        <v>606</v>
      </c>
      <c r="N833" s="31">
        <v>0</v>
      </c>
      <c r="O833" s="31">
        <v>0</v>
      </c>
      <c r="Q833" s="31">
        <v>10</v>
      </c>
      <c r="W833" s="31" t="s">
        <v>100</v>
      </c>
      <c r="CE833" s="35" t="s">
        <v>1037</v>
      </c>
      <c r="CG833" s="31" t="s">
        <v>718</v>
      </c>
      <c r="CV833" s="49" t="s">
        <v>442</v>
      </c>
      <c r="CZ833" s="71"/>
    </row>
    <row r="834" spans="1:104">
      <c r="A834" s="73" t="s">
        <v>275</v>
      </c>
      <c r="B834" s="31" t="s">
        <v>165</v>
      </c>
      <c r="C834" s="70"/>
      <c r="E834" s="31">
        <v>13</v>
      </c>
      <c r="G834" s="31" t="s">
        <v>606</v>
      </c>
      <c r="N834" s="31">
        <v>0</v>
      </c>
      <c r="O834" s="31">
        <v>0</v>
      </c>
      <c r="Q834" s="31">
        <v>10</v>
      </c>
      <c r="W834" s="31" t="s">
        <v>100</v>
      </c>
      <c r="CE834" s="35" t="s">
        <v>1037</v>
      </c>
      <c r="CG834" s="31" t="s">
        <v>718</v>
      </c>
      <c r="CV834" s="49" t="s">
        <v>442</v>
      </c>
      <c r="CZ834" s="71"/>
    </row>
    <row r="835" spans="1:104">
      <c r="A835" s="73" t="s">
        <v>276</v>
      </c>
      <c r="B835" s="31" t="s">
        <v>165</v>
      </c>
      <c r="C835" s="70"/>
      <c r="E835" s="31">
        <v>14</v>
      </c>
      <c r="G835" s="31" t="s">
        <v>606</v>
      </c>
      <c r="N835" s="31">
        <v>0</v>
      </c>
      <c r="O835" s="31">
        <v>0</v>
      </c>
      <c r="Q835" s="31">
        <v>10</v>
      </c>
      <c r="W835" s="31" t="s">
        <v>100</v>
      </c>
      <c r="CE835" s="35" t="s">
        <v>1037</v>
      </c>
      <c r="CG835" s="31" t="s">
        <v>718</v>
      </c>
      <c r="CV835" s="49" t="s">
        <v>442</v>
      </c>
      <c r="CZ835" s="71"/>
    </row>
    <row r="836" spans="1:104">
      <c r="A836" s="73" t="s">
        <v>277</v>
      </c>
      <c r="B836" s="31" t="s">
        <v>205</v>
      </c>
      <c r="C836" s="70"/>
      <c r="E836" s="31">
        <v>5</v>
      </c>
      <c r="J836" s="31">
        <v>4</v>
      </c>
      <c r="K836" s="31">
        <v>2</v>
      </c>
      <c r="N836" s="31">
        <v>0</v>
      </c>
      <c r="O836" s="31">
        <v>0</v>
      </c>
      <c r="P836" s="31">
        <v>8</v>
      </c>
      <c r="Q836" s="31">
        <v>10</v>
      </c>
      <c r="W836" s="31" t="s">
        <v>206</v>
      </c>
      <c r="CE836" s="35" t="s">
        <v>1037</v>
      </c>
      <c r="CG836" s="31" t="s">
        <v>718</v>
      </c>
      <c r="CV836" s="36" t="s">
        <v>435</v>
      </c>
      <c r="CZ836" s="71"/>
    </row>
    <row r="837" spans="1:104">
      <c r="A837" s="73" t="s">
        <v>278</v>
      </c>
      <c r="B837" s="31" t="s">
        <v>205</v>
      </c>
      <c r="C837" s="70"/>
      <c r="E837" s="31">
        <v>7</v>
      </c>
      <c r="J837" s="31">
        <v>4</v>
      </c>
      <c r="K837" s="31">
        <v>2</v>
      </c>
      <c r="N837" s="31">
        <v>0</v>
      </c>
      <c r="O837" s="31">
        <v>0</v>
      </c>
      <c r="P837" s="31">
        <v>8</v>
      </c>
      <c r="Q837" s="31">
        <v>10</v>
      </c>
      <c r="W837" s="31" t="s">
        <v>206</v>
      </c>
      <c r="CE837" s="35" t="s">
        <v>1037</v>
      </c>
      <c r="CG837" s="31" t="s">
        <v>718</v>
      </c>
      <c r="CV837" s="36" t="s">
        <v>435</v>
      </c>
      <c r="CZ837" s="71"/>
    </row>
    <row r="838" spans="1:104">
      <c r="A838" s="73" t="s">
        <v>279</v>
      </c>
      <c r="B838" s="31" t="s">
        <v>205</v>
      </c>
      <c r="C838" s="70"/>
      <c r="E838" s="31">
        <v>12</v>
      </c>
      <c r="N838" s="31">
        <v>0</v>
      </c>
      <c r="O838" s="31">
        <v>0</v>
      </c>
      <c r="P838" s="31">
        <v>8</v>
      </c>
      <c r="Q838" s="31">
        <v>10</v>
      </c>
      <c r="W838" s="31" t="s">
        <v>206</v>
      </c>
      <c r="CE838" s="35" t="s">
        <v>1037</v>
      </c>
      <c r="CG838" s="31" t="s">
        <v>718</v>
      </c>
      <c r="CV838" s="36" t="s">
        <v>435</v>
      </c>
      <c r="CZ838" s="71"/>
    </row>
    <row r="839" spans="1:104">
      <c r="A839" s="73" t="s">
        <v>530</v>
      </c>
      <c r="B839" s="31" t="s">
        <v>77</v>
      </c>
      <c r="C839" s="70"/>
      <c r="E839" s="31">
        <v>5</v>
      </c>
      <c r="H839" s="31">
        <v>3</v>
      </c>
      <c r="N839" s="31">
        <v>0</v>
      </c>
      <c r="O839" s="31">
        <v>0</v>
      </c>
      <c r="Q839" s="31">
        <v>10</v>
      </c>
      <c r="W839" s="31" t="s">
        <v>79</v>
      </c>
      <c r="CD839" s="35" t="s">
        <v>820</v>
      </c>
      <c r="CE839" s="35" t="s">
        <v>1037</v>
      </c>
      <c r="CG839" s="31" t="s">
        <v>718</v>
      </c>
      <c r="CV839" s="36" t="s">
        <v>1809</v>
      </c>
      <c r="CZ839" s="71"/>
    </row>
    <row r="840" spans="1:104">
      <c r="A840" s="73" t="s">
        <v>532</v>
      </c>
      <c r="B840" s="31" t="s">
        <v>77</v>
      </c>
      <c r="C840" s="70"/>
      <c r="E840" s="31">
        <v>7</v>
      </c>
      <c r="H840" s="31">
        <v>3</v>
      </c>
      <c r="N840" s="31">
        <v>0</v>
      </c>
      <c r="O840" s="31">
        <v>0</v>
      </c>
      <c r="Q840" s="31">
        <v>10</v>
      </c>
      <c r="W840" s="31" t="s">
        <v>79</v>
      </c>
      <c r="CD840" s="35" t="s">
        <v>1068</v>
      </c>
      <c r="CE840" s="35" t="s">
        <v>1037</v>
      </c>
      <c r="CG840" s="31" t="s">
        <v>718</v>
      </c>
      <c r="CV840" s="36" t="s">
        <v>1809</v>
      </c>
      <c r="CZ840" s="71"/>
    </row>
    <row r="841" spans="1:104">
      <c r="A841" s="73" t="s">
        <v>531</v>
      </c>
      <c r="B841" s="31" t="s">
        <v>77</v>
      </c>
      <c r="C841" s="70"/>
      <c r="E841" s="31">
        <v>12</v>
      </c>
      <c r="H841" s="31">
        <v>3</v>
      </c>
      <c r="N841" s="31">
        <v>0</v>
      </c>
      <c r="O841" s="31">
        <v>0</v>
      </c>
      <c r="Q841" s="31">
        <v>10</v>
      </c>
      <c r="W841" s="31" t="s">
        <v>79</v>
      </c>
      <c r="CD841" s="35" t="s">
        <v>851</v>
      </c>
      <c r="CE841" s="35" t="s">
        <v>1037</v>
      </c>
      <c r="CG841" s="31" t="s">
        <v>718</v>
      </c>
      <c r="CV841" s="36" t="s">
        <v>1809</v>
      </c>
      <c r="CZ841" s="71"/>
    </row>
    <row r="842" spans="1:104">
      <c r="A842" s="73" t="s">
        <v>280</v>
      </c>
      <c r="B842" s="31" t="s">
        <v>77</v>
      </c>
      <c r="C842" s="70"/>
      <c r="E842" s="31">
        <v>8</v>
      </c>
      <c r="H842" s="31">
        <v>3</v>
      </c>
      <c r="J842" s="31">
        <v>4</v>
      </c>
      <c r="K842" s="31">
        <v>2</v>
      </c>
      <c r="N842" s="31">
        <v>0</v>
      </c>
      <c r="O842" s="31">
        <v>0</v>
      </c>
      <c r="Q842" s="31">
        <v>10</v>
      </c>
      <c r="W842" s="31" t="s">
        <v>75</v>
      </c>
      <c r="CE842" s="35" t="s">
        <v>1037</v>
      </c>
      <c r="CG842" s="31" t="s">
        <v>718</v>
      </c>
      <c r="CV842" s="36" t="s">
        <v>217</v>
      </c>
      <c r="CZ842" s="71"/>
    </row>
    <row r="843" spans="1:104">
      <c r="A843" s="73" t="s">
        <v>281</v>
      </c>
      <c r="B843" s="31" t="s">
        <v>77</v>
      </c>
      <c r="C843" s="70"/>
      <c r="E843" s="31">
        <v>12</v>
      </c>
      <c r="H843" s="31">
        <v>3</v>
      </c>
      <c r="J843" s="31">
        <v>4</v>
      </c>
      <c r="K843" s="31">
        <v>2</v>
      </c>
      <c r="N843" s="31">
        <v>0</v>
      </c>
      <c r="O843" s="31">
        <v>0</v>
      </c>
      <c r="Q843" s="31">
        <v>10</v>
      </c>
      <c r="W843" s="31" t="s">
        <v>75</v>
      </c>
      <c r="CE843" s="35" t="s">
        <v>1037</v>
      </c>
      <c r="CG843" s="31" t="s">
        <v>718</v>
      </c>
      <c r="CV843" s="36" t="s">
        <v>217</v>
      </c>
      <c r="CZ843" s="71"/>
    </row>
    <row r="844" spans="1:104">
      <c r="A844" s="73" t="s">
        <v>282</v>
      </c>
      <c r="B844" s="31" t="s">
        <v>183</v>
      </c>
      <c r="C844" s="70"/>
      <c r="E844" s="31">
        <v>3</v>
      </c>
      <c r="I844" s="31" t="s">
        <v>222</v>
      </c>
      <c r="N844" s="31">
        <v>0</v>
      </c>
      <c r="O844" s="31">
        <v>0</v>
      </c>
      <c r="Q844" s="31">
        <v>10</v>
      </c>
      <c r="W844" s="31" t="s">
        <v>75</v>
      </c>
      <c r="CE844" s="35" t="s">
        <v>1037</v>
      </c>
      <c r="CG844" s="31" t="s">
        <v>718</v>
      </c>
      <c r="CV844" s="36" t="s">
        <v>217</v>
      </c>
      <c r="CZ844" s="71"/>
    </row>
    <row r="845" spans="1:104">
      <c r="A845" s="73" t="s">
        <v>283</v>
      </c>
      <c r="B845" s="31" t="s">
        <v>183</v>
      </c>
      <c r="C845" s="70"/>
      <c r="E845" s="31">
        <v>6</v>
      </c>
      <c r="H845" s="31">
        <v>5</v>
      </c>
      <c r="I845" s="31" t="s">
        <v>222</v>
      </c>
      <c r="N845" s="31">
        <v>0</v>
      </c>
      <c r="O845" s="31">
        <v>0</v>
      </c>
      <c r="Q845" s="31">
        <v>10</v>
      </c>
      <c r="W845" s="31" t="s">
        <v>75</v>
      </c>
      <c r="CE845" s="35" t="s">
        <v>1037</v>
      </c>
      <c r="CG845" s="31" t="s">
        <v>718</v>
      </c>
      <c r="CV845" s="36" t="s">
        <v>217</v>
      </c>
      <c r="CZ845" s="71"/>
    </row>
    <row r="846" spans="1:104">
      <c r="A846" s="73" t="s">
        <v>284</v>
      </c>
      <c r="B846" s="31" t="s">
        <v>183</v>
      </c>
      <c r="C846" s="70"/>
      <c r="E846" s="31">
        <v>12</v>
      </c>
      <c r="H846" s="31">
        <v>5</v>
      </c>
      <c r="I846" s="31" t="s">
        <v>216</v>
      </c>
      <c r="J846" s="31">
        <v>4</v>
      </c>
      <c r="L846" s="31">
        <v>-20</v>
      </c>
      <c r="N846" s="31">
        <v>0</v>
      </c>
      <c r="O846" s="31">
        <v>0</v>
      </c>
      <c r="Q846" s="31">
        <v>10</v>
      </c>
      <c r="W846" s="31" t="s">
        <v>75</v>
      </c>
      <c r="CE846" s="35" t="s">
        <v>1037</v>
      </c>
      <c r="CG846" s="31" t="s">
        <v>718</v>
      </c>
      <c r="CV846" s="36" t="s">
        <v>217</v>
      </c>
      <c r="CZ846" s="71"/>
    </row>
    <row r="847" spans="1:104">
      <c r="A847" s="73" t="s">
        <v>1293</v>
      </c>
      <c r="B847" s="31" t="s">
        <v>183</v>
      </c>
      <c r="C847" s="70"/>
      <c r="E847" s="31">
        <v>12</v>
      </c>
      <c r="H847" s="31">
        <v>5</v>
      </c>
      <c r="I847" s="31" t="s">
        <v>224</v>
      </c>
      <c r="N847" s="31">
        <v>0</v>
      </c>
      <c r="O847" s="31">
        <v>0</v>
      </c>
      <c r="Q847" s="31">
        <v>10</v>
      </c>
      <c r="W847" s="31" t="s">
        <v>75</v>
      </c>
      <c r="CE847" s="35" t="s">
        <v>1037</v>
      </c>
      <c r="CG847" s="31" t="s">
        <v>718</v>
      </c>
      <c r="CV847" s="36" t="s">
        <v>217</v>
      </c>
      <c r="CZ847" s="71"/>
    </row>
    <row r="848" spans="1:104">
      <c r="A848" s="73" t="s">
        <v>285</v>
      </c>
      <c r="B848" s="31" t="s">
        <v>183</v>
      </c>
      <c r="C848" s="70"/>
      <c r="E848" s="31">
        <v>6</v>
      </c>
      <c r="N848" s="31">
        <v>0</v>
      </c>
      <c r="O848" s="31">
        <v>0</v>
      </c>
      <c r="Q848" s="31">
        <v>10</v>
      </c>
      <c r="W848" s="31" t="s">
        <v>75</v>
      </c>
      <c r="CE848" s="35" t="s">
        <v>1037</v>
      </c>
      <c r="CG848" s="31" t="s">
        <v>718</v>
      </c>
      <c r="CV848" s="36" t="s">
        <v>217</v>
      </c>
      <c r="CZ848" s="71"/>
    </row>
    <row r="849" spans="1:104">
      <c r="A849" s="74" t="s">
        <v>286</v>
      </c>
      <c r="B849" s="31" t="s">
        <v>183</v>
      </c>
      <c r="C849" s="70"/>
      <c r="E849" s="31">
        <v>13</v>
      </c>
      <c r="J849" s="31">
        <v>4</v>
      </c>
      <c r="N849" s="31">
        <v>0</v>
      </c>
      <c r="O849" s="31">
        <v>0</v>
      </c>
      <c r="Q849" s="31">
        <v>10</v>
      </c>
      <c r="W849" s="31" t="s">
        <v>75</v>
      </c>
      <c r="CE849" s="35" t="s">
        <v>1037</v>
      </c>
      <c r="CG849" s="31" t="s">
        <v>718</v>
      </c>
      <c r="CV849" s="36" t="s">
        <v>217</v>
      </c>
      <c r="CZ849" s="71"/>
    </row>
    <row r="850" spans="1:104">
      <c r="A850" s="74" t="s">
        <v>287</v>
      </c>
      <c r="B850" s="31" t="s">
        <v>129</v>
      </c>
      <c r="C850" s="70"/>
      <c r="E850" s="31">
        <v>8</v>
      </c>
      <c r="N850" s="31">
        <v>0</v>
      </c>
      <c r="O850" s="31">
        <v>0</v>
      </c>
      <c r="Q850" s="31">
        <v>10</v>
      </c>
      <c r="W850" s="31" t="s">
        <v>75</v>
      </c>
      <c r="CE850" s="35" t="s">
        <v>1037</v>
      </c>
      <c r="CG850" s="31" t="s">
        <v>718</v>
      </c>
      <c r="CV850" s="36" t="s">
        <v>217</v>
      </c>
      <c r="CZ850" s="71"/>
    </row>
    <row r="851" spans="1:104">
      <c r="A851" s="74" t="s">
        <v>288</v>
      </c>
      <c r="B851" s="31" t="s">
        <v>129</v>
      </c>
      <c r="C851" s="70"/>
      <c r="E851" s="31">
        <v>13</v>
      </c>
      <c r="N851" s="31">
        <v>0</v>
      </c>
      <c r="O851" s="31">
        <v>0</v>
      </c>
      <c r="Q851" s="31">
        <v>10</v>
      </c>
      <c r="W851" s="31" t="s">
        <v>75</v>
      </c>
      <c r="CE851" s="35" t="s">
        <v>1037</v>
      </c>
      <c r="CG851" s="31" t="s">
        <v>718</v>
      </c>
      <c r="CV851" s="36" t="s">
        <v>217</v>
      </c>
      <c r="CZ851" s="71"/>
    </row>
    <row r="852" spans="1:104">
      <c r="A852" s="74" t="s">
        <v>450</v>
      </c>
      <c r="B852" s="31" t="s">
        <v>149</v>
      </c>
      <c r="C852" s="70"/>
      <c r="E852" s="31">
        <v>8</v>
      </c>
      <c r="G852" s="31" t="s">
        <v>606</v>
      </c>
      <c r="N852" s="31">
        <v>0</v>
      </c>
      <c r="O852" s="31">
        <v>0</v>
      </c>
      <c r="Q852" s="31">
        <v>10</v>
      </c>
      <c r="W852" s="31" t="s">
        <v>118</v>
      </c>
      <c r="CE852" s="35" t="s">
        <v>1037</v>
      </c>
      <c r="CG852" s="31" t="s">
        <v>718</v>
      </c>
      <c r="CV852" s="36" t="s">
        <v>156</v>
      </c>
      <c r="CZ852" s="71"/>
    </row>
    <row r="853" spans="1:104">
      <c r="A853" s="74" t="s">
        <v>792</v>
      </c>
      <c r="B853" s="31" t="s">
        <v>77</v>
      </c>
      <c r="C853" s="70"/>
      <c r="E853" s="31">
        <v>11</v>
      </c>
      <c r="G853" s="31" t="s">
        <v>607</v>
      </c>
      <c r="H853" s="31">
        <v>4</v>
      </c>
      <c r="N853" s="31">
        <v>0</v>
      </c>
      <c r="O853" s="31">
        <v>0</v>
      </c>
      <c r="Q853" s="31">
        <v>10</v>
      </c>
      <c r="W853" s="31" t="s">
        <v>79</v>
      </c>
      <c r="CD853" s="35" t="s">
        <v>1078</v>
      </c>
      <c r="CE853" s="35" t="s">
        <v>1037</v>
      </c>
      <c r="CG853" s="31" t="s">
        <v>718</v>
      </c>
      <c r="CV853" s="36" t="s">
        <v>707</v>
      </c>
      <c r="CZ853" s="71"/>
    </row>
    <row r="854" spans="1:104">
      <c r="A854" s="74" t="s">
        <v>794</v>
      </c>
      <c r="B854" s="31" t="s">
        <v>205</v>
      </c>
      <c r="C854" s="70"/>
      <c r="E854" s="31">
        <v>11</v>
      </c>
      <c r="H854" s="31">
        <v>6</v>
      </c>
      <c r="N854" s="31">
        <v>0</v>
      </c>
      <c r="O854" s="31">
        <v>0</v>
      </c>
      <c r="Q854" s="31">
        <v>10</v>
      </c>
      <c r="W854" s="31" t="s">
        <v>206</v>
      </c>
      <c r="CD854" s="35" t="s">
        <v>1077</v>
      </c>
      <c r="CE854" s="35" t="s">
        <v>1037</v>
      </c>
      <c r="CG854" s="31" t="s">
        <v>718</v>
      </c>
      <c r="CV854" s="36" t="s">
        <v>435</v>
      </c>
      <c r="CZ854" s="71"/>
    </row>
    <row r="855" spans="1:104">
      <c r="A855" s="74" t="s">
        <v>1076</v>
      </c>
      <c r="B855" s="31" t="s">
        <v>205</v>
      </c>
      <c r="C855" s="70"/>
      <c r="E855" s="31">
        <v>18</v>
      </c>
      <c r="H855" s="31">
        <v>6</v>
      </c>
      <c r="N855" s="31">
        <v>0</v>
      </c>
      <c r="O855" s="31">
        <v>0</v>
      </c>
      <c r="Q855" s="31">
        <v>10</v>
      </c>
      <c r="W855" s="31" t="s">
        <v>206</v>
      </c>
      <c r="CD855" s="35" t="s">
        <v>1061</v>
      </c>
      <c r="CE855" s="35" t="s">
        <v>1037</v>
      </c>
      <c r="CG855" s="31" t="s">
        <v>718</v>
      </c>
      <c r="CV855" s="36" t="s">
        <v>435</v>
      </c>
      <c r="CZ855" s="71"/>
    </row>
    <row r="856" spans="1:104">
      <c r="A856" s="74" t="s">
        <v>793</v>
      </c>
      <c r="B856" s="31" t="s">
        <v>205</v>
      </c>
      <c r="C856" s="70"/>
      <c r="E856" s="31">
        <v>10</v>
      </c>
      <c r="H856" s="31">
        <v>4</v>
      </c>
      <c r="N856" s="31">
        <v>0</v>
      </c>
      <c r="O856" s="31">
        <v>0</v>
      </c>
      <c r="Q856" s="31">
        <v>10</v>
      </c>
      <c r="W856" s="31" t="s">
        <v>206</v>
      </c>
      <c r="CE856" s="35" t="s">
        <v>1037</v>
      </c>
      <c r="CG856" s="31" t="s">
        <v>718</v>
      </c>
      <c r="CV856" s="36" t="s">
        <v>435</v>
      </c>
      <c r="CZ856" s="71"/>
    </row>
    <row r="857" spans="1:104">
      <c r="A857" s="74" t="s">
        <v>328</v>
      </c>
      <c r="B857" s="31" t="s">
        <v>77</v>
      </c>
      <c r="C857" s="70"/>
      <c r="E857" s="31">
        <v>10</v>
      </c>
      <c r="N857" s="31">
        <v>0</v>
      </c>
      <c r="O857" s="31">
        <v>0</v>
      </c>
      <c r="Q857" s="31">
        <v>10</v>
      </c>
      <c r="W857" s="31" t="s">
        <v>75</v>
      </c>
      <c r="CE857" s="35" t="s">
        <v>1037</v>
      </c>
      <c r="CG857" s="31" t="s">
        <v>718</v>
      </c>
      <c r="CV857" s="88" t="s">
        <v>217</v>
      </c>
      <c r="CZ857" s="71"/>
    </row>
    <row r="858" spans="1:104">
      <c r="A858" s="74" t="s">
        <v>449</v>
      </c>
      <c r="B858" s="31" t="s">
        <v>129</v>
      </c>
      <c r="C858" s="70"/>
      <c r="E858" s="31">
        <v>6</v>
      </c>
      <c r="N858" s="31">
        <v>0</v>
      </c>
      <c r="O858" s="31">
        <v>0</v>
      </c>
      <c r="Q858" s="31">
        <v>10</v>
      </c>
      <c r="W858" s="31" t="s">
        <v>75</v>
      </c>
      <c r="CE858" s="35" t="s">
        <v>1037</v>
      </c>
      <c r="CG858" s="31" t="s">
        <v>718</v>
      </c>
      <c r="CV858" s="88" t="s">
        <v>217</v>
      </c>
      <c r="CZ858" s="71"/>
    </row>
    <row r="859" spans="1:104">
      <c r="A859" s="74" t="s">
        <v>1595</v>
      </c>
      <c r="B859" s="113" t="s">
        <v>117</v>
      </c>
      <c r="C859" s="70"/>
      <c r="E859" s="31">
        <v>6</v>
      </c>
      <c r="G859" s="31" t="s">
        <v>607</v>
      </c>
      <c r="N859" s="31">
        <v>0</v>
      </c>
      <c r="O859" s="31">
        <v>0</v>
      </c>
      <c r="Q859" s="31">
        <v>10</v>
      </c>
      <c r="W859" s="31" t="s">
        <v>118</v>
      </c>
      <c r="CE859" s="35" t="s">
        <v>1037</v>
      </c>
      <c r="CG859" s="31" t="s">
        <v>718</v>
      </c>
      <c r="CV859" s="150" t="s">
        <v>714</v>
      </c>
      <c r="CZ859" s="71"/>
    </row>
    <row r="860" spans="1:104">
      <c r="A860" s="74" t="s">
        <v>1594</v>
      </c>
      <c r="B860" s="31" t="s">
        <v>98</v>
      </c>
      <c r="C860" s="70"/>
      <c r="E860" s="31">
        <v>6</v>
      </c>
      <c r="G860" s="31" t="s">
        <v>607</v>
      </c>
      <c r="N860" s="31">
        <v>0</v>
      </c>
      <c r="O860" s="31">
        <v>0</v>
      </c>
      <c r="Q860" s="31">
        <v>10</v>
      </c>
      <c r="W860" s="31" t="s">
        <v>100</v>
      </c>
      <c r="CE860" s="35" t="s">
        <v>1037</v>
      </c>
      <c r="CG860" s="31" t="s">
        <v>718</v>
      </c>
      <c r="CV860" s="150" t="s">
        <v>712</v>
      </c>
      <c r="CZ860" s="71"/>
    </row>
    <row r="861" spans="1:104">
      <c r="A861" s="74" t="s">
        <v>1693</v>
      </c>
      <c r="B861" s="31" t="s">
        <v>98</v>
      </c>
      <c r="C861" s="70"/>
      <c r="E861" s="31">
        <v>6</v>
      </c>
      <c r="G861" s="31" t="s">
        <v>606</v>
      </c>
      <c r="N861" s="31">
        <v>0</v>
      </c>
      <c r="O861" s="31">
        <v>0</v>
      </c>
      <c r="Q861" s="31">
        <v>10</v>
      </c>
      <c r="W861" s="31" t="s">
        <v>174</v>
      </c>
      <c r="CE861" s="35" t="s">
        <v>1037</v>
      </c>
      <c r="CG861" s="31" t="s">
        <v>718</v>
      </c>
      <c r="CV861" s="36" t="s">
        <v>816</v>
      </c>
      <c r="CZ861" s="71"/>
    </row>
    <row r="862" spans="1:104">
      <c r="A862" s="74" t="s">
        <v>320</v>
      </c>
      <c r="B862" s="31" t="s">
        <v>165</v>
      </c>
      <c r="C862" s="70"/>
      <c r="E862" s="31">
        <v>10</v>
      </c>
      <c r="G862" s="31" t="s">
        <v>606</v>
      </c>
      <c r="L862" s="31">
        <v>20</v>
      </c>
      <c r="N862" s="31">
        <v>0</v>
      </c>
      <c r="O862" s="31">
        <v>0</v>
      </c>
      <c r="Q862" s="31">
        <v>10</v>
      </c>
      <c r="W862" s="31" t="s">
        <v>100</v>
      </c>
      <c r="CE862" s="35" t="s">
        <v>1037</v>
      </c>
      <c r="CF862" s="35" t="s">
        <v>1295</v>
      </c>
      <c r="CG862" s="31" t="s">
        <v>718</v>
      </c>
      <c r="CV862" s="36" t="s">
        <v>113</v>
      </c>
      <c r="CZ862" s="71"/>
    </row>
    <row r="863" spans="1:104">
      <c r="A863" s="74" t="s">
        <v>321</v>
      </c>
      <c r="B863" s="31" t="s">
        <v>117</v>
      </c>
      <c r="C863" s="70"/>
      <c r="E863" s="31">
        <v>12</v>
      </c>
      <c r="G863" s="31" t="s">
        <v>607</v>
      </c>
      <c r="L863" s="31">
        <v>20</v>
      </c>
      <c r="N863" s="31">
        <v>0</v>
      </c>
      <c r="O863" s="31">
        <v>0</v>
      </c>
      <c r="Q863" s="31">
        <v>10</v>
      </c>
      <c r="W863" s="31" t="s">
        <v>118</v>
      </c>
      <c r="CE863" s="35" t="s">
        <v>1037</v>
      </c>
      <c r="CF863" s="35" t="s">
        <v>1561</v>
      </c>
      <c r="CG863" s="31" t="s">
        <v>718</v>
      </c>
      <c r="CV863" s="36" t="s">
        <v>123</v>
      </c>
      <c r="CZ863" s="71"/>
    </row>
    <row r="864" spans="1:104">
      <c r="A864" s="74" t="s">
        <v>322</v>
      </c>
      <c r="B864" s="31" t="s">
        <v>165</v>
      </c>
      <c r="C864" s="70"/>
      <c r="E864" s="31">
        <v>14</v>
      </c>
      <c r="G864" s="31" t="s">
        <v>606</v>
      </c>
      <c r="L864" s="31">
        <v>20</v>
      </c>
      <c r="N864" s="31">
        <v>0</v>
      </c>
      <c r="O864" s="31">
        <v>0</v>
      </c>
      <c r="Q864" s="31">
        <v>10</v>
      </c>
      <c r="W864" s="31" t="s">
        <v>100</v>
      </c>
      <c r="CE864" s="35" t="s">
        <v>1037</v>
      </c>
      <c r="CF864" s="35" t="s">
        <v>1295</v>
      </c>
      <c r="CG864" s="31" t="s">
        <v>718</v>
      </c>
      <c r="CV864" s="36" t="s">
        <v>114</v>
      </c>
      <c r="CZ864" s="71"/>
    </row>
    <row r="865" spans="1:104">
      <c r="A865" s="74" t="s">
        <v>323</v>
      </c>
      <c r="B865" s="31" t="s">
        <v>149</v>
      </c>
      <c r="C865" s="70"/>
      <c r="E865" s="31">
        <v>15</v>
      </c>
      <c r="G865" s="31" t="s">
        <v>606</v>
      </c>
      <c r="H865" s="31">
        <v>7</v>
      </c>
      <c r="L865" s="31">
        <v>20</v>
      </c>
      <c r="N865" s="31">
        <v>0</v>
      </c>
      <c r="O865" s="31">
        <v>0</v>
      </c>
      <c r="Q865" s="31">
        <v>10</v>
      </c>
      <c r="W865" s="31" t="s">
        <v>118</v>
      </c>
      <c r="CE865" s="35" t="s">
        <v>1037</v>
      </c>
      <c r="CF865" s="35" t="s">
        <v>1295</v>
      </c>
      <c r="CG865" s="31" t="s">
        <v>718</v>
      </c>
      <c r="CV865" s="49" t="s">
        <v>125</v>
      </c>
      <c r="CZ865" s="71"/>
    </row>
    <row r="866" spans="1:104">
      <c r="A866" s="74" t="s">
        <v>1415</v>
      </c>
      <c r="B866" s="31" t="s">
        <v>117</v>
      </c>
      <c r="C866" s="70"/>
      <c r="E866" s="31">
        <v>20</v>
      </c>
      <c r="G866" s="31" t="s">
        <v>607</v>
      </c>
      <c r="H866" s="31">
        <v>7</v>
      </c>
      <c r="L866" s="31">
        <v>25</v>
      </c>
      <c r="N866" s="31">
        <v>0</v>
      </c>
      <c r="O866" s="31">
        <v>0</v>
      </c>
      <c r="Q866" s="31">
        <v>10</v>
      </c>
      <c r="W866" s="31" t="s">
        <v>118</v>
      </c>
      <c r="CD866" s="35" t="s">
        <v>1416</v>
      </c>
      <c r="CE866" s="35" t="s">
        <v>1037</v>
      </c>
      <c r="CF866" s="35" t="s">
        <v>1561</v>
      </c>
      <c r="CG866" s="31" t="s">
        <v>718</v>
      </c>
      <c r="CV866" s="36" t="s">
        <v>123</v>
      </c>
      <c r="CZ866" s="71"/>
    </row>
    <row r="867" spans="1:104">
      <c r="A867" s="74" t="s">
        <v>324</v>
      </c>
      <c r="B867" s="31" t="s">
        <v>205</v>
      </c>
      <c r="C867" s="70"/>
      <c r="E867" s="31">
        <v>12</v>
      </c>
      <c r="L867" s="31">
        <v>20</v>
      </c>
      <c r="N867" s="31">
        <v>0</v>
      </c>
      <c r="O867" s="31">
        <v>0</v>
      </c>
      <c r="Q867" s="31">
        <v>10</v>
      </c>
      <c r="W867" s="31" t="s">
        <v>206</v>
      </c>
      <c r="CE867" s="35" t="s">
        <v>1037</v>
      </c>
      <c r="CF867" s="35" t="s">
        <v>1295</v>
      </c>
      <c r="CG867" s="31" t="s">
        <v>718</v>
      </c>
      <c r="CV867" s="36" t="s">
        <v>435</v>
      </c>
      <c r="CZ867" s="71"/>
    </row>
    <row r="868" spans="1:104">
      <c r="A868" s="74" t="s">
        <v>325</v>
      </c>
      <c r="B868" s="31" t="s">
        <v>205</v>
      </c>
      <c r="C868" s="70"/>
      <c r="E868" s="31">
        <v>15</v>
      </c>
      <c r="L868" s="31">
        <v>20</v>
      </c>
      <c r="N868" s="31">
        <v>0</v>
      </c>
      <c r="O868" s="31">
        <v>0</v>
      </c>
      <c r="Q868" s="31">
        <v>10</v>
      </c>
      <c r="W868" s="31" t="s">
        <v>206</v>
      </c>
      <c r="CE868" s="35" t="s">
        <v>1037</v>
      </c>
      <c r="CF868" s="35" t="s">
        <v>1295</v>
      </c>
      <c r="CG868" s="31" t="s">
        <v>718</v>
      </c>
      <c r="CV868" s="36" t="s">
        <v>435</v>
      </c>
      <c r="CZ868" s="71"/>
    </row>
    <row r="869" spans="1:104">
      <c r="A869" s="154" t="s">
        <v>1750</v>
      </c>
      <c r="B869" s="113" t="s">
        <v>205</v>
      </c>
      <c r="C869" s="70"/>
      <c r="E869" s="31">
        <v>19</v>
      </c>
      <c r="H869" s="31">
        <v>6</v>
      </c>
      <c r="L869" s="31">
        <v>20</v>
      </c>
      <c r="N869" s="31">
        <v>0</v>
      </c>
      <c r="O869" s="31">
        <v>0</v>
      </c>
      <c r="Q869" s="31">
        <v>10</v>
      </c>
      <c r="W869" s="31" t="s">
        <v>206</v>
      </c>
      <c r="CD869" s="35" t="s">
        <v>1259</v>
      </c>
      <c r="CE869" s="35" t="s">
        <v>1037</v>
      </c>
      <c r="CF869" s="35" t="s">
        <v>1295</v>
      </c>
      <c r="CG869" s="31" t="s">
        <v>718</v>
      </c>
      <c r="CV869" s="36" t="s">
        <v>435</v>
      </c>
      <c r="CZ869" s="71"/>
    </row>
    <row r="870" spans="1:104">
      <c r="A870" s="154" t="s">
        <v>1746</v>
      </c>
      <c r="B870" s="31" t="s">
        <v>165</v>
      </c>
      <c r="C870" s="70"/>
      <c r="E870" s="31">
        <v>19</v>
      </c>
      <c r="G870" s="31" t="s">
        <v>606</v>
      </c>
      <c r="H870" s="31">
        <v>6</v>
      </c>
      <c r="L870" s="31">
        <v>20</v>
      </c>
      <c r="N870" s="31">
        <v>0</v>
      </c>
      <c r="O870" s="31">
        <v>0</v>
      </c>
      <c r="Q870" s="31">
        <v>10</v>
      </c>
      <c r="W870" s="31" t="s">
        <v>100</v>
      </c>
      <c r="CE870" s="35" t="s">
        <v>1037</v>
      </c>
      <c r="CF870" s="35" t="s">
        <v>1295</v>
      </c>
      <c r="CG870" s="31" t="s">
        <v>718</v>
      </c>
      <c r="CV870" s="36" t="s">
        <v>113</v>
      </c>
      <c r="CZ870" s="71"/>
    </row>
    <row r="871" spans="1:104">
      <c r="A871" s="154" t="s">
        <v>1747</v>
      </c>
      <c r="B871" s="113" t="s">
        <v>173</v>
      </c>
      <c r="C871" s="70"/>
      <c r="E871" s="31">
        <v>19</v>
      </c>
      <c r="G871" s="31" t="s">
        <v>606</v>
      </c>
      <c r="H871" s="31">
        <v>6</v>
      </c>
      <c r="L871" s="31">
        <v>20</v>
      </c>
      <c r="N871" s="31">
        <v>0</v>
      </c>
      <c r="O871" s="31">
        <v>0</v>
      </c>
      <c r="Q871" s="31">
        <v>10</v>
      </c>
      <c r="W871" s="31" t="s">
        <v>174</v>
      </c>
      <c r="CD871" s="35" t="s">
        <v>300</v>
      </c>
      <c r="CE871" s="35" t="s">
        <v>1037</v>
      </c>
      <c r="CF871" s="35" t="s">
        <v>1295</v>
      </c>
      <c r="CG871" s="31" t="s">
        <v>718</v>
      </c>
      <c r="CV871" s="36" t="s">
        <v>1333</v>
      </c>
      <c r="CZ871" s="71"/>
    </row>
    <row r="872" spans="1:104">
      <c r="A872" s="154" t="s">
        <v>1748</v>
      </c>
      <c r="B872" s="31" t="s">
        <v>117</v>
      </c>
      <c r="C872" s="70"/>
      <c r="E872" s="31">
        <v>19</v>
      </c>
      <c r="G872" s="31" t="s">
        <v>607</v>
      </c>
      <c r="H872" s="31">
        <v>6</v>
      </c>
      <c r="L872" s="31">
        <v>20</v>
      </c>
      <c r="N872" s="31">
        <v>0</v>
      </c>
      <c r="O872" s="31">
        <v>0</v>
      </c>
      <c r="Q872" s="31">
        <v>10</v>
      </c>
      <c r="W872" s="31" t="s">
        <v>118</v>
      </c>
      <c r="CD872" s="35" t="s">
        <v>1416</v>
      </c>
      <c r="CE872" s="35" t="s">
        <v>1037</v>
      </c>
      <c r="CF872" s="35" t="s">
        <v>1295</v>
      </c>
      <c r="CG872" s="31" t="s">
        <v>718</v>
      </c>
      <c r="CV872" s="36" t="s">
        <v>123</v>
      </c>
      <c r="CZ872" s="71"/>
    </row>
    <row r="873" spans="1:104">
      <c r="A873" s="154" t="s">
        <v>1749</v>
      </c>
      <c r="B873" s="31" t="s">
        <v>149</v>
      </c>
      <c r="C873" s="70"/>
      <c r="E873" s="31">
        <v>19</v>
      </c>
      <c r="G873" s="31" t="s">
        <v>606</v>
      </c>
      <c r="H873" s="31">
        <v>6</v>
      </c>
      <c r="L873" s="31">
        <v>20</v>
      </c>
      <c r="N873" s="31">
        <v>0</v>
      </c>
      <c r="O873" s="31">
        <v>0</v>
      </c>
      <c r="Q873" s="31">
        <v>10</v>
      </c>
      <c r="W873" s="31" t="s">
        <v>118</v>
      </c>
      <c r="CD873" s="35" t="s">
        <v>1751</v>
      </c>
      <c r="CE873" s="35" t="s">
        <v>1037</v>
      </c>
      <c r="CF873" s="35" t="s">
        <v>1295</v>
      </c>
      <c r="CG873" s="31" t="s">
        <v>718</v>
      </c>
      <c r="CV873" s="49" t="s">
        <v>125</v>
      </c>
      <c r="CZ873" s="71"/>
    </row>
    <row r="874" spans="1:104">
      <c r="A874" s="72" t="s">
        <v>296</v>
      </c>
      <c r="B874" s="31" t="s">
        <v>98</v>
      </c>
      <c r="C874" s="70"/>
      <c r="E874" s="31">
        <v>15</v>
      </c>
      <c r="H874" s="31">
        <v>4</v>
      </c>
      <c r="I874" s="31" t="s">
        <v>99</v>
      </c>
      <c r="J874" s="31">
        <v>4</v>
      </c>
      <c r="K874" s="31">
        <v>2</v>
      </c>
      <c r="N874" s="31">
        <v>0</v>
      </c>
      <c r="O874" s="31">
        <v>0</v>
      </c>
      <c r="Q874" s="31">
        <v>10</v>
      </c>
      <c r="W874" s="31" t="s">
        <v>75</v>
      </c>
      <c r="CE874" s="35" t="s">
        <v>1037</v>
      </c>
      <c r="CG874" s="31" t="s">
        <v>718</v>
      </c>
      <c r="CV874" s="36" t="s">
        <v>217</v>
      </c>
      <c r="CZ874" s="71"/>
    </row>
    <row r="875" spans="1:104">
      <c r="A875" s="72" t="s">
        <v>297</v>
      </c>
      <c r="B875" s="31" t="s">
        <v>98</v>
      </c>
      <c r="C875" s="70"/>
      <c r="E875" s="31">
        <v>15</v>
      </c>
      <c r="H875" s="31">
        <v>4</v>
      </c>
      <c r="I875" s="31" t="s">
        <v>99</v>
      </c>
      <c r="J875" s="31">
        <v>4</v>
      </c>
      <c r="K875" s="31">
        <v>2</v>
      </c>
      <c r="N875" s="31">
        <v>0</v>
      </c>
      <c r="O875" s="31">
        <v>0</v>
      </c>
      <c r="Q875" s="31">
        <v>10</v>
      </c>
      <c r="W875" s="31" t="s">
        <v>75</v>
      </c>
      <c r="CE875" s="35" t="s">
        <v>1037</v>
      </c>
      <c r="CG875" s="31" t="s">
        <v>718</v>
      </c>
      <c r="CV875" s="36" t="s">
        <v>217</v>
      </c>
      <c r="CZ875" s="71"/>
    </row>
    <row r="876" spans="1:104">
      <c r="A876" s="72" t="s">
        <v>298</v>
      </c>
      <c r="B876" s="31" t="s">
        <v>98</v>
      </c>
      <c r="C876" s="70"/>
      <c r="E876" s="31">
        <v>16</v>
      </c>
      <c r="H876" s="31">
        <v>4</v>
      </c>
      <c r="I876" s="31" t="s">
        <v>99</v>
      </c>
      <c r="J876" s="31">
        <v>4</v>
      </c>
      <c r="K876" s="31">
        <v>2</v>
      </c>
      <c r="N876" s="31">
        <v>0</v>
      </c>
      <c r="O876" s="31">
        <v>0</v>
      </c>
      <c r="Q876" s="31">
        <v>10</v>
      </c>
      <c r="W876" s="31" t="s">
        <v>75</v>
      </c>
      <c r="CE876" s="35" t="s">
        <v>1037</v>
      </c>
      <c r="CG876" s="31" t="s">
        <v>718</v>
      </c>
      <c r="CV876" s="36" t="s">
        <v>217</v>
      </c>
      <c r="CZ876" s="71"/>
    </row>
    <row r="877" spans="1:104">
      <c r="A877" s="72" t="s">
        <v>299</v>
      </c>
      <c r="B877" s="31" t="s">
        <v>98</v>
      </c>
      <c r="C877" s="70"/>
      <c r="E877" s="31">
        <v>14</v>
      </c>
      <c r="H877" s="31">
        <v>4</v>
      </c>
      <c r="I877" s="31" t="s">
        <v>99</v>
      </c>
      <c r="J877" s="31">
        <v>4</v>
      </c>
      <c r="K877" s="31">
        <v>2</v>
      </c>
      <c r="N877" s="31">
        <v>0</v>
      </c>
      <c r="O877" s="31">
        <v>0</v>
      </c>
      <c r="Q877" s="31">
        <v>10</v>
      </c>
      <c r="W877" s="31" t="s">
        <v>75</v>
      </c>
      <c r="CE877" s="35" t="s">
        <v>1037</v>
      </c>
      <c r="CG877" s="31" t="s">
        <v>718</v>
      </c>
      <c r="CV877" s="36" t="s">
        <v>217</v>
      </c>
      <c r="CZ877" s="71"/>
    </row>
    <row r="878" spans="1:104">
      <c r="A878" s="72" t="s">
        <v>1246</v>
      </c>
      <c r="B878" s="31" t="s">
        <v>129</v>
      </c>
      <c r="E878" s="31">
        <v>12</v>
      </c>
      <c r="H878" s="31">
        <v>4</v>
      </c>
      <c r="I878" s="31" t="s">
        <v>219</v>
      </c>
      <c r="L878" s="31">
        <v>-50</v>
      </c>
      <c r="N878" s="31">
        <v>0</v>
      </c>
      <c r="O878" s="31">
        <v>0</v>
      </c>
      <c r="P878" s="31">
        <v>2</v>
      </c>
      <c r="Q878" s="31">
        <v>10</v>
      </c>
      <c r="W878" s="31" t="s">
        <v>75</v>
      </c>
      <c r="CC878" s="43"/>
      <c r="CD878" s="43" t="s">
        <v>1416</v>
      </c>
      <c r="CE878" s="35" t="s">
        <v>1037</v>
      </c>
      <c r="CF878" s="43"/>
      <c r="CG878" s="31" t="s">
        <v>718</v>
      </c>
      <c r="CV878" s="36" t="s">
        <v>217</v>
      </c>
      <c r="CZ878" s="71"/>
    </row>
    <row r="879" spans="1:104">
      <c r="A879" s="72" t="s">
        <v>1247</v>
      </c>
      <c r="B879" s="31" t="s">
        <v>129</v>
      </c>
      <c r="E879" s="31">
        <v>12</v>
      </c>
      <c r="H879" s="31">
        <v>4</v>
      </c>
      <c r="I879" s="31" t="s">
        <v>216</v>
      </c>
      <c r="L879" s="31">
        <v>-50</v>
      </c>
      <c r="N879" s="31">
        <v>0</v>
      </c>
      <c r="O879" s="31">
        <v>0</v>
      </c>
      <c r="P879" s="31">
        <v>2</v>
      </c>
      <c r="Q879" s="31">
        <v>10</v>
      </c>
      <c r="W879" s="31" t="s">
        <v>75</v>
      </c>
      <c r="CD879" s="35" t="s">
        <v>1259</v>
      </c>
      <c r="CE879" s="35" t="s">
        <v>1037</v>
      </c>
      <c r="CG879" s="31" t="s">
        <v>718</v>
      </c>
      <c r="CV879" s="36" t="s">
        <v>217</v>
      </c>
      <c r="CZ879" s="71"/>
    </row>
    <row r="880" spans="1:104">
      <c r="A880" s="72" t="s">
        <v>1248</v>
      </c>
      <c r="B880" s="31" t="s">
        <v>129</v>
      </c>
      <c r="E880" s="31">
        <v>12</v>
      </c>
      <c r="H880" s="31">
        <v>4</v>
      </c>
      <c r="I880" s="31" t="s">
        <v>224</v>
      </c>
      <c r="L880" s="31">
        <v>-50</v>
      </c>
      <c r="N880" s="31">
        <v>0</v>
      </c>
      <c r="O880" s="31">
        <v>0</v>
      </c>
      <c r="Q880" s="31">
        <v>10</v>
      </c>
      <c r="W880" s="31" t="s">
        <v>75</v>
      </c>
      <c r="CD880" s="35" t="s">
        <v>1766</v>
      </c>
      <c r="CE880" s="35" t="s">
        <v>1037</v>
      </c>
      <c r="CG880" s="31" t="s">
        <v>718</v>
      </c>
      <c r="CV880" s="36" t="s">
        <v>217</v>
      </c>
      <c r="CZ880" s="71"/>
    </row>
    <row r="881" spans="1:104">
      <c r="A881" s="72" t="s">
        <v>1249</v>
      </c>
      <c r="B881" s="31" t="s">
        <v>129</v>
      </c>
      <c r="E881" s="31">
        <v>12</v>
      </c>
      <c r="H881" s="31">
        <v>4</v>
      </c>
      <c r="I881" s="31" t="s">
        <v>222</v>
      </c>
      <c r="L881" s="31">
        <v>-50</v>
      </c>
      <c r="N881" s="31">
        <v>0</v>
      </c>
      <c r="O881" s="31">
        <v>0</v>
      </c>
      <c r="P881" s="31">
        <v>2</v>
      </c>
      <c r="Q881" s="31">
        <v>10</v>
      </c>
      <c r="W881" s="31" t="s">
        <v>75</v>
      </c>
      <c r="CD881" s="35" t="s">
        <v>1471</v>
      </c>
      <c r="CE881" s="35" t="s">
        <v>1037</v>
      </c>
      <c r="CG881" s="31" t="s">
        <v>718</v>
      </c>
      <c r="CV881" s="36" t="s">
        <v>217</v>
      </c>
      <c r="CZ881" s="71"/>
    </row>
    <row r="882" spans="1:104">
      <c r="A882" s="112" t="s">
        <v>1586</v>
      </c>
      <c r="B882" s="31" t="s">
        <v>129</v>
      </c>
      <c r="C882" s="70"/>
      <c r="E882" s="31">
        <v>11</v>
      </c>
      <c r="G882" s="31" t="s">
        <v>607</v>
      </c>
      <c r="H882" s="31">
        <v>4</v>
      </c>
      <c r="J882" s="31">
        <v>6</v>
      </c>
      <c r="N882" s="31">
        <v>0</v>
      </c>
      <c r="O882" s="31">
        <v>0</v>
      </c>
      <c r="Q882" s="31">
        <v>10</v>
      </c>
      <c r="W882" s="31" t="s">
        <v>75</v>
      </c>
      <c r="CE882" s="35" t="s">
        <v>1037</v>
      </c>
      <c r="CG882" s="31" t="s">
        <v>718</v>
      </c>
      <c r="CV882" s="36" t="s">
        <v>217</v>
      </c>
      <c r="CZ882" s="71"/>
    </row>
    <row r="883" spans="1:104">
      <c r="A883" s="72" t="s">
        <v>732</v>
      </c>
      <c r="B883" s="72" t="s">
        <v>98</v>
      </c>
      <c r="C883" s="70"/>
      <c r="E883" s="31">
        <v>5</v>
      </c>
      <c r="H883" s="31">
        <v>8</v>
      </c>
      <c r="I883" s="31" t="s">
        <v>78</v>
      </c>
      <c r="J883" s="31">
        <v>4</v>
      </c>
      <c r="K883" s="31">
        <v>2</v>
      </c>
      <c r="N883" s="31">
        <v>0</v>
      </c>
      <c r="O883" s="31">
        <v>0</v>
      </c>
      <c r="P883" s="31">
        <v>2</v>
      </c>
      <c r="Q883" s="31">
        <v>10</v>
      </c>
      <c r="W883" s="31" t="s">
        <v>130</v>
      </c>
      <c r="CC883" s="75"/>
      <c r="CD883" s="75"/>
      <c r="CE883" s="35" t="s">
        <v>1037</v>
      </c>
      <c r="CF883" s="76"/>
      <c r="CG883" s="31" t="s">
        <v>718</v>
      </c>
      <c r="CV883" s="36" t="s">
        <v>217</v>
      </c>
      <c r="CZ883" s="71"/>
    </row>
    <row r="884" spans="1:104">
      <c r="A884" s="72" t="s">
        <v>1251</v>
      </c>
      <c r="B884" s="72" t="s">
        <v>98</v>
      </c>
      <c r="C884" s="70"/>
      <c r="E884" s="31">
        <v>17</v>
      </c>
      <c r="H884" s="31">
        <v>8</v>
      </c>
      <c r="I884" s="31" t="s">
        <v>78</v>
      </c>
      <c r="J884" s="31">
        <v>6</v>
      </c>
      <c r="N884" s="31">
        <v>0</v>
      </c>
      <c r="O884" s="31">
        <v>0</v>
      </c>
      <c r="P884" s="31">
        <v>2</v>
      </c>
      <c r="Q884" s="31">
        <v>10</v>
      </c>
      <c r="W884" s="31" t="s">
        <v>130</v>
      </c>
      <c r="CC884" s="75"/>
      <c r="CD884" s="75"/>
      <c r="CE884" s="35" t="s">
        <v>1037</v>
      </c>
      <c r="CF884" s="76" t="s">
        <v>1555</v>
      </c>
      <c r="CG884" s="31" t="s">
        <v>718</v>
      </c>
      <c r="CV884" s="36" t="s">
        <v>217</v>
      </c>
      <c r="CZ884" s="71"/>
    </row>
    <row r="885" spans="1:104">
      <c r="A885" s="72" t="s">
        <v>729</v>
      </c>
      <c r="B885" s="112" t="s">
        <v>165</v>
      </c>
      <c r="C885" s="70"/>
      <c r="E885" s="31">
        <v>6</v>
      </c>
      <c r="G885" s="31" t="s">
        <v>606</v>
      </c>
      <c r="I885" s="31" t="s">
        <v>78</v>
      </c>
      <c r="N885" s="31">
        <v>0</v>
      </c>
      <c r="O885" s="31">
        <v>0</v>
      </c>
      <c r="Q885" s="31">
        <v>10</v>
      </c>
      <c r="W885" s="113" t="s">
        <v>75</v>
      </c>
      <c r="X885" s="31" t="s">
        <v>1403</v>
      </c>
      <c r="CC885" s="75"/>
      <c r="CD885" s="75"/>
      <c r="CE885" s="35" t="s">
        <v>1037</v>
      </c>
      <c r="CF885" s="76"/>
      <c r="CG885" s="31" t="s">
        <v>718</v>
      </c>
      <c r="CV885" s="36" t="s">
        <v>217</v>
      </c>
      <c r="CZ885" s="71"/>
    </row>
    <row r="886" spans="1:104">
      <c r="A886" s="112" t="s">
        <v>1600</v>
      </c>
      <c r="B886" s="113" t="s">
        <v>129</v>
      </c>
      <c r="E886" s="31">
        <v>6</v>
      </c>
      <c r="H886" s="31">
        <v>4</v>
      </c>
      <c r="I886" s="113" t="s">
        <v>74</v>
      </c>
      <c r="J886" s="31">
        <v>8</v>
      </c>
      <c r="N886" s="31">
        <v>0</v>
      </c>
      <c r="O886" s="31">
        <v>0</v>
      </c>
      <c r="Q886" s="31">
        <v>10</v>
      </c>
      <c r="W886" s="113" t="s">
        <v>75</v>
      </c>
      <c r="X886" s="113" t="s">
        <v>1409</v>
      </c>
      <c r="BR886" s="33"/>
      <c r="BS886" s="34"/>
      <c r="CA886" s="44"/>
      <c r="CB886" s="44"/>
      <c r="CC886" s="75"/>
      <c r="CD886" s="75"/>
      <c r="CE886" s="35" t="s">
        <v>1037</v>
      </c>
      <c r="CF886" s="76"/>
      <c r="CG886" s="113" t="s">
        <v>718</v>
      </c>
      <c r="CH886" s="44"/>
      <c r="CI886" s="113"/>
      <c r="CJ886" s="113"/>
      <c r="CK886" s="113"/>
      <c r="CL886" s="113"/>
      <c r="CM886" s="113"/>
      <c r="CN886" s="113"/>
      <c r="CV886" s="36" t="s">
        <v>217</v>
      </c>
      <c r="CW886" s="33"/>
      <c r="CX886" s="33"/>
      <c r="CY886" s="33"/>
      <c r="CZ886" s="71"/>
    </row>
    <row r="887" spans="1:104">
      <c r="A887" s="112" t="s">
        <v>1435</v>
      </c>
      <c r="B887" s="113" t="s">
        <v>77</v>
      </c>
      <c r="E887" s="31">
        <v>1</v>
      </c>
      <c r="H887" s="31">
        <v>4</v>
      </c>
      <c r="I887" s="113" t="s">
        <v>74</v>
      </c>
      <c r="J887" s="31">
        <v>1</v>
      </c>
      <c r="K887" s="31">
        <v>1</v>
      </c>
      <c r="N887" s="31">
        <v>0</v>
      </c>
      <c r="O887" s="31">
        <v>0</v>
      </c>
      <c r="Q887" s="31">
        <v>10</v>
      </c>
      <c r="W887" s="113" t="s">
        <v>75</v>
      </c>
      <c r="X887" s="113"/>
      <c r="BR887" s="33"/>
      <c r="BS887" s="34"/>
      <c r="CA887" s="44"/>
      <c r="CB887" s="44"/>
      <c r="CC887" s="75"/>
      <c r="CD887" s="75"/>
      <c r="CE887" s="35" t="s">
        <v>1037</v>
      </c>
      <c r="CF887" s="76"/>
      <c r="CG887" s="113" t="s">
        <v>718</v>
      </c>
      <c r="CH887" s="44"/>
      <c r="CI887" s="113"/>
      <c r="CJ887" s="113"/>
      <c r="CK887" s="113"/>
      <c r="CL887" s="113"/>
      <c r="CM887" s="113"/>
      <c r="CN887" s="113"/>
      <c r="CV887" s="36" t="s">
        <v>217</v>
      </c>
      <c r="CW887" s="33"/>
      <c r="CX887" s="33"/>
      <c r="CY887" s="33"/>
      <c r="CZ887" s="71"/>
    </row>
    <row r="888" spans="1:104">
      <c r="A888" s="112" t="s">
        <v>1436</v>
      </c>
      <c r="B888" s="113" t="s">
        <v>77</v>
      </c>
      <c r="E888" s="31">
        <v>1</v>
      </c>
      <c r="H888" s="31">
        <v>4</v>
      </c>
      <c r="I888" s="113" t="s">
        <v>74</v>
      </c>
      <c r="J888" s="31">
        <v>1</v>
      </c>
      <c r="K888" s="31">
        <v>1</v>
      </c>
      <c r="N888" s="31">
        <v>0</v>
      </c>
      <c r="O888" s="31">
        <v>0</v>
      </c>
      <c r="Q888" s="31">
        <v>10</v>
      </c>
      <c r="W888" s="113" t="s">
        <v>75</v>
      </c>
      <c r="X888" s="113"/>
      <c r="BR888" s="33"/>
      <c r="BS888" s="34"/>
      <c r="CA888" s="44"/>
      <c r="CB888" s="44"/>
      <c r="CC888" s="75"/>
      <c r="CD888" s="75"/>
      <c r="CE888" s="35" t="s">
        <v>1037</v>
      </c>
      <c r="CF888" s="76"/>
      <c r="CG888" s="113" t="s">
        <v>718</v>
      </c>
      <c r="CH888" s="44"/>
      <c r="CI888" s="113"/>
      <c r="CJ888" s="113"/>
      <c r="CK888" s="113"/>
      <c r="CL888" s="113"/>
      <c r="CM888" s="113"/>
      <c r="CN888" s="113"/>
      <c r="CV888" s="36" t="s">
        <v>217</v>
      </c>
      <c r="CW888" s="33"/>
      <c r="CX888" s="33"/>
      <c r="CY888" s="33"/>
      <c r="CZ888" s="71"/>
    </row>
    <row r="889" spans="1:104">
      <c r="A889" s="112" t="s">
        <v>1437</v>
      </c>
      <c r="B889" s="113" t="s">
        <v>77</v>
      </c>
      <c r="E889" s="31">
        <v>1</v>
      </c>
      <c r="H889" s="31">
        <v>4</v>
      </c>
      <c r="I889" s="113" t="s">
        <v>78</v>
      </c>
      <c r="J889" s="31">
        <v>1</v>
      </c>
      <c r="K889" s="31">
        <v>1</v>
      </c>
      <c r="N889" s="31">
        <v>0</v>
      </c>
      <c r="O889" s="31">
        <v>0</v>
      </c>
      <c r="Q889" s="31">
        <v>10</v>
      </c>
      <c r="W889" s="113" t="s">
        <v>75</v>
      </c>
      <c r="X889" s="113"/>
      <c r="BR889" s="33"/>
      <c r="BS889" s="34"/>
      <c r="CA889" s="44"/>
      <c r="CB889" s="44"/>
      <c r="CC889" s="75"/>
      <c r="CD889" s="75"/>
      <c r="CE889" s="35" t="s">
        <v>1037</v>
      </c>
      <c r="CF889" s="76"/>
      <c r="CG889" s="113" t="s">
        <v>718</v>
      </c>
      <c r="CH889" s="44"/>
      <c r="CI889" s="113"/>
      <c r="CJ889" s="113"/>
      <c r="CK889" s="113"/>
      <c r="CL889" s="113"/>
      <c r="CM889" s="113"/>
      <c r="CN889" s="113"/>
      <c r="CV889" s="36" t="s">
        <v>217</v>
      </c>
      <c r="CW889" s="33"/>
      <c r="CX889" s="33"/>
      <c r="CY889" s="33"/>
      <c r="CZ889" s="71"/>
    </row>
    <row r="890" spans="1:104">
      <c r="A890" s="112" t="s">
        <v>1438</v>
      </c>
      <c r="B890" s="113" t="s">
        <v>77</v>
      </c>
      <c r="E890" s="31">
        <v>1</v>
      </c>
      <c r="H890" s="31">
        <v>4</v>
      </c>
      <c r="I890" s="113" t="s">
        <v>78</v>
      </c>
      <c r="J890" s="31">
        <v>1</v>
      </c>
      <c r="K890" s="31">
        <v>1</v>
      </c>
      <c r="N890" s="31">
        <v>0</v>
      </c>
      <c r="O890" s="31">
        <v>0</v>
      </c>
      <c r="Q890" s="31">
        <v>10</v>
      </c>
      <c r="W890" s="113" t="s">
        <v>75</v>
      </c>
      <c r="X890" s="113"/>
      <c r="BR890" s="33"/>
      <c r="BS890" s="34"/>
      <c r="CA890" s="44"/>
      <c r="CB890" s="44"/>
      <c r="CC890" s="75"/>
      <c r="CD890" s="75"/>
      <c r="CE890" s="35" t="s">
        <v>1037</v>
      </c>
      <c r="CF890" s="76"/>
      <c r="CG890" s="113" t="s">
        <v>718</v>
      </c>
      <c r="CH890" s="44"/>
      <c r="CI890" s="113"/>
      <c r="CJ890" s="113"/>
      <c r="CK890" s="113"/>
      <c r="CL890" s="113"/>
      <c r="CM890" s="113"/>
      <c r="CN890" s="113"/>
      <c r="CV890" s="36" t="s">
        <v>217</v>
      </c>
      <c r="CW890" s="33"/>
      <c r="CX890" s="33"/>
      <c r="CY890" s="33"/>
      <c r="CZ890" s="71"/>
    </row>
    <row r="891" spans="1:104">
      <c r="A891" s="112" t="s">
        <v>1439</v>
      </c>
      <c r="B891" s="113" t="s">
        <v>77</v>
      </c>
      <c r="E891" s="31">
        <v>1</v>
      </c>
      <c r="H891" s="31">
        <v>4</v>
      </c>
      <c r="I891" s="113" t="s">
        <v>78</v>
      </c>
      <c r="J891" s="31">
        <v>1</v>
      </c>
      <c r="K891" s="31">
        <v>1</v>
      </c>
      <c r="N891" s="31">
        <v>0</v>
      </c>
      <c r="O891" s="31">
        <v>0</v>
      </c>
      <c r="Q891" s="31">
        <v>10</v>
      </c>
      <c r="W891" s="113" t="s">
        <v>75</v>
      </c>
      <c r="X891" s="113"/>
      <c r="BR891" s="33"/>
      <c r="BS891" s="34"/>
      <c r="CA891" s="44"/>
      <c r="CB891" s="44"/>
      <c r="CC891" s="75"/>
      <c r="CD891" s="75"/>
      <c r="CE891" s="35" t="s">
        <v>1037</v>
      </c>
      <c r="CF891" s="76"/>
      <c r="CG891" s="113" t="s">
        <v>718</v>
      </c>
      <c r="CH891" s="44"/>
      <c r="CI891" s="113"/>
      <c r="CJ891" s="113"/>
      <c r="CK891" s="113"/>
      <c r="CL891" s="113"/>
      <c r="CM891" s="113"/>
      <c r="CN891" s="113"/>
      <c r="CV891" s="36" t="s">
        <v>217</v>
      </c>
      <c r="CW891" s="33"/>
      <c r="CX891" s="33"/>
      <c r="CY891" s="33"/>
      <c r="CZ891" s="71"/>
    </row>
    <row r="892" spans="1:104">
      <c r="A892" s="112" t="s">
        <v>1440</v>
      </c>
      <c r="B892" s="113" t="s">
        <v>77</v>
      </c>
      <c r="E892" s="31">
        <v>1</v>
      </c>
      <c r="H892" s="31">
        <v>4</v>
      </c>
      <c r="I892" s="113" t="s">
        <v>74</v>
      </c>
      <c r="J892" s="31">
        <v>1</v>
      </c>
      <c r="K892" s="31">
        <v>1</v>
      </c>
      <c r="N892" s="31">
        <v>0</v>
      </c>
      <c r="O892" s="31">
        <v>0</v>
      </c>
      <c r="Q892" s="31">
        <v>10</v>
      </c>
      <c r="W892" s="113" t="s">
        <v>75</v>
      </c>
      <c r="X892" s="113"/>
      <c r="BR892" s="33"/>
      <c r="BS892" s="34"/>
      <c r="CA892" s="44"/>
      <c r="CB892" s="44"/>
      <c r="CC892" s="75"/>
      <c r="CD892" s="75"/>
      <c r="CE892" s="35" t="s">
        <v>1037</v>
      </c>
      <c r="CF892" s="76"/>
      <c r="CG892" s="113" t="s">
        <v>718</v>
      </c>
      <c r="CH892" s="44"/>
      <c r="CI892" s="113"/>
      <c r="CJ892" s="113"/>
      <c r="CK892" s="113"/>
      <c r="CL892" s="113"/>
      <c r="CM892" s="113"/>
      <c r="CN892" s="113"/>
      <c r="CV892" s="36" t="s">
        <v>217</v>
      </c>
      <c r="CW892" s="33"/>
      <c r="CX892" s="33"/>
      <c r="CY892" s="33"/>
      <c r="CZ892" s="71"/>
    </row>
    <row r="893" spans="1:104">
      <c r="A893" s="112" t="s">
        <v>1441</v>
      </c>
      <c r="B893" s="113" t="s">
        <v>77</v>
      </c>
      <c r="E893" s="31">
        <v>1</v>
      </c>
      <c r="H893" s="31">
        <v>4</v>
      </c>
      <c r="I893" s="113" t="s">
        <v>74</v>
      </c>
      <c r="J893" s="31">
        <v>1</v>
      </c>
      <c r="K893" s="31">
        <v>1</v>
      </c>
      <c r="N893" s="31">
        <v>0</v>
      </c>
      <c r="O893" s="31">
        <v>0</v>
      </c>
      <c r="Q893" s="31">
        <v>10</v>
      </c>
      <c r="W893" s="113" t="s">
        <v>75</v>
      </c>
      <c r="X893" s="113"/>
      <c r="BR893" s="33"/>
      <c r="BS893" s="34"/>
      <c r="CA893" s="44"/>
      <c r="CB893" s="44"/>
      <c r="CC893" s="75"/>
      <c r="CD893" s="75"/>
      <c r="CE893" s="35" t="s">
        <v>1037</v>
      </c>
      <c r="CF893" s="76"/>
      <c r="CG893" s="113" t="s">
        <v>718</v>
      </c>
      <c r="CH893" s="44"/>
      <c r="CI893" s="113"/>
      <c r="CJ893" s="113"/>
      <c r="CK893" s="113"/>
      <c r="CL893" s="113"/>
      <c r="CM893" s="113"/>
      <c r="CN893" s="113"/>
      <c r="CV893" s="36" t="s">
        <v>217</v>
      </c>
      <c r="CW893" s="33"/>
      <c r="CX893" s="33"/>
      <c r="CY893" s="33"/>
      <c r="CZ893" s="71"/>
    </row>
    <row r="894" spans="1:104">
      <c r="A894" s="112" t="s">
        <v>1442</v>
      </c>
      <c r="B894" s="113" t="s">
        <v>77</v>
      </c>
      <c r="E894" s="31">
        <v>1</v>
      </c>
      <c r="H894" s="31">
        <v>4</v>
      </c>
      <c r="I894" s="113" t="s">
        <v>74</v>
      </c>
      <c r="J894" s="31">
        <v>1</v>
      </c>
      <c r="K894" s="31">
        <v>1</v>
      </c>
      <c r="N894" s="31">
        <v>0</v>
      </c>
      <c r="O894" s="31">
        <v>0</v>
      </c>
      <c r="Q894" s="31">
        <v>10</v>
      </c>
      <c r="W894" s="113" t="s">
        <v>75</v>
      </c>
      <c r="X894" s="113"/>
      <c r="BR894" s="33"/>
      <c r="BS894" s="34"/>
      <c r="CA894" s="44"/>
      <c r="CB894" s="44"/>
      <c r="CC894" s="75"/>
      <c r="CD894" s="75"/>
      <c r="CE894" s="35" t="s">
        <v>1037</v>
      </c>
      <c r="CF894" s="76"/>
      <c r="CG894" s="113" t="s">
        <v>718</v>
      </c>
      <c r="CH894" s="44"/>
      <c r="CI894" s="113"/>
      <c r="CJ894" s="113"/>
      <c r="CK894" s="113"/>
      <c r="CL894" s="113"/>
      <c r="CM894" s="113"/>
      <c r="CN894" s="113"/>
      <c r="CV894" s="36" t="s">
        <v>217</v>
      </c>
      <c r="CW894" s="33"/>
      <c r="CX894" s="33"/>
      <c r="CY894" s="33"/>
      <c r="CZ894" s="71"/>
    </row>
    <row r="895" spans="1:104">
      <c r="A895" s="112" t="s">
        <v>1443</v>
      </c>
      <c r="B895" s="113" t="s">
        <v>77</v>
      </c>
      <c r="E895" s="31">
        <v>1</v>
      </c>
      <c r="H895" s="31">
        <v>4</v>
      </c>
      <c r="I895" s="113" t="s">
        <v>74</v>
      </c>
      <c r="J895" s="31">
        <v>1</v>
      </c>
      <c r="K895" s="31">
        <v>1</v>
      </c>
      <c r="N895" s="31">
        <v>0</v>
      </c>
      <c r="O895" s="31">
        <v>0</v>
      </c>
      <c r="Q895" s="31">
        <v>10</v>
      </c>
      <c r="W895" s="113" t="s">
        <v>75</v>
      </c>
      <c r="X895" s="113"/>
      <c r="BR895" s="33"/>
      <c r="BS895" s="34"/>
      <c r="CA895" s="44"/>
      <c r="CB895" s="44"/>
      <c r="CC895" s="75"/>
      <c r="CD895" s="75"/>
      <c r="CE895" s="35" t="s">
        <v>1037</v>
      </c>
      <c r="CF895" s="76"/>
      <c r="CG895" s="113" t="s">
        <v>718</v>
      </c>
      <c r="CH895" s="44"/>
      <c r="CI895" s="113"/>
      <c r="CJ895" s="113"/>
      <c r="CK895" s="113"/>
      <c r="CL895" s="113"/>
      <c r="CM895" s="113"/>
      <c r="CN895" s="113"/>
      <c r="CV895" s="36" t="s">
        <v>217</v>
      </c>
      <c r="CW895" s="33"/>
      <c r="CX895" s="33"/>
      <c r="CY895" s="33"/>
      <c r="CZ895" s="71"/>
    </row>
    <row r="896" spans="1:104">
      <c r="A896" s="112" t="s">
        <v>1444</v>
      </c>
      <c r="B896" s="113" t="s">
        <v>77</v>
      </c>
      <c r="E896" s="31">
        <v>1</v>
      </c>
      <c r="H896" s="31">
        <v>4</v>
      </c>
      <c r="I896" s="113" t="s">
        <v>78</v>
      </c>
      <c r="J896" s="31">
        <v>1</v>
      </c>
      <c r="K896" s="31">
        <v>1</v>
      </c>
      <c r="N896" s="31">
        <v>0</v>
      </c>
      <c r="O896" s="31">
        <v>0</v>
      </c>
      <c r="Q896" s="31">
        <v>10</v>
      </c>
      <c r="W896" s="113" t="s">
        <v>75</v>
      </c>
      <c r="X896" s="113"/>
      <c r="BR896" s="33"/>
      <c r="BS896" s="34"/>
      <c r="CA896" s="44"/>
      <c r="CB896" s="44"/>
      <c r="CC896" s="75"/>
      <c r="CD896" s="75"/>
      <c r="CE896" s="35" t="s">
        <v>1037</v>
      </c>
      <c r="CF896" s="76"/>
      <c r="CG896" s="113" t="s">
        <v>718</v>
      </c>
      <c r="CH896" s="44"/>
      <c r="CI896" s="113"/>
      <c r="CJ896" s="113"/>
      <c r="CK896" s="113"/>
      <c r="CL896" s="113"/>
      <c r="CM896" s="113"/>
      <c r="CN896" s="113"/>
      <c r="CV896" s="36" t="s">
        <v>217</v>
      </c>
      <c r="CW896" s="33"/>
      <c r="CX896" s="33"/>
      <c r="CY896" s="33"/>
      <c r="CZ896" s="71"/>
    </row>
    <row r="897" spans="1:104">
      <c r="A897" s="112" t="s">
        <v>1445</v>
      </c>
      <c r="B897" s="113" t="s">
        <v>77</v>
      </c>
      <c r="E897" s="31">
        <v>1</v>
      </c>
      <c r="H897" s="31">
        <v>4</v>
      </c>
      <c r="I897" s="113" t="s">
        <v>99</v>
      </c>
      <c r="J897" s="31">
        <v>1</v>
      </c>
      <c r="K897" s="31">
        <v>1</v>
      </c>
      <c r="N897" s="31">
        <v>0</v>
      </c>
      <c r="O897" s="31">
        <v>0</v>
      </c>
      <c r="Q897" s="31">
        <v>10</v>
      </c>
      <c r="W897" s="113" t="s">
        <v>75</v>
      </c>
      <c r="X897" s="113"/>
      <c r="BR897" s="33"/>
      <c r="BS897" s="34"/>
      <c r="CA897" s="44"/>
      <c r="CB897" s="44"/>
      <c r="CC897" s="75"/>
      <c r="CD897" s="75"/>
      <c r="CE897" s="35" t="s">
        <v>1037</v>
      </c>
      <c r="CF897" s="76"/>
      <c r="CG897" s="113" t="s">
        <v>718</v>
      </c>
      <c r="CH897" s="44"/>
      <c r="CI897" s="113"/>
      <c r="CJ897" s="113"/>
      <c r="CK897" s="113"/>
      <c r="CL897" s="113"/>
      <c r="CM897" s="113"/>
      <c r="CN897" s="113"/>
      <c r="CV897" s="36" t="s">
        <v>217</v>
      </c>
      <c r="CW897" s="33"/>
      <c r="CX897" s="33"/>
      <c r="CY897" s="33"/>
      <c r="CZ897" s="71"/>
    </row>
    <row r="898" spans="1:104">
      <c r="A898" s="112" t="s">
        <v>1446</v>
      </c>
      <c r="B898" s="113" t="s">
        <v>77</v>
      </c>
      <c r="E898" s="31">
        <v>1</v>
      </c>
      <c r="H898" s="31">
        <v>4</v>
      </c>
      <c r="I898" s="113" t="s">
        <v>99</v>
      </c>
      <c r="J898" s="31">
        <v>1</v>
      </c>
      <c r="K898" s="31">
        <v>1</v>
      </c>
      <c r="N898" s="31">
        <v>0</v>
      </c>
      <c r="O898" s="31">
        <v>0</v>
      </c>
      <c r="Q898" s="31">
        <v>10</v>
      </c>
      <c r="W898" s="113" t="s">
        <v>75</v>
      </c>
      <c r="X898" s="113"/>
      <c r="BR898" s="33"/>
      <c r="BS898" s="34"/>
      <c r="CA898" s="44"/>
      <c r="CB898" s="44"/>
      <c r="CC898" s="75"/>
      <c r="CD898" s="75"/>
      <c r="CE898" s="35" t="s">
        <v>1037</v>
      </c>
      <c r="CF898" s="76"/>
      <c r="CG898" s="113" t="s">
        <v>718</v>
      </c>
      <c r="CH898" s="44"/>
      <c r="CI898" s="113"/>
      <c r="CJ898" s="113"/>
      <c r="CK898" s="113"/>
      <c r="CL898" s="113"/>
      <c r="CM898" s="113"/>
      <c r="CN898" s="113"/>
      <c r="CV898" s="36" t="s">
        <v>217</v>
      </c>
      <c r="CW898" s="33"/>
      <c r="CX898" s="33"/>
      <c r="CY898" s="33"/>
      <c r="CZ898" s="71"/>
    </row>
    <row r="899" spans="1:104">
      <c r="A899" s="112" t="s">
        <v>1447</v>
      </c>
      <c r="B899" s="113" t="s">
        <v>77</v>
      </c>
      <c r="E899" s="31">
        <v>1</v>
      </c>
      <c r="H899" s="31">
        <v>4</v>
      </c>
      <c r="I899" s="113" t="s">
        <v>99</v>
      </c>
      <c r="J899" s="31">
        <v>1</v>
      </c>
      <c r="K899" s="31">
        <v>1</v>
      </c>
      <c r="N899" s="31">
        <v>0</v>
      </c>
      <c r="O899" s="31">
        <v>0</v>
      </c>
      <c r="Q899" s="31">
        <v>10</v>
      </c>
      <c r="W899" s="113" t="s">
        <v>75</v>
      </c>
      <c r="X899" s="113"/>
      <c r="BR899" s="33"/>
      <c r="BS899" s="34"/>
      <c r="CA899" s="44"/>
      <c r="CB899" s="44"/>
      <c r="CC899" s="75"/>
      <c r="CD899" s="75"/>
      <c r="CE899" s="35" t="s">
        <v>1037</v>
      </c>
      <c r="CF899" s="76"/>
      <c r="CG899" s="113" t="s">
        <v>718</v>
      </c>
      <c r="CH899" s="44"/>
      <c r="CI899" s="113"/>
      <c r="CJ899" s="113"/>
      <c r="CK899" s="113"/>
      <c r="CL899" s="113"/>
      <c r="CM899" s="113"/>
      <c r="CN899" s="113"/>
      <c r="CV899" s="36" t="s">
        <v>217</v>
      </c>
      <c r="CW899" s="33"/>
      <c r="CX899" s="33"/>
      <c r="CY899" s="33"/>
      <c r="CZ899" s="71"/>
    </row>
    <row r="900" spans="1:104">
      <c r="A900" s="112" t="s">
        <v>1448</v>
      </c>
      <c r="B900" s="113" t="s">
        <v>77</v>
      </c>
      <c r="E900" s="31">
        <v>1</v>
      </c>
      <c r="H900" s="31">
        <v>4</v>
      </c>
      <c r="I900" s="113" t="s">
        <v>99</v>
      </c>
      <c r="J900" s="31">
        <v>1</v>
      </c>
      <c r="K900" s="31">
        <v>1</v>
      </c>
      <c r="N900" s="31">
        <v>0</v>
      </c>
      <c r="O900" s="31">
        <v>0</v>
      </c>
      <c r="Q900" s="31">
        <v>10</v>
      </c>
      <c r="W900" s="113" t="s">
        <v>75</v>
      </c>
      <c r="X900" s="113"/>
      <c r="BR900" s="33"/>
      <c r="BS900" s="34"/>
      <c r="CA900" s="44"/>
      <c r="CB900" s="44"/>
      <c r="CC900" s="75"/>
      <c r="CD900" s="75"/>
      <c r="CE900" s="35" t="s">
        <v>1037</v>
      </c>
      <c r="CF900" s="76"/>
      <c r="CG900" s="113" t="s">
        <v>718</v>
      </c>
      <c r="CH900" s="44"/>
      <c r="CI900" s="113"/>
      <c r="CJ900" s="113"/>
      <c r="CK900" s="113"/>
      <c r="CL900" s="113"/>
      <c r="CM900" s="113"/>
      <c r="CN900" s="113"/>
      <c r="CV900" s="36" t="s">
        <v>217</v>
      </c>
      <c r="CW900" s="33"/>
      <c r="CX900" s="33"/>
      <c r="CY900" s="33"/>
      <c r="CZ900" s="71"/>
    </row>
    <row r="901" spans="1:104">
      <c r="A901" s="112" t="s">
        <v>1449</v>
      </c>
      <c r="B901" s="113" t="s">
        <v>77</v>
      </c>
      <c r="E901" s="31">
        <v>1</v>
      </c>
      <c r="H901" s="31">
        <v>4</v>
      </c>
      <c r="I901" s="113" t="s">
        <v>99</v>
      </c>
      <c r="J901" s="31">
        <v>1</v>
      </c>
      <c r="K901" s="31">
        <v>1</v>
      </c>
      <c r="N901" s="31">
        <v>0</v>
      </c>
      <c r="O901" s="31">
        <v>0</v>
      </c>
      <c r="Q901" s="31">
        <v>10</v>
      </c>
      <c r="W901" s="113" t="s">
        <v>75</v>
      </c>
      <c r="X901" s="113"/>
      <c r="BR901" s="33"/>
      <c r="BS901" s="34"/>
      <c r="CA901" s="44"/>
      <c r="CB901" s="44"/>
      <c r="CC901" s="75"/>
      <c r="CD901" s="75"/>
      <c r="CE901" s="35" t="s">
        <v>1037</v>
      </c>
      <c r="CF901" s="76"/>
      <c r="CG901" s="113" t="s">
        <v>718</v>
      </c>
      <c r="CH901" s="44"/>
      <c r="CI901" s="113"/>
      <c r="CJ901" s="113"/>
      <c r="CK901" s="113"/>
      <c r="CL901" s="113"/>
      <c r="CM901" s="113"/>
      <c r="CN901" s="113"/>
      <c r="CV901" s="36" t="s">
        <v>217</v>
      </c>
      <c r="CW901" s="33"/>
      <c r="CX901" s="33"/>
      <c r="CY901" s="33"/>
      <c r="CZ901" s="71"/>
    </row>
    <row r="902" spans="1:104">
      <c r="A902" s="112" t="s">
        <v>1450</v>
      </c>
      <c r="B902" s="113" t="s">
        <v>77</v>
      </c>
      <c r="E902" s="31">
        <v>1</v>
      </c>
      <c r="H902" s="31">
        <v>4</v>
      </c>
      <c r="I902" s="113" t="s">
        <v>78</v>
      </c>
      <c r="J902" s="31">
        <v>1</v>
      </c>
      <c r="K902" s="31">
        <v>1</v>
      </c>
      <c r="N902" s="31">
        <v>0</v>
      </c>
      <c r="O902" s="31">
        <v>0</v>
      </c>
      <c r="Q902" s="31">
        <v>10</v>
      </c>
      <c r="W902" s="113" t="s">
        <v>75</v>
      </c>
      <c r="X902" s="113"/>
      <c r="BR902" s="33"/>
      <c r="BS902" s="34"/>
      <c r="CA902" s="44"/>
      <c r="CB902" s="44"/>
      <c r="CC902" s="75"/>
      <c r="CD902" s="75"/>
      <c r="CE902" s="35" t="s">
        <v>1037</v>
      </c>
      <c r="CF902" s="76"/>
      <c r="CG902" s="113" t="s">
        <v>718</v>
      </c>
      <c r="CH902" s="44"/>
      <c r="CI902" s="113"/>
      <c r="CJ902" s="113"/>
      <c r="CK902" s="113"/>
      <c r="CL902" s="113"/>
      <c r="CM902" s="113"/>
      <c r="CN902" s="113"/>
      <c r="CV902" s="36" t="s">
        <v>217</v>
      </c>
      <c r="CW902" s="33"/>
      <c r="CX902" s="33"/>
      <c r="CY902" s="33"/>
      <c r="CZ902" s="71"/>
    </row>
    <row r="903" spans="1:104">
      <c r="A903" s="112" t="s">
        <v>1451</v>
      </c>
      <c r="B903" s="113" t="s">
        <v>77</v>
      </c>
      <c r="E903" s="31">
        <v>1</v>
      </c>
      <c r="H903" s="31">
        <v>4</v>
      </c>
      <c r="I903" s="113" t="s">
        <v>78</v>
      </c>
      <c r="J903" s="31">
        <v>1</v>
      </c>
      <c r="K903" s="31">
        <v>1</v>
      </c>
      <c r="N903" s="31">
        <v>0</v>
      </c>
      <c r="O903" s="31">
        <v>0</v>
      </c>
      <c r="Q903" s="31">
        <v>10</v>
      </c>
      <c r="W903" s="113" t="s">
        <v>75</v>
      </c>
      <c r="X903" s="113"/>
      <c r="BR903" s="33"/>
      <c r="BS903" s="34"/>
      <c r="CA903" s="44"/>
      <c r="CB903" s="44"/>
      <c r="CC903" s="75"/>
      <c r="CD903" s="75"/>
      <c r="CE903" s="35" t="s">
        <v>1037</v>
      </c>
      <c r="CF903" s="76"/>
      <c r="CG903" s="113" t="s">
        <v>718</v>
      </c>
      <c r="CH903" s="44"/>
      <c r="CI903" s="113"/>
      <c r="CJ903" s="113"/>
      <c r="CK903" s="113"/>
      <c r="CL903" s="113"/>
      <c r="CM903" s="113"/>
      <c r="CN903" s="113"/>
      <c r="CV903" s="36" t="s">
        <v>217</v>
      </c>
      <c r="CW903" s="33"/>
      <c r="CX903" s="33"/>
      <c r="CY903" s="33"/>
      <c r="CZ903" s="71"/>
    </row>
    <row r="904" spans="1:104">
      <c r="A904" s="112" t="s">
        <v>1452</v>
      </c>
      <c r="B904" s="113" t="s">
        <v>77</v>
      </c>
      <c r="E904" s="31">
        <v>1</v>
      </c>
      <c r="H904" s="31">
        <v>4</v>
      </c>
      <c r="I904" s="113" t="s">
        <v>74</v>
      </c>
      <c r="J904" s="31">
        <v>1</v>
      </c>
      <c r="K904" s="31">
        <v>1</v>
      </c>
      <c r="N904" s="31">
        <v>0</v>
      </c>
      <c r="O904" s="31">
        <v>0</v>
      </c>
      <c r="Q904" s="31">
        <v>10</v>
      </c>
      <c r="W904" s="113" t="s">
        <v>75</v>
      </c>
      <c r="X904" s="113"/>
      <c r="BR904" s="33"/>
      <c r="BS904" s="34"/>
      <c r="CA904" s="44"/>
      <c r="CB904" s="44"/>
      <c r="CC904" s="75"/>
      <c r="CD904" s="75"/>
      <c r="CE904" s="35" t="s">
        <v>1037</v>
      </c>
      <c r="CF904" s="76"/>
      <c r="CG904" s="113" t="s">
        <v>718</v>
      </c>
      <c r="CH904" s="44"/>
      <c r="CI904" s="113"/>
      <c r="CJ904" s="113"/>
      <c r="CK904" s="113"/>
      <c r="CL904" s="113"/>
      <c r="CM904" s="113"/>
      <c r="CN904" s="113"/>
      <c r="CV904" s="36" t="s">
        <v>217</v>
      </c>
      <c r="CW904" s="33"/>
      <c r="CX904" s="33"/>
      <c r="CY904" s="33"/>
      <c r="CZ904" s="71"/>
    </row>
    <row r="905" spans="1:104">
      <c r="A905" s="112" t="s">
        <v>1453</v>
      </c>
      <c r="B905" s="113" t="s">
        <v>77</v>
      </c>
      <c r="E905" s="31">
        <v>1</v>
      </c>
      <c r="H905" s="31">
        <v>4</v>
      </c>
      <c r="I905" s="113" t="s">
        <v>78</v>
      </c>
      <c r="J905" s="31">
        <v>1</v>
      </c>
      <c r="K905" s="31">
        <v>1</v>
      </c>
      <c r="N905" s="31">
        <v>0</v>
      </c>
      <c r="O905" s="31">
        <v>0</v>
      </c>
      <c r="Q905" s="31">
        <v>10</v>
      </c>
      <c r="W905" s="113" t="s">
        <v>75</v>
      </c>
      <c r="X905" s="113"/>
      <c r="BR905" s="33"/>
      <c r="BS905" s="34"/>
      <c r="CA905" s="44"/>
      <c r="CB905" s="44"/>
      <c r="CC905" s="75"/>
      <c r="CD905" s="75"/>
      <c r="CE905" s="35" t="s">
        <v>1037</v>
      </c>
      <c r="CF905" s="76"/>
      <c r="CG905" s="113" t="s">
        <v>718</v>
      </c>
      <c r="CH905" s="44"/>
      <c r="CI905" s="113"/>
      <c r="CJ905" s="113"/>
      <c r="CK905" s="113"/>
      <c r="CL905" s="113"/>
      <c r="CM905" s="113"/>
      <c r="CN905" s="113"/>
      <c r="CV905" s="36" t="s">
        <v>217</v>
      </c>
      <c r="CW905" s="33"/>
      <c r="CX905" s="33"/>
      <c r="CY905" s="33"/>
      <c r="CZ905" s="71"/>
    </row>
    <row r="906" spans="1:104">
      <c r="A906" s="112" t="s">
        <v>1454</v>
      </c>
      <c r="B906" s="113" t="s">
        <v>77</v>
      </c>
      <c r="E906" s="31">
        <v>1</v>
      </c>
      <c r="H906" s="31">
        <v>4</v>
      </c>
      <c r="I906" s="113" t="s">
        <v>78</v>
      </c>
      <c r="J906" s="31">
        <v>1</v>
      </c>
      <c r="K906" s="31">
        <v>1</v>
      </c>
      <c r="N906" s="31">
        <v>0</v>
      </c>
      <c r="O906" s="31">
        <v>0</v>
      </c>
      <c r="Q906" s="31">
        <v>10</v>
      </c>
      <c r="W906" s="113" t="s">
        <v>75</v>
      </c>
      <c r="X906" s="113"/>
      <c r="BR906" s="33"/>
      <c r="BS906" s="34"/>
      <c r="CA906" s="44"/>
      <c r="CB906" s="44"/>
      <c r="CC906" s="75"/>
      <c r="CD906" s="75"/>
      <c r="CE906" s="35" t="s">
        <v>1037</v>
      </c>
      <c r="CF906" s="76"/>
      <c r="CG906" s="113" t="s">
        <v>718</v>
      </c>
      <c r="CH906" s="44"/>
      <c r="CI906" s="113"/>
      <c r="CJ906" s="113"/>
      <c r="CK906" s="113"/>
      <c r="CL906" s="113"/>
      <c r="CM906" s="113"/>
      <c r="CN906" s="113"/>
      <c r="CV906" s="36" t="s">
        <v>217</v>
      </c>
      <c r="CW906" s="33"/>
      <c r="CX906" s="33"/>
      <c r="CY906" s="33"/>
      <c r="CZ906" s="71"/>
    </row>
    <row r="907" spans="1:104">
      <c r="A907" s="112" t="s">
        <v>1455</v>
      </c>
      <c r="B907" s="113" t="s">
        <v>77</v>
      </c>
      <c r="E907" s="31">
        <v>1</v>
      </c>
      <c r="H907" s="31">
        <v>4</v>
      </c>
      <c r="I907" s="113" t="s">
        <v>78</v>
      </c>
      <c r="J907" s="31">
        <v>1</v>
      </c>
      <c r="K907" s="31">
        <v>1</v>
      </c>
      <c r="N907" s="31">
        <v>0</v>
      </c>
      <c r="O907" s="31">
        <v>0</v>
      </c>
      <c r="Q907" s="31">
        <v>10</v>
      </c>
      <c r="W907" s="113" t="s">
        <v>75</v>
      </c>
      <c r="X907" s="113"/>
      <c r="BR907" s="33"/>
      <c r="BS907" s="34"/>
      <c r="CA907" s="44"/>
      <c r="CB907" s="44"/>
      <c r="CC907" s="75"/>
      <c r="CD907" s="75"/>
      <c r="CE907" s="35" t="s">
        <v>1037</v>
      </c>
      <c r="CF907" s="76"/>
      <c r="CG907" s="113" t="s">
        <v>718</v>
      </c>
      <c r="CH907" s="44"/>
      <c r="CI907" s="113"/>
      <c r="CJ907" s="113"/>
      <c r="CK907" s="113"/>
      <c r="CL907" s="113"/>
      <c r="CM907" s="113"/>
      <c r="CN907" s="113"/>
      <c r="CV907" s="36" t="s">
        <v>217</v>
      </c>
      <c r="CW907" s="33"/>
      <c r="CX907" s="33"/>
      <c r="CY907" s="33"/>
      <c r="CZ907" s="71"/>
    </row>
    <row r="908" spans="1:104">
      <c r="A908" s="112" t="s">
        <v>1456</v>
      </c>
      <c r="B908" s="113" t="s">
        <v>77</v>
      </c>
      <c r="E908" s="31">
        <v>1</v>
      </c>
      <c r="H908" s="31">
        <v>4</v>
      </c>
      <c r="I908" s="113" t="s">
        <v>78</v>
      </c>
      <c r="J908" s="31">
        <v>1</v>
      </c>
      <c r="K908" s="31">
        <v>1</v>
      </c>
      <c r="N908" s="31">
        <v>0</v>
      </c>
      <c r="O908" s="31">
        <v>0</v>
      </c>
      <c r="Q908" s="31">
        <v>10</v>
      </c>
      <c r="W908" s="113" t="s">
        <v>75</v>
      </c>
      <c r="X908" s="113"/>
      <c r="BR908" s="33"/>
      <c r="BS908" s="34"/>
      <c r="CA908" s="44"/>
      <c r="CB908" s="44"/>
      <c r="CC908" s="75"/>
      <c r="CD908" s="75"/>
      <c r="CE908" s="35" t="s">
        <v>1037</v>
      </c>
      <c r="CF908" s="76"/>
      <c r="CG908" s="113" t="s">
        <v>718</v>
      </c>
      <c r="CH908" s="44"/>
      <c r="CI908" s="113"/>
      <c r="CJ908" s="113"/>
      <c r="CK908" s="113"/>
      <c r="CL908" s="113"/>
      <c r="CM908" s="113"/>
      <c r="CN908" s="113"/>
      <c r="CV908" s="36" t="s">
        <v>217</v>
      </c>
      <c r="CW908" s="33"/>
      <c r="CX908" s="33"/>
      <c r="CY908" s="33"/>
      <c r="CZ908" s="71"/>
    </row>
    <row r="909" spans="1:104">
      <c r="A909" s="112" t="s">
        <v>1457</v>
      </c>
      <c r="B909" s="113" t="s">
        <v>77</v>
      </c>
      <c r="E909" s="31">
        <v>1</v>
      </c>
      <c r="H909" s="31">
        <v>4</v>
      </c>
      <c r="I909" s="113" t="s">
        <v>78</v>
      </c>
      <c r="J909" s="31">
        <v>1</v>
      </c>
      <c r="K909" s="31">
        <v>1</v>
      </c>
      <c r="N909" s="31">
        <v>0</v>
      </c>
      <c r="O909" s="31">
        <v>0</v>
      </c>
      <c r="Q909" s="31">
        <v>10</v>
      </c>
      <c r="W909" s="113" t="s">
        <v>75</v>
      </c>
      <c r="X909" s="113"/>
      <c r="BR909" s="33"/>
      <c r="BS909" s="34"/>
      <c r="CA909" s="44"/>
      <c r="CB909" s="44"/>
      <c r="CC909" s="75"/>
      <c r="CD909" s="75"/>
      <c r="CE909" s="35" t="s">
        <v>1037</v>
      </c>
      <c r="CF909" s="76"/>
      <c r="CG909" s="113" t="s">
        <v>718</v>
      </c>
      <c r="CH909" s="44"/>
      <c r="CI909" s="113"/>
      <c r="CJ909" s="113"/>
      <c r="CK909" s="113"/>
      <c r="CL909" s="113"/>
      <c r="CM909" s="113"/>
      <c r="CN909" s="113"/>
      <c r="CV909" s="36" t="s">
        <v>217</v>
      </c>
      <c r="CW909" s="33"/>
      <c r="CX909" s="33"/>
      <c r="CY909" s="33"/>
      <c r="CZ909" s="71"/>
    </row>
    <row r="910" spans="1:104">
      <c r="A910" s="112" t="s">
        <v>1458</v>
      </c>
      <c r="B910" s="113" t="s">
        <v>77</v>
      </c>
      <c r="E910" s="31">
        <v>1</v>
      </c>
      <c r="H910" s="31">
        <v>4</v>
      </c>
      <c r="I910" s="113" t="s">
        <v>78</v>
      </c>
      <c r="J910" s="31">
        <v>1</v>
      </c>
      <c r="K910" s="31">
        <v>1</v>
      </c>
      <c r="N910" s="31">
        <v>0</v>
      </c>
      <c r="O910" s="31">
        <v>0</v>
      </c>
      <c r="Q910" s="31">
        <v>10</v>
      </c>
      <c r="W910" s="113" t="s">
        <v>75</v>
      </c>
      <c r="X910" s="113"/>
      <c r="BR910" s="33"/>
      <c r="BS910" s="34"/>
      <c r="CA910" s="44"/>
      <c r="CB910" s="44"/>
      <c r="CC910" s="75"/>
      <c r="CD910" s="75"/>
      <c r="CE910" s="35" t="s">
        <v>1037</v>
      </c>
      <c r="CF910" s="76"/>
      <c r="CG910" s="113" t="s">
        <v>718</v>
      </c>
      <c r="CH910" s="44"/>
      <c r="CI910" s="113"/>
      <c r="CJ910" s="113"/>
      <c r="CK910" s="113"/>
      <c r="CL910" s="113"/>
      <c r="CM910" s="113"/>
      <c r="CN910" s="113"/>
      <c r="CV910" s="36" t="s">
        <v>217</v>
      </c>
      <c r="CW910" s="33"/>
      <c r="CX910" s="33"/>
      <c r="CY910" s="33"/>
      <c r="CZ910" s="71"/>
    </row>
    <row r="911" spans="1:104">
      <c r="A911" s="112" t="s">
        <v>1459</v>
      </c>
      <c r="B911" s="113" t="s">
        <v>77</v>
      </c>
      <c r="E911" s="31">
        <v>1</v>
      </c>
      <c r="H911" s="31">
        <v>4</v>
      </c>
      <c r="I911" s="113" t="s">
        <v>74</v>
      </c>
      <c r="J911" s="31">
        <v>1</v>
      </c>
      <c r="K911" s="31">
        <v>1</v>
      </c>
      <c r="N911" s="31">
        <v>0</v>
      </c>
      <c r="O911" s="31">
        <v>0</v>
      </c>
      <c r="Q911" s="31">
        <v>10</v>
      </c>
      <c r="W911" s="113" t="s">
        <v>75</v>
      </c>
      <c r="X911" s="113"/>
      <c r="BR911" s="33"/>
      <c r="BS911" s="34"/>
      <c r="CA911" s="44"/>
      <c r="CB911" s="44"/>
      <c r="CC911" s="75"/>
      <c r="CD911" s="75"/>
      <c r="CE911" s="35" t="s">
        <v>1037</v>
      </c>
      <c r="CF911" s="76"/>
      <c r="CG911" s="113" t="s">
        <v>718</v>
      </c>
      <c r="CH911" s="44"/>
      <c r="CI911" s="113"/>
      <c r="CJ911" s="113"/>
      <c r="CK911" s="113"/>
      <c r="CL911" s="113"/>
      <c r="CM911" s="113"/>
      <c r="CN911" s="113"/>
      <c r="CV911" s="36" t="s">
        <v>217</v>
      </c>
      <c r="CW911" s="33"/>
      <c r="CX911" s="33"/>
      <c r="CY911" s="33"/>
      <c r="CZ911" s="71"/>
    </row>
    <row r="912" spans="1:104">
      <c r="A912" s="112" t="s">
        <v>1460</v>
      </c>
      <c r="B912" s="113" t="s">
        <v>77</v>
      </c>
      <c r="E912" s="31">
        <v>1</v>
      </c>
      <c r="H912" s="31">
        <v>4</v>
      </c>
      <c r="I912" s="113" t="s">
        <v>74</v>
      </c>
      <c r="J912" s="31">
        <v>1</v>
      </c>
      <c r="K912" s="31">
        <v>1</v>
      </c>
      <c r="N912" s="31">
        <v>0</v>
      </c>
      <c r="O912" s="31">
        <v>0</v>
      </c>
      <c r="Q912" s="31">
        <v>10</v>
      </c>
      <c r="W912" s="113" t="s">
        <v>75</v>
      </c>
      <c r="X912" s="113"/>
      <c r="BR912" s="33"/>
      <c r="BS912" s="34"/>
      <c r="CA912" s="44"/>
      <c r="CB912" s="44"/>
      <c r="CC912" s="75"/>
      <c r="CD912" s="75"/>
      <c r="CE912" s="35" t="s">
        <v>1037</v>
      </c>
      <c r="CF912" s="76"/>
      <c r="CG912" s="113" t="s">
        <v>718</v>
      </c>
      <c r="CH912" s="44"/>
      <c r="CI912" s="113"/>
      <c r="CJ912" s="113"/>
      <c r="CK912" s="113"/>
      <c r="CL912" s="113"/>
      <c r="CM912" s="113"/>
      <c r="CN912" s="113"/>
      <c r="CV912" s="36" t="s">
        <v>217</v>
      </c>
      <c r="CW912" s="33"/>
      <c r="CX912" s="33"/>
      <c r="CY912" s="33"/>
      <c r="CZ912" s="71"/>
    </row>
    <row r="913" spans="1:108">
      <c r="A913" s="112" t="s">
        <v>1461</v>
      </c>
      <c r="B913" s="113" t="s">
        <v>77</v>
      </c>
      <c r="E913" s="31">
        <v>1</v>
      </c>
      <c r="H913" s="31">
        <v>4</v>
      </c>
      <c r="I913" s="113" t="s">
        <v>99</v>
      </c>
      <c r="J913" s="31">
        <v>1</v>
      </c>
      <c r="K913" s="31">
        <v>1</v>
      </c>
      <c r="N913" s="31">
        <v>0</v>
      </c>
      <c r="O913" s="31">
        <v>0</v>
      </c>
      <c r="Q913" s="31">
        <v>10</v>
      </c>
      <c r="W913" s="113" t="s">
        <v>75</v>
      </c>
      <c r="X913" s="113"/>
      <c r="BR913" s="33"/>
      <c r="BS913" s="34"/>
      <c r="CA913" s="44"/>
      <c r="CB913" s="44"/>
      <c r="CC913" s="75"/>
      <c r="CD913" s="75"/>
      <c r="CE913" s="35" t="s">
        <v>1037</v>
      </c>
      <c r="CF913" s="76"/>
      <c r="CG913" s="113" t="s">
        <v>718</v>
      </c>
      <c r="CH913" s="44"/>
      <c r="CI913" s="113"/>
      <c r="CJ913" s="113"/>
      <c r="CK913" s="113"/>
      <c r="CL913" s="113"/>
      <c r="CM913" s="113"/>
      <c r="CN913" s="113"/>
      <c r="CV913" s="36" t="s">
        <v>217</v>
      </c>
      <c r="CW913" s="33"/>
      <c r="CX913" s="33"/>
      <c r="CY913" s="33"/>
      <c r="CZ913" s="71"/>
    </row>
    <row r="914" spans="1:108">
      <c r="A914" s="112" t="s">
        <v>1462</v>
      </c>
      <c r="B914" s="113" t="s">
        <v>77</v>
      </c>
      <c r="E914" s="31">
        <v>1</v>
      </c>
      <c r="H914" s="31">
        <v>4</v>
      </c>
      <c r="I914" s="113" t="s">
        <v>99</v>
      </c>
      <c r="J914" s="31">
        <v>1</v>
      </c>
      <c r="K914" s="31">
        <v>1</v>
      </c>
      <c r="N914" s="31">
        <v>0</v>
      </c>
      <c r="O914" s="31">
        <v>0</v>
      </c>
      <c r="Q914" s="31">
        <v>10</v>
      </c>
      <c r="W914" s="113" t="s">
        <v>75</v>
      </c>
      <c r="X914" s="113"/>
      <c r="BR914" s="33"/>
      <c r="BS914" s="34"/>
      <c r="CA914" s="44"/>
      <c r="CB914" s="44"/>
      <c r="CC914" s="75"/>
      <c r="CD914" s="75"/>
      <c r="CE914" s="35" t="s">
        <v>1037</v>
      </c>
      <c r="CF914" s="76"/>
      <c r="CG914" s="113" t="s">
        <v>718</v>
      </c>
      <c r="CH914" s="44"/>
      <c r="CI914" s="113"/>
      <c r="CJ914" s="113"/>
      <c r="CK914" s="113"/>
      <c r="CL914" s="113"/>
      <c r="CM914" s="113"/>
      <c r="CN914" s="113"/>
      <c r="CV914" s="36" t="s">
        <v>217</v>
      </c>
      <c r="CW914" s="33"/>
      <c r="CX914" s="33"/>
      <c r="CY914" s="33"/>
      <c r="CZ914" s="71"/>
    </row>
    <row r="915" spans="1:108">
      <c r="A915" s="112" t="s">
        <v>1463</v>
      </c>
      <c r="B915" s="113" t="s">
        <v>77</v>
      </c>
      <c r="E915" s="31">
        <v>1</v>
      </c>
      <c r="H915" s="31">
        <v>4</v>
      </c>
      <c r="I915" s="113" t="s">
        <v>99</v>
      </c>
      <c r="J915" s="31">
        <v>1</v>
      </c>
      <c r="K915" s="31">
        <v>1</v>
      </c>
      <c r="N915" s="31">
        <v>0</v>
      </c>
      <c r="O915" s="31">
        <v>0</v>
      </c>
      <c r="Q915" s="31">
        <v>10</v>
      </c>
      <c r="W915" s="113" t="s">
        <v>75</v>
      </c>
      <c r="X915" s="113"/>
      <c r="BR915" s="33"/>
      <c r="BS915" s="34"/>
      <c r="CA915" s="44"/>
      <c r="CB915" s="44"/>
      <c r="CC915" s="75"/>
      <c r="CD915" s="75"/>
      <c r="CE915" s="35" t="s">
        <v>1037</v>
      </c>
      <c r="CF915" s="76"/>
      <c r="CG915" s="113" t="s">
        <v>718</v>
      </c>
      <c r="CH915" s="44"/>
      <c r="CI915" s="113"/>
      <c r="CJ915" s="113"/>
      <c r="CK915" s="113"/>
      <c r="CL915" s="113"/>
      <c r="CM915" s="113"/>
      <c r="CN915" s="113"/>
      <c r="CV915" s="36" t="s">
        <v>217</v>
      </c>
      <c r="CW915" s="33"/>
      <c r="CX915" s="33"/>
      <c r="CY915" s="33"/>
      <c r="CZ915" s="71"/>
    </row>
    <row r="916" spans="1:108">
      <c r="A916" s="112" t="s">
        <v>1464</v>
      </c>
      <c r="B916" s="113" t="s">
        <v>77</v>
      </c>
      <c r="E916" s="31">
        <v>1</v>
      </c>
      <c r="H916" s="31">
        <v>4</v>
      </c>
      <c r="I916" s="113" t="s">
        <v>99</v>
      </c>
      <c r="J916" s="31">
        <v>1</v>
      </c>
      <c r="K916" s="31">
        <v>1</v>
      </c>
      <c r="N916" s="31">
        <v>0</v>
      </c>
      <c r="O916" s="31">
        <v>0</v>
      </c>
      <c r="Q916" s="31">
        <v>10</v>
      </c>
      <c r="W916" s="113" t="s">
        <v>75</v>
      </c>
      <c r="X916" s="113"/>
      <c r="BR916" s="33"/>
      <c r="BS916" s="34"/>
      <c r="CA916" s="44"/>
      <c r="CB916" s="44"/>
      <c r="CC916" s="75"/>
      <c r="CD916" s="75"/>
      <c r="CE916" s="35" t="s">
        <v>1037</v>
      </c>
      <c r="CF916" s="76"/>
      <c r="CG916" s="113" t="s">
        <v>718</v>
      </c>
      <c r="CH916" s="44"/>
      <c r="CI916" s="113"/>
      <c r="CJ916" s="113"/>
      <c r="CK916" s="113"/>
      <c r="CL916" s="113"/>
      <c r="CM916" s="113"/>
      <c r="CN916" s="113"/>
      <c r="CV916" s="36" t="s">
        <v>217</v>
      </c>
      <c r="CW916" s="33"/>
      <c r="CX916" s="33"/>
      <c r="CY916" s="33"/>
      <c r="CZ916" s="71"/>
    </row>
    <row r="917" spans="1:108">
      <c r="A917" s="27" t="s">
        <v>301</v>
      </c>
      <c r="B917" s="27"/>
      <c r="C917" s="28" t="s">
        <v>302</v>
      </c>
      <c r="D917" s="31">
        <v>1</v>
      </c>
      <c r="E917" s="27">
        <v>1</v>
      </c>
      <c r="F917" s="27"/>
      <c r="G917" s="27"/>
      <c r="H917" s="27"/>
      <c r="I917" s="27"/>
      <c r="J917" s="27"/>
      <c r="K917" s="27"/>
      <c r="L917" s="27"/>
      <c r="M917" s="27"/>
      <c r="N917" s="27"/>
      <c r="O917" s="27"/>
      <c r="P917" s="27"/>
      <c r="Q917" s="27"/>
      <c r="R917" s="27"/>
      <c r="S917" s="27"/>
      <c r="T917" s="27"/>
      <c r="U917" s="27"/>
      <c r="V917" s="27"/>
      <c r="W917" s="27"/>
      <c r="X917" s="27"/>
      <c r="Y917" s="27"/>
      <c r="Z917" s="27"/>
      <c r="AA917" s="27"/>
      <c r="AB917" s="27"/>
      <c r="AC917" s="27"/>
      <c r="AD917" s="27"/>
      <c r="AE917" s="27"/>
      <c r="AF917" s="27"/>
      <c r="AG917" s="27"/>
      <c r="AH917" s="27"/>
      <c r="AI917" s="27"/>
      <c r="AJ917" s="27"/>
      <c r="AK917" s="27"/>
      <c r="AL917" s="27"/>
      <c r="AM917" s="27"/>
      <c r="AN917" s="27"/>
      <c r="AO917" s="27"/>
      <c r="AP917" s="27"/>
      <c r="AQ917" s="27"/>
      <c r="AR917" s="27"/>
      <c r="AS917" s="27"/>
      <c r="AT917" s="27"/>
      <c r="AU917" s="27"/>
      <c r="AV917" s="27"/>
      <c r="AW917" s="27"/>
      <c r="AX917" s="27"/>
      <c r="AY917" s="27"/>
      <c r="AZ917" s="27"/>
      <c r="BA917" s="27"/>
      <c r="BB917" s="27"/>
      <c r="BC917" s="27"/>
      <c r="BD917" s="27"/>
      <c r="BE917" s="27"/>
      <c r="BF917" s="27"/>
      <c r="BG917" s="27"/>
      <c r="BH917" s="27"/>
      <c r="BI917" s="27"/>
      <c r="BJ917" s="27"/>
      <c r="BK917" s="27"/>
      <c r="BL917" s="27"/>
      <c r="BM917" s="27"/>
      <c r="BN917" s="27"/>
      <c r="BO917" s="27"/>
      <c r="BP917" s="27"/>
      <c r="BQ917" s="27"/>
      <c r="BR917" s="29"/>
      <c r="BS917" s="30"/>
      <c r="BT917" s="27"/>
      <c r="BU917" s="27"/>
      <c r="BV917" s="27"/>
      <c r="BW917" s="27"/>
      <c r="BX917" s="27"/>
      <c r="BY917" s="27"/>
      <c r="BZ917" s="27"/>
      <c r="CA917" s="27"/>
      <c r="CB917" s="27"/>
      <c r="CC917" s="24"/>
      <c r="CD917" s="75"/>
      <c r="CE917" s="76"/>
      <c r="CF917" s="76"/>
      <c r="CG917" s="32"/>
      <c r="CH917" s="27">
        <v>0</v>
      </c>
      <c r="CI917" s="32"/>
      <c r="CJ917" s="32"/>
      <c r="CK917" s="32"/>
      <c r="CL917" s="32"/>
      <c r="CM917" s="32"/>
      <c r="CN917" s="32"/>
      <c r="CO917" s="27"/>
      <c r="CP917" s="27"/>
      <c r="CQ917" s="27"/>
      <c r="CR917" s="27"/>
      <c r="CS917" s="27"/>
      <c r="CT917" s="27"/>
      <c r="CU917" s="27"/>
      <c r="CV917" s="32"/>
      <c r="CW917" s="27"/>
      <c r="CX917" s="27"/>
      <c r="CY917" s="27"/>
      <c r="CZ917" s="27"/>
      <c r="DA917" s="27"/>
      <c r="DB917" s="27"/>
      <c r="DC917" s="27"/>
      <c r="DD917" s="27"/>
    </row>
    <row r="918" spans="1:108">
      <c r="A918" s="12" t="s">
        <v>513</v>
      </c>
      <c r="B918" s="31" t="s">
        <v>301</v>
      </c>
      <c r="H918" s="31">
        <v>-1</v>
      </c>
      <c r="S918" s="103">
        <v>7</v>
      </c>
      <c r="CC918" s="31"/>
      <c r="CD918" s="31"/>
      <c r="CE918" s="31"/>
      <c r="CF918" s="76"/>
      <c r="CV918" s="31"/>
    </row>
    <row r="919" spans="1:108">
      <c r="A919" s="12" t="s">
        <v>1800</v>
      </c>
      <c r="B919" s="31" t="s">
        <v>301</v>
      </c>
      <c r="I919" s="113"/>
      <c r="S919" s="103">
        <v>2</v>
      </c>
      <c r="U919" s="31">
        <v>1</v>
      </c>
      <c r="CC919" s="31"/>
      <c r="CD919" s="113"/>
      <c r="CE919" s="31"/>
      <c r="CF919" s="76"/>
      <c r="CV919" s="31"/>
    </row>
    <row r="920" spans="1:108">
      <c r="A920" s="12" t="s">
        <v>1801</v>
      </c>
      <c r="B920" s="31" t="s">
        <v>301</v>
      </c>
      <c r="I920" s="113"/>
      <c r="S920" s="103">
        <v>2.5</v>
      </c>
      <c r="U920" s="31">
        <v>2</v>
      </c>
      <c r="CC920" s="31"/>
      <c r="CD920" s="113"/>
      <c r="CE920" s="31"/>
      <c r="CF920" s="76"/>
      <c r="CV920" s="31"/>
    </row>
    <row r="921" spans="1:108">
      <c r="A921" s="12" t="s">
        <v>1802</v>
      </c>
      <c r="B921" s="31" t="s">
        <v>301</v>
      </c>
      <c r="I921" s="113"/>
      <c r="S921" s="103">
        <v>2.8</v>
      </c>
      <c r="U921" s="31">
        <v>3</v>
      </c>
      <c r="CC921" s="31"/>
      <c r="CD921" s="113"/>
      <c r="CE921" s="31"/>
      <c r="CF921" s="76"/>
      <c r="CV921" s="31"/>
    </row>
    <row r="922" spans="1:108">
      <c r="A922" s="12" t="s">
        <v>1781</v>
      </c>
      <c r="B922" s="31" t="s">
        <v>301</v>
      </c>
      <c r="I922" s="113" t="s">
        <v>222</v>
      </c>
      <c r="L922" s="31">
        <v>15</v>
      </c>
      <c r="M922" s="31">
        <v>50</v>
      </c>
      <c r="Q922" s="31">
        <v>2</v>
      </c>
      <c r="S922" s="103">
        <v>2</v>
      </c>
      <c r="CC922" s="31"/>
      <c r="CD922" s="113" t="s">
        <v>1870</v>
      </c>
      <c r="CE922" s="31"/>
      <c r="CF922" s="76"/>
      <c r="CV922" s="31"/>
    </row>
    <row r="923" spans="1:108">
      <c r="A923" s="12" t="s">
        <v>1796</v>
      </c>
      <c r="B923" s="31" t="s">
        <v>301</v>
      </c>
      <c r="I923" s="113"/>
      <c r="L923" s="31">
        <v>20</v>
      </c>
      <c r="Q923" s="31">
        <v>2</v>
      </c>
      <c r="S923" s="103">
        <v>2</v>
      </c>
      <c r="CC923" s="31"/>
      <c r="CD923" s="113" t="s">
        <v>1869</v>
      </c>
      <c r="CE923" s="31"/>
      <c r="CF923" s="76"/>
      <c r="CV923" s="31"/>
    </row>
    <row r="924" spans="1:108">
      <c r="A924" s="12" t="s">
        <v>1779</v>
      </c>
      <c r="B924" s="31" t="s">
        <v>301</v>
      </c>
      <c r="S924" s="103">
        <v>4</v>
      </c>
      <c r="CC924" s="31"/>
      <c r="CD924" s="113" t="s">
        <v>1039</v>
      </c>
      <c r="CE924" s="31"/>
      <c r="CF924" s="76"/>
      <c r="CV924" s="31"/>
    </row>
    <row r="925" spans="1:108">
      <c r="A925" s="12" t="s">
        <v>1780</v>
      </c>
      <c r="B925" s="31" t="s">
        <v>301</v>
      </c>
      <c r="S925" s="103">
        <v>4</v>
      </c>
      <c r="CC925" s="31"/>
      <c r="CD925" s="113" t="s">
        <v>451</v>
      </c>
      <c r="CE925" s="31"/>
      <c r="CF925" s="76"/>
      <c r="CV925" s="31"/>
    </row>
    <row r="926" spans="1:108">
      <c r="A926" s="12" t="s">
        <v>514</v>
      </c>
      <c r="B926" s="31" t="s">
        <v>301</v>
      </c>
      <c r="S926" s="103">
        <v>4</v>
      </c>
      <c r="CC926" s="31"/>
      <c r="CD926" s="113" t="s">
        <v>1729</v>
      </c>
      <c r="CE926" s="31"/>
      <c r="CF926" s="76"/>
      <c r="CV926" s="31"/>
    </row>
    <row r="927" spans="1:108">
      <c r="A927" s="12" t="s">
        <v>515</v>
      </c>
      <c r="B927" s="31" t="s">
        <v>301</v>
      </c>
      <c r="S927" s="103">
        <v>4</v>
      </c>
      <c r="CC927" s="31"/>
      <c r="CD927" s="113" t="s">
        <v>1260</v>
      </c>
      <c r="CE927" s="31"/>
      <c r="CF927" s="76"/>
      <c r="CV927" s="31"/>
    </row>
    <row r="928" spans="1:108">
      <c r="A928" s="12" t="s">
        <v>784</v>
      </c>
      <c r="B928" s="31" t="s">
        <v>301</v>
      </c>
      <c r="S928" s="103">
        <v>4</v>
      </c>
      <c r="CC928" s="31"/>
      <c r="CD928" s="113" t="s">
        <v>1920</v>
      </c>
      <c r="CE928" s="31"/>
      <c r="CF928" s="76"/>
      <c r="CV928" s="31"/>
    </row>
    <row r="929" spans="1:100">
      <c r="A929" s="12" t="s">
        <v>785</v>
      </c>
      <c r="B929" s="31" t="s">
        <v>301</v>
      </c>
      <c r="S929" s="103">
        <v>4</v>
      </c>
      <c r="CC929" s="31"/>
      <c r="CD929" s="113" t="s">
        <v>1921</v>
      </c>
      <c r="CE929" s="31"/>
      <c r="CF929" s="76"/>
      <c r="CV929" s="31"/>
    </row>
    <row r="930" spans="1:100">
      <c r="A930" s="12" t="s">
        <v>788</v>
      </c>
      <c r="B930" s="31" t="s">
        <v>301</v>
      </c>
      <c r="S930" s="103">
        <v>4</v>
      </c>
      <c r="CC930" s="31"/>
      <c r="CD930" s="113" t="s">
        <v>1065</v>
      </c>
      <c r="CE930" s="31"/>
      <c r="CF930" s="76"/>
      <c r="CV930" s="31"/>
    </row>
    <row r="931" spans="1:100">
      <c r="A931" s="12" t="s">
        <v>786</v>
      </c>
      <c r="B931" s="31" t="s">
        <v>301</v>
      </c>
      <c r="S931" s="103">
        <v>4</v>
      </c>
      <c r="CC931" s="31"/>
      <c r="CD931" s="113" t="s">
        <v>1922</v>
      </c>
      <c r="CE931" s="31"/>
      <c r="CF931" s="76"/>
      <c r="CV931" s="31"/>
    </row>
    <row r="932" spans="1:100">
      <c r="A932" s="12" t="s">
        <v>787</v>
      </c>
      <c r="B932" s="31" t="s">
        <v>301</v>
      </c>
      <c r="S932" s="103">
        <v>4</v>
      </c>
      <c r="CC932" s="31"/>
      <c r="CD932" s="113" t="s">
        <v>1923</v>
      </c>
      <c r="CE932" s="31"/>
      <c r="CF932" s="76"/>
      <c r="CV932" s="31"/>
    </row>
    <row r="933" spans="1:100">
      <c r="A933" s="12" t="s">
        <v>789</v>
      </c>
      <c r="B933" s="31" t="s">
        <v>301</v>
      </c>
      <c r="S933" s="103">
        <v>4</v>
      </c>
      <c r="CC933" s="31"/>
      <c r="CD933" s="113" t="s">
        <v>1919</v>
      </c>
      <c r="CE933" s="31"/>
      <c r="CF933" s="76"/>
      <c r="CV933" s="31"/>
    </row>
    <row r="934" spans="1:100">
      <c r="A934" s="12" t="s">
        <v>822</v>
      </c>
      <c r="B934" s="31" t="s">
        <v>301</v>
      </c>
      <c r="S934" s="103">
        <v>4</v>
      </c>
      <c r="CC934" s="31"/>
      <c r="CD934" s="31" t="s">
        <v>824</v>
      </c>
      <c r="CE934" s="31"/>
      <c r="CF934" s="76"/>
      <c r="CV934" s="31"/>
    </row>
    <row r="935" spans="1:100">
      <c r="A935" s="12" t="s">
        <v>823</v>
      </c>
      <c r="B935" s="31" t="s">
        <v>301</v>
      </c>
      <c r="S935" s="103">
        <v>4</v>
      </c>
      <c r="CC935" s="31"/>
      <c r="CD935" s="113" t="s">
        <v>1918</v>
      </c>
      <c r="CE935" s="31"/>
      <c r="CF935" s="76"/>
      <c r="CV935" s="31"/>
    </row>
    <row r="936" spans="1:100">
      <c r="A936" s="12" t="s">
        <v>829</v>
      </c>
      <c r="B936" s="31" t="s">
        <v>301</v>
      </c>
      <c r="S936" s="103">
        <v>4</v>
      </c>
      <c r="CC936" s="31"/>
      <c r="CD936" s="31" t="s">
        <v>831</v>
      </c>
      <c r="CE936" s="31"/>
      <c r="CF936" s="76"/>
      <c r="CV936" s="31"/>
    </row>
    <row r="937" spans="1:100">
      <c r="A937" s="12" t="s">
        <v>830</v>
      </c>
      <c r="B937" s="31" t="s">
        <v>301</v>
      </c>
      <c r="S937" s="103">
        <v>4</v>
      </c>
      <c r="CC937" s="31"/>
      <c r="CD937" s="113" t="s">
        <v>1917</v>
      </c>
      <c r="CE937" s="31"/>
      <c r="CF937" s="76"/>
      <c r="CV937" s="31"/>
    </row>
    <row r="938" spans="1:100">
      <c r="A938" s="12" t="s">
        <v>832</v>
      </c>
      <c r="B938" s="31" t="s">
        <v>301</v>
      </c>
      <c r="S938" s="103">
        <v>4</v>
      </c>
      <c r="CC938" s="31"/>
      <c r="CD938" s="31" t="s">
        <v>834</v>
      </c>
      <c r="CE938" s="31"/>
      <c r="CF938" s="76"/>
      <c r="CV938" s="31"/>
    </row>
    <row r="939" spans="1:100">
      <c r="A939" s="12" t="s">
        <v>833</v>
      </c>
      <c r="B939" s="31" t="s">
        <v>301</v>
      </c>
      <c r="S939" s="103">
        <v>4</v>
      </c>
      <c r="CC939" s="31"/>
      <c r="CD939" s="31" t="s">
        <v>835</v>
      </c>
      <c r="CE939" s="31"/>
      <c r="CF939" s="76"/>
      <c r="CV939" s="31"/>
    </row>
    <row r="940" spans="1:100">
      <c r="A940" s="12" t="s">
        <v>838</v>
      </c>
      <c r="B940" s="31" t="s">
        <v>301</v>
      </c>
      <c r="S940" s="103">
        <v>4</v>
      </c>
      <c r="CC940" s="31"/>
      <c r="CD940" s="31" t="s">
        <v>837</v>
      </c>
      <c r="CE940" s="31"/>
      <c r="CF940" s="76"/>
      <c r="CV940" s="31"/>
    </row>
    <row r="941" spans="1:100">
      <c r="A941" s="12" t="s">
        <v>839</v>
      </c>
      <c r="B941" s="31" t="s">
        <v>301</v>
      </c>
      <c r="S941" s="103">
        <v>4</v>
      </c>
      <c r="CC941" s="31"/>
      <c r="CD941" s="31" t="s">
        <v>836</v>
      </c>
      <c r="CE941" s="31"/>
      <c r="CF941" s="76"/>
      <c r="CV941" s="31"/>
    </row>
    <row r="942" spans="1:100">
      <c r="A942" s="12" t="s">
        <v>516</v>
      </c>
      <c r="B942" s="31" t="s">
        <v>301</v>
      </c>
      <c r="S942" s="103">
        <v>4</v>
      </c>
      <c r="AI942" s="31">
        <v>1</v>
      </c>
      <c r="CC942" s="31"/>
      <c r="CD942" s="31"/>
      <c r="CE942" s="31"/>
      <c r="CF942" s="76"/>
      <c r="CV942" s="31"/>
    </row>
    <row r="943" spans="1:100">
      <c r="A943" s="12" t="s">
        <v>517</v>
      </c>
      <c r="B943" s="31" t="s">
        <v>301</v>
      </c>
      <c r="S943" s="103">
        <v>4</v>
      </c>
      <c r="AJ943" s="31">
        <v>1</v>
      </c>
      <c r="CC943" s="31"/>
      <c r="CD943" s="31"/>
      <c r="CE943" s="31"/>
      <c r="CF943" s="76"/>
      <c r="CV943" s="31"/>
    </row>
    <row r="944" spans="1:100">
      <c r="A944" s="12" t="s">
        <v>518</v>
      </c>
      <c r="B944" s="31" t="s">
        <v>301</v>
      </c>
      <c r="S944" s="103">
        <v>4</v>
      </c>
      <c r="AL944" s="31">
        <v>1</v>
      </c>
      <c r="CC944" s="31"/>
      <c r="CD944" s="31"/>
      <c r="CE944" s="31"/>
      <c r="CF944" s="76"/>
      <c r="CV944" s="31"/>
    </row>
    <row r="945" spans="1:104">
      <c r="A945" s="12" t="s">
        <v>742</v>
      </c>
      <c r="B945" s="31" t="s">
        <v>301</v>
      </c>
      <c r="S945" s="103">
        <v>4</v>
      </c>
      <c r="AM945" s="31">
        <v>1</v>
      </c>
      <c r="CC945" s="31"/>
      <c r="CD945" s="31"/>
      <c r="CE945" s="31"/>
      <c r="CF945" s="76"/>
      <c r="CV945" s="31"/>
    </row>
    <row r="946" spans="1:104">
      <c r="A946" s="12" t="s">
        <v>519</v>
      </c>
      <c r="B946" s="31" t="s">
        <v>301</v>
      </c>
      <c r="S946" s="103">
        <v>4</v>
      </c>
      <c r="AV946" s="31">
        <v>1</v>
      </c>
      <c r="CC946" s="31"/>
      <c r="CD946" s="31"/>
      <c r="CE946" s="31"/>
      <c r="CF946" s="76"/>
      <c r="CV946" s="31"/>
    </row>
    <row r="947" spans="1:104">
      <c r="A947" s="12" t="s">
        <v>1905</v>
      </c>
      <c r="B947" s="31" t="s">
        <v>301</v>
      </c>
      <c r="C947" s="70"/>
      <c r="L947" s="31">
        <v>7</v>
      </c>
      <c r="S947" s="103">
        <v>3</v>
      </c>
      <c r="CZ947" s="71"/>
    </row>
    <row r="948" spans="1:104">
      <c r="A948" s="12" t="s">
        <v>303</v>
      </c>
      <c r="B948" s="31" t="s">
        <v>301</v>
      </c>
      <c r="C948" s="70"/>
      <c r="L948" s="31">
        <v>10</v>
      </c>
      <c r="S948" s="103">
        <v>3</v>
      </c>
      <c r="CZ948" s="71"/>
    </row>
    <row r="949" spans="1:104">
      <c r="A949" s="12" t="s">
        <v>474</v>
      </c>
      <c r="B949" s="31" t="s">
        <v>301</v>
      </c>
      <c r="C949" s="70"/>
      <c r="L949" s="31">
        <v>15</v>
      </c>
      <c r="S949" s="103">
        <v>3</v>
      </c>
      <c r="CZ949" s="71"/>
    </row>
    <row r="950" spans="1:104">
      <c r="A950" s="12" t="s">
        <v>1910</v>
      </c>
      <c r="B950" s="31" t="s">
        <v>301</v>
      </c>
      <c r="C950" s="70"/>
      <c r="L950" s="31">
        <v>17</v>
      </c>
      <c r="S950" s="103">
        <v>3</v>
      </c>
      <c r="CZ950" s="71"/>
    </row>
    <row r="951" spans="1:104">
      <c r="A951" s="12" t="s">
        <v>475</v>
      </c>
      <c r="B951" s="31" t="s">
        <v>301</v>
      </c>
      <c r="C951" s="70"/>
      <c r="L951" s="31">
        <v>20</v>
      </c>
      <c r="S951" s="103">
        <v>3</v>
      </c>
      <c r="CZ951" s="71"/>
    </row>
    <row r="952" spans="1:104">
      <c r="A952" s="12" t="s">
        <v>1772</v>
      </c>
      <c r="B952" s="31" t="s">
        <v>301</v>
      </c>
      <c r="C952" s="70"/>
      <c r="L952" s="31">
        <v>25</v>
      </c>
      <c r="S952" s="103">
        <v>3</v>
      </c>
      <c r="CZ952" s="71"/>
    </row>
    <row r="953" spans="1:104">
      <c r="A953" s="12" t="s">
        <v>1708</v>
      </c>
      <c r="B953" s="31" t="s">
        <v>301</v>
      </c>
      <c r="C953" s="70"/>
      <c r="L953" s="31">
        <v>30</v>
      </c>
      <c r="S953" s="103">
        <v>3</v>
      </c>
      <c r="CZ953" s="71"/>
    </row>
    <row r="954" spans="1:104">
      <c r="A954" s="37" t="s">
        <v>472</v>
      </c>
      <c r="B954" s="31" t="s">
        <v>301</v>
      </c>
      <c r="C954" s="70"/>
      <c r="S954" s="103">
        <v>4</v>
      </c>
      <c r="CZ954" s="71"/>
    </row>
    <row r="955" spans="1:104">
      <c r="A955" s="37" t="s">
        <v>477</v>
      </c>
      <c r="B955" s="31" t="s">
        <v>301</v>
      </c>
      <c r="C955" s="70"/>
      <c r="S955" s="103">
        <v>4</v>
      </c>
      <c r="CZ955" s="71"/>
    </row>
    <row r="956" spans="1:104">
      <c r="A956" s="12" t="s">
        <v>476</v>
      </c>
      <c r="B956" s="31" t="s">
        <v>301</v>
      </c>
      <c r="C956" s="70"/>
      <c r="O956" s="31">
        <v>2</v>
      </c>
      <c r="S956" s="103">
        <v>3</v>
      </c>
      <c r="CZ956" s="71"/>
    </row>
    <row r="957" spans="1:104">
      <c r="A957" s="12" t="s">
        <v>478</v>
      </c>
      <c r="B957" s="31" t="s">
        <v>301</v>
      </c>
      <c r="C957" s="70"/>
      <c r="O957" s="31">
        <v>3</v>
      </c>
      <c r="S957" s="103">
        <v>3</v>
      </c>
      <c r="CZ957" s="71"/>
    </row>
    <row r="958" spans="1:104">
      <c r="A958" s="12" t="s">
        <v>1491</v>
      </c>
      <c r="B958" s="31" t="s">
        <v>301</v>
      </c>
      <c r="C958" s="70"/>
      <c r="O958" s="31">
        <v>4</v>
      </c>
      <c r="S958" s="103">
        <v>3</v>
      </c>
      <c r="CZ958" s="71"/>
    </row>
    <row r="959" spans="1:104">
      <c r="A959" s="12" t="s">
        <v>1492</v>
      </c>
      <c r="B959" s="31" t="s">
        <v>301</v>
      </c>
      <c r="C959" s="70"/>
      <c r="O959" s="31">
        <v>5</v>
      </c>
      <c r="S959" s="103">
        <v>3</v>
      </c>
      <c r="CZ959" s="71"/>
    </row>
    <row r="960" spans="1:104">
      <c r="A960" s="12" t="s">
        <v>1493</v>
      </c>
      <c r="B960" s="31" t="s">
        <v>301</v>
      </c>
      <c r="C960" s="70"/>
      <c r="O960" s="31">
        <v>6</v>
      </c>
      <c r="S960" s="103">
        <v>3</v>
      </c>
      <c r="CZ960" s="71"/>
    </row>
    <row r="961" spans="1:104">
      <c r="A961" s="12" t="s">
        <v>1710</v>
      </c>
      <c r="B961" s="31" t="s">
        <v>301</v>
      </c>
      <c r="C961" s="70"/>
      <c r="S961" s="103"/>
      <c r="CZ961" s="71"/>
    </row>
    <row r="962" spans="1:104">
      <c r="A962" s="12" t="s">
        <v>1711</v>
      </c>
      <c r="B962" s="31" t="s">
        <v>301</v>
      </c>
      <c r="C962" s="70"/>
      <c r="S962" s="103"/>
      <c r="CZ962" s="71"/>
    </row>
    <row r="963" spans="1:104">
      <c r="A963" s="12" t="s">
        <v>1712</v>
      </c>
      <c r="B963" s="31" t="s">
        <v>301</v>
      </c>
      <c r="C963" s="70"/>
      <c r="S963" s="103"/>
      <c r="CZ963" s="71"/>
    </row>
    <row r="964" spans="1:104">
      <c r="A964" s="37" t="s">
        <v>473</v>
      </c>
      <c r="B964" s="31" t="s">
        <v>301</v>
      </c>
      <c r="C964" s="70"/>
      <c r="S964" s="103">
        <v>7</v>
      </c>
      <c r="BV964" s="31">
        <v>1</v>
      </c>
      <c r="CZ964" s="71"/>
    </row>
    <row r="965" spans="1:104">
      <c r="A965" s="37" t="s">
        <v>479</v>
      </c>
      <c r="B965" s="31" t="s">
        <v>301</v>
      </c>
      <c r="C965" s="70"/>
      <c r="S965" s="103">
        <v>10</v>
      </c>
      <c r="BV965" s="31">
        <v>2</v>
      </c>
      <c r="CZ965" s="71"/>
    </row>
    <row r="966" spans="1:104">
      <c r="A966" s="12" t="s">
        <v>304</v>
      </c>
      <c r="B966" s="31" t="s">
        <v>301</v>
      </c>
      <c r="C966" s="70"/>
      <c r="S966" s="103">
        <v>5</v>
      </c>
      <c r="CZ966" s="71"/>
    </row>
    <row r="967" spans="1:104">
      <c r="A967" s="12" t="s">
        <v>471</v>
      </c>
      <c r="B967" s="31" t="s">
        <v>301</v>
      </c>
      <c r="C967" s="70"/>
      <c r="Q967" s="31">
        <v>2</v>
      </c>
      <c r="S967" s="103">
        <v>3</v>
      </c>
      <c r="CZ967" s="71"/>
    </row>
    <row r="968" spans="1:104">
      <c r="A968" s="12" t="s">
        <v>305</v>
      </c>
      <c r="B968" s="31" t="s">
        <v>301</v>
      </c>
      <c r="C968" s="70"/>
      <c r="S968" s="103">
        <v>3</v>
      </c>
      <c r="AA968" s="31">
        <v>3</v>
      </c>
      <c r="CZ968" s="71"/>
    </row>
    <row r="969" spans="1:104">
      <c r="A969" s="12" t="s">
        <v>306</v>
      </c>
      <c r="B969" s="31" t="s">
        <v>301</v>
      </c>
      <c r="C969" s="70"/>
      <c r="S969" s="103">
        <v>3</v>
      </c>
      <c r="AB969" s="31">
        <v>3</v>
      </c>
      <c r="CC969" s="31"/>
      <c r="CD969" s="31"/>
      <c r="CE969" s="31"/>
      <c r="CV969" s="31"/>
      <c r="CZ969" s="71"/>
    </row>
    <row r="970" spans="1:104">
      <c r="A970" s="12" t="s">
        <v>307</v>
      </c>
      <c r="B970" s="31" t="s">
        <v>301</v>
      </c>
      <c r="C970" s="70"/>
      <c r="S970" s="103">
        <v>6</v>
      </c>
      <c r="AE970" s="31">
        <v>3</v>
      </c>
      <c r="CC970" s="31"/>
      <c r="CD970" s="31"/>
      <c r="CE970" s="31"/>
      <c r="CV970" s="31"/>
      <c r="CZ970" s="71"/>
    </row>
    <row r="971" spans="1:104">
      <c r="A971" s="12" t="s">
        <v>308</v>
      </c>
      <c r="B971" s="31" t="s">
        <v>301</v>
      </c>
      <c r="C971" s="70"/>
      <c r="S971" s="103">
        <v>3</v>
      </c>
      <c r="AF971" s="31">
        <v>3</v>
      </c>
      <c r="CC971" s="31"/>
      <c r="CD971" s="31"/>
      <c r="CE971" s="31"/>
      <c r="CV971" s="31"/>
      <c r="CZ971" s="71"/>
    </row>
    <row r="972" spans="1:104">
      <c r="A972" s="12" t="s">
        <v>309</v>
      </c>
      <c r="B972" s="31" t="s">
        <v>301</v>
      </c>
      <c r="C972" s="70"/>
      <c r="S972" s="103">
        <v>3</v>
      </c>
      <c r="AC972" s="31">
        <v>3</v>
      </c>
      <c r="CC972" s="31"/>
      <c r="CD972" s="31"/>
      <c r="CE972" s="31"/>
      <c r="CV972" s="31"/>
      <c r="CZ972" s="71"/>
    </row>
    <row r="973" spans="1:104">
      <c r="A973" s="12" t="s">
        <v>1418</v>
      </c>
      <c r="B973" s="31" t="s">
        <v>301</v>
      </c>
      <c r="C973" s="70"/>
      <c r="S973" s="103">
        <v>3</v>
      </c>
      <c r="AC973" s="31">
        <v>5</v>
      </c>
      <c r="CC973" s="31"/>
      <c r="CD973" s="31"/>
      <c r="CE973" s="31"/>
      <c r="CV973" s="31"/>
      <c r="CZ973" s="71"/>
    </row>
    <row r="974" spans="1:104">
      <c r="A974" s="12" t="s">
        <v>310</v>
      </c>
      <c r="B974" s="31" t="s">
        <v>301</v>
      </c>
      <c r="C974" s="70"/>
      <c r="S974" s="103">
        <v>4</v>
      </c>
      <c r="AD974" s="31">
        <v>3</v>
      </c>
      <c r="CC974" s="31"/>
      <c r="CD974" s="31"/>
      <c r="CE974" s="31"/>
      <c r="CV974" s="31"/>
      <c r="CZ974" s="71"/>
    </row>
    <row r="975" spans="1:104">
      <c r="A975" s="37" t="s">
        <v>311</v>
      </c>
      <c r="B975" s="31" t="s">
        <v>301</v>
      </c>
      <c r="C975" s="70"/>
      <c r="S975" s="103">
        <v>3</v>
      </c>
      <c r="BJ975" s="31">
        <v>3</v>
      </c>
      <c r="CC975" s="31"/>
      <c r="CD975" s="31"/>
      <c r="CE975" s="31"/>
      <c r="CV975" s="31"/>
      <c r="CZ975" s="71"/>
    </row>
    <row r="976" spans="1:104">
      <c r="A976" s="37" t="s">
        <v>480</v>
      </c>
      <c r="B976" s="31" t="s">
        <v>301</v>
      </c>
      <c r="C976" s="70"/>
      <c r="S976" s="103">
        <v>3</v>
      </c>
      <c r="BJ976" s="31">
        <v>5</v>
      </c>
      <c r="CC976" s="31"/>
      <c r="CD976" s="31"/>
      <c r="CE976" s="31"/>
      <c r="CV976" s="31"/>
      <c r="CZ976" s="71"/>
    </row>
    <row r="977" spans="1:104">
      <c r="A977" s="37" t="s">
        <v>312</v>
      </c>
      <c r="B977" s="31" t="s">
        <v>301</v>
      </c>
      <c r="C977" s="70"/>
      <c r="S977" s="103">
        <v>3</v>
      </c>
      <c r="BK977" s="31">
        <v>5</v>
      </c>
      <c r="CC977" s="31"/>
      <c r="CD977" s="31"/>
      <c r="CE977" s="31"/>
      <c r="CV977" s="31"/>
      <c r="CZ977" s="71"/>
    </row>
    <row r="978" spans="1:104">
      <c r="A978" s="37" t="s">
        <v>313</v>
      </c>
      <c r="B978" s="31" t="s">
        <v>301</v>
      </c>
      <c r="C978" s="70"/>
      <c r="S978" s="103">
        <v>3</v>
      </c>
      <c r="BL978" s="31">
        <v>5</v>
      </c>
      <c r="CC978" s="31"/>
      <c r="CD978" s="31"/>
      <c r="CE978" s="31"/>
      <c r="CV978" s="31"/>
      <c r="CZ978" s="71"/>
    </row>
    <row r="979" spans="1:104">
      <c r="A979" s="37" t="s">
        <v>314</v>
      </c>
      <c r="B979" s="31" t="s">
        <v>301</v>
      </c>
      <c r="C979" s="70"/>
      <c r="S979" s="103">
        <v>3</v>
      </c>
      <c r="BM979" s="31">
        <v>5</v>
      </c>
      <c r="CC979" s="31"/>
      <c r="CD979" s="31"/>
      <c r="CE979" s="31"/>
      <c r="CV979" s="31"/>
      <c r="CZ979" s="71"/>
    </row>
    <row r="980" spans="1:104">
      <c r="A980" s="37" t="s">
        <v>315</v>
      </c>
      <c r="B980" s="31" t="s">
        <v>301</v>
      </c>
      <c r="C980" s="70"/>
      <c r="S980" s="103">
        <v>3</v>
      </c>
      <c r="BN980" s="31">
        <v>5</v>
      </c>
      <c r="CC980" s="31"/>
      <c r="CD980" s="31"/>
      <c r="CE980" s="31"/>
      <c r="CV980" s="31"/>
      <c r="CZ980" s="71"/>
    </row>
    <row r="981" spans="1:104">
      <c r="A981" s="37" t="s">
        <v>316</v>
      </c>
      <c r="B981" s="31" t="s">
        <v>301</v>
      </c>
      <c r="S981" s="103">
        <v>4</v>
      </c>
      <c r="BQ981" s="31">
        <v>3</v>
      </c>
      <c r="CC981" s="31"/>
      <c r="CD981" s="31"/>
      <c r="CE981" s="31"/>
      <c r="CV981" s="31"/>
      <c r="CZ981" s="71"/>
    </row>
    <row r="982" spans="1:104">
      <c r="A982" s="12" t="s">
        <v>317</v>
      </c>
      <c r="B982" s="31" t="s">
        <v>301</v>
      </c>
      <c r="S982" s="103">
        <v>2</v>
      </c>
      <c r="BT982" s="31">
        <v>2</v>
      </c>
      <c r="CC982" s="31"/>
      <c r="CD982" s="31"/>
      <c r="CE982" s="31"/>
      <c r="CV982" s="31"/>
      <c r="CZ982" s="71"/>
    </row>
    <row r="983" spans="1:104">
      <c r="A983" s="12" t="s">
        <v>481</v>
      </c>
      <c r="B983" s="31" t="s">
        <v>301</v>
      </c>
      <c r="S983" s="103">
        <v>2</v>
      </c>
      <c r="BT983" s="31">
        <v>5</v>
      </c>
      <c r="CC983" s="31"/>
      <c r="CD983" s="31"/>
      <c r="CE983" s="31"/>
      <c r="CV983" s="31"/>
      <c r="CZ983" s="71"/>
    </row>
    <row r="984" spans="1:104">
      <c r="A984" s="12" t="s">
        <v>1771</v>
      </c>
      <c r="B984" s="31" t="s">
        <v>301</v>
      </c>
      <c r="S984" s="103">
        <v>2</v>
      </c>
      <c r="BT984" s="31">
        <v>8</v>
      </c>
      <c r="CC984" s="31"/>
      <c r="CD984" s="31"/>
      <c r="CE984" s="31"/>
      <c r="CV984" s="31"/>
      <c r="CZ984" s="71"/>
    </row>
    <row r="985" spans="1:104">
      <c r="A985" s="12" t="s">
        <v>1782</v>
      </c>
      <c r="B985" s="31" t="s">
        <v>301</v>
      </c>
      <c r="S985" s="103">
        <v>3</v>
      </c>
      <c r="BT985" s="31">
        <v>10</v>
      </c>
      <c r="CC985" s="113" t="s">
        <v>1783</v>
      </c>
      <c r="CD985" s="31"/>
      <c r="CE985" s="31"/>
      <c r="CV985" s="31"/>
      <c r="CZ985" s="71"/>
    </row>
    <row r="986" spans="1:104">
      <c r="A986" s="12" t="s">
        <v>464</v>
      </c>
      <c r="B986" s="31" t="s">
        <v>301</v>
      </c>
      <c r="I986" s="31" t="s">
        <v>116</v>
      </c>
      <c r="M986" s="31">
        <v>15</v>
      </c>
      <c r="S986" s="103">
        <v>3</v>
      </c>
      <c r="CC986" s="31"/>
      <c r="CD986" s="113" t="s">
        <v>735</v>
      </c>
      <c r="CE986" s="31"/>
      <c r="CV986" s="31"/>
      <c r="CZ986" s="71"/>
    </row>
    <row r="987" spans="1:104">
      <c r="A987" s="12" t="s">
        <v>1720</v>
      </c>
      <c r="B987" s="31" t="s">
        <v>301</v>
      </c>
      <c r="I987" s="31" t="s">
        <v>116</v>
      </c>
      <c r="M987" s="31">
        <v>20</v>
      </c>
      <c r="S987" s="103">
        <v>3</v>
      </c>
      <c r="CC987" s="31"/>
      <c r="CD987" s="113" t="s">
        <v>1726</v>
      </c>
      <c r="CE987" s="31"/>
      <c r="CV987" s="31"/>
      <c r="CZ987" s="71"/>
    </row>
    <row r="988" spans="1:104">
      <c r="A988" s="12" t="s">
        <v>1906</v>
      </c>
      <c r="B988" s="31" t="s">
        <v>301</v>
      </c>
      <c r="I988" s="31" t="s">
        <v>219</v>
      </c>
      <c r="M988" s="31">
        <v>12</v>
      </c>
      <c r="S988" s="103">
        <v>3</v>
      </c>
      <c r="CC988" s="31"/>
      <c r="CD988" s="113" t="s">
        <v>220</v>
      </c>
      <c r="CE988" s="31"/>
      <c r="CV988" s="31"/>
      <c r="CZ988" s="71"/>
    </row>
    <row r="989" spans="1:104">
      <c r="A989" s="12" t="s">
        <v>1907</v>
      </c>
      <c r="B989" s="31" t="s">
        <v>301</v>
      </c>
      <c r="I989" s="31" t="s">
        <v>216</v>
      </c>
      <c r="M989" s="31">
        <v>12</v>
      </c>
      <c r="S989" s="103">
        <v>3</v>
      </c>
      <c r="CC989" s="31"/>
      <c r="CD989" s="113" t="s">
        <v>1727</v>
      </c>
      <c r="CE989" s="31"/>
      <c r="CV989" s="31"/>
      <c r="CZ989" s="71"/>
    </row>
    <row r="990" spans="1:104">
      <c r="A990" s="12" t="s">
        <v>1908</v>
      </c>
      <c r="B990" s="31" t="s">
        <v>301</v>
      </c>
      <c r="I990" s="31" t="s">
        <v>222</v>
      </c>
      <c r="M990" s="31">
        <v>12</v>
      </c>
      <c r="S990" s="103">
        <v>3</v>
      </c>
      <c r="CC990" s="31"/>
      <c r="CD990" s="113" t="s">
        <v>1777</v>
      </c>
      <c r="CE990" s="31"/>
      <c r="CV990" s="31"/>
      <c r="CZ990" s="71"/>
    </row>
    <row r="991" spans="1:104">
      <c r="A991" s="12" t="s">
        <v>1909</v>
      </c>
      <c r="B991" s="31" t="s">
        <v>301</v>
      </c>
      <c r="I991" s="31" t="s">
        <v>224</v>
      </c>
      <c r="M991" s="31">
        <v>12</v>
      </c>
      <c r="S991" s="103">
        <v>3</v>
      </c>
      <c r="CC991" s="31"/>
      <c r="CD991" s="113" t="s">
        <v>1795</v>
      </c>
      <c r="CE991" s="31"/>
      <c r="CV991" s="31"/>
      <c r="CZ991" s="71"/>
    </row>
    <row r="992" spans="1:104">
      <c r="A992" s="12" t="s">
        <v>466</v>
      </c>
      <c r="B992" s="31" t="s">
        <v>301</v>
      </c>
      <c r="I992" s="31" t="s">
        <v>219</v>
      </c>
      <c r="M992" s="31">
        <v>15</v>
      </c>
      <c r="S992" s="103">
        <v>3</v>
      </c>
      <c r="CC992" s="31"/>
      <c r="CD992" s="113" t="s">
        <v>220</v>
      </c>
      <c r="CE992" s="31"/>
      <c r="CV992" s="31"/>
      <c r="CZ992" s="71"/>
    </row>
    <row r="993" spans="1:104">
      <c r="A993" s="12" t="s">
        <v>467</v>
      </c>
      <c r="B993" s="31" t="s">
        <v>301</v>
      </c>
      <c r="I993" s="31" t="s">
        <v>216</v>
      </c>
      <c r="M993" s="31">
        <v>15</v>
      </c>
      <c r="S993" s="103">
        <v>3</v>
      </c>
      <c r="CC993" s="31"/>
      <c r="CD993" s="113" t="s">
        <v>1727</v>
      </c>
      <c r="CE993" s="31"/>
      <c r="CV993" s="31"/>
      <c r="CZ993" s="71"/>
    </row>
    <row r="994" spans="1:104">
      <c r="A994" s="12" t="s">
        <v>468</v>
      </c>
      <c r="B994" s="31" t="s">
        <v>301</v>
      </c>
      <c r="I994" s="31" t="s">
        <v>222</v>
      </c>
      <c r="M994" s="31">
        <v>15</v>
      </c>
      <c r="S994" s="103">
        <v>3</v>
      </c>
      <c r="CC994" s="31"/>
      <c r="CD994" s="113" t="s">
        <v>1777</v>
      </c>
      <c r="CE994" s="31"/>
      <c r="CV994" s="31"/>
      <c r="CZ994" s="71"/>
    </row>
    <row r="995" spans="1:104">
      <c r="A995" s="12" t="s">
        <v>469</v>
      </c>
      <c r="B995" s="31" t="s">
        <v>301</v>
      </c>
      <c r="I995" s="31" t="s">
        <v>224</v>
      </c>
      <c r="M995" s="31">
        <v>15</v>
      </c>
      <c r="S995" s="103">
        <v>3</v>
      </c>
      <c r="CC995" s="31"/>
      <c r="CD995" s="113" t="s">
        <v>1795</v>
      </c>
      <c r="CE995" s="31"/>
      <c r="CV995" s="31"/>
      <c r="CZ995" s="71"/>
    </row>
    <row r="996" spans="1:104">
      <c r="A996" s="12" t="s">
        <v>1911</v>
      </c>
      <c r="B996" s="31" t="s">
        <v>301</v>
      </c>
      <c r="I996" s="31" t="s">
        <v>219</v>
      </c>
      <c r="M996" s="31">
        <v>17</v>
      </c>
      <c r="S996" s="103">
        <v>3</v>
      </c>
      <c r="CC996" s="31"/>
      <c r="CD996" s="113" t="s">
        <v>1416</v>
      </c>
      <c r="CE996" s="31"/>
      <c r="CV996" s="31"/>
      <c r="CZ996" s="71"/>
    </row>
    <row r="997" spans="1:104">
      <c r="A997" s="12" t="s">
        <v>1912</v>
      </c>
      <c r="B997" s="31" t="s">
        <v>301</v>
      </c>
      <c r="I997" s="31" t="s">
        <v>216</v>
      </c>
      <c r="M997" s="31">
        <v>17</v>
      </c>
      <c r="S997" s="103">
        <v>3</v>
      </c>
      <c r="CC997" s="31"/>
      <c r="CD997" s="113" t="s">
        <v>1692</v>
      </c>
      <c r="CE997" s="31"/>
      <c r="CV997" s="31"/>
      <c r="CZ997" s="71"/>
    </row>
    <row r="998" spans="1:104">
      <c r="A998" s="12" t="s">
        <v>1913</v>
      </c>
      <c r="B998" s="31" t="s">
        <v>301</v>
      </c>
      <c r="I998" s="31" t="s">
        <v>222</v>
      </c>
      <c r="M998" s="31">
        <v>17</v>
      </c>
      <c r="S998" s="103">
        <v>3</v>
      </c>
      <c r="CC998" s="31"/>
      <c r="CD998" s="113" t="s">
        <v>1695</v>
      </c>
      <c r="CE998" s="31"/>
      <c r="CV998" s="31"/>
      <c r="CZ998" s="71"/>
    </row>
    <row r="999" spans="1:104">
      <c r="A999" s="12" t="s">
        <v>1914</v>
      </c>
      <c r="B999" s="31" t="s">
        <v>301</v>
      </c>
      <c r="I999" s="31" t="s">
        <v>224</v>
      </c>
      <c r="M999" s="31">
        <v>17</v>
      </c>
      <c r="S999" s="103">
        <v>3</v>
      </c>
      <c r="CC999" s="31"/>
      <c r="CD999" s="113" t="s">
        <v>1915</v>
      </c>
      <c r="CE999" s="31"/>
      <c r="CV999" s="31"/>
      <c r="CZ999" s="71"/>
    </row>
    <row r="1000" spans="1:104">
      <c r="A1000" s="12" t="s">
        <v>482</v>
      </c>
      <c r="B1000" s="31" t="s">
        <v>301</v>
      </c>
      <c r="I1000" s="31" t="s">
        <v>219</v>
      </c>
      <c r="M1000" s="31">
        <v>20</v>
      </c>
      <c r="S1000" s="103">
        <v>3</v>
      </c>
      <c r="CC1000" s="31"/>
      <c r="CD1000" s="113" t="s">
        <v>1416</v>
      </c>
      <c r="CE1000" s="31"/>
      <c r="CV1000" s="31"/>
      <c r="CZ1000" s="71"/>
    </row>
    <row r="1001" spans="1:104">
      <c r="A1001" s="12" t="s">
        <v>483</v>
      </c>
      <c r="B1001" s="31" t="s">
        <v>301</v>
      </c>
      <c r="I1001" s="31" t="s">
        <v>216</v>
      </c>
      <c r="M1001" s="31">
        <v>20</v>
      </c>
      <c r="S1001" s="103">
        <v>3</v>
      </c>
      <c r="CC1001" s="31"/>
      <c r="CD1001" s="113" t="s">
        <v>1692</v>
      </c>
      <c r="CE1001" s="31"/>
      <c r="CV1001" s="31"/>
      <c r="CZ1001" s="71"/>
    </row>
    <row r="1002" spans="1:104">
      <c r="A1002" s="12" t="s">
        <v>484</v>
      </c>
      <c r="B1002" s="31" t="s">
        <v>301</v>
      </c>
      <c r="I1002" s="31" t="s">
        <v>222</v>
      </c>
      <c r="M1002" s="31">
        <v>20</v>
      </c>
      <c r="S1002" s="103">
        <v>3</v>
      </c>
      <c r="CC1002" s="31"/>
      <c r="CD1002" s="113" t="s">
        <v>1695</v>
      </c>
      <c r="CE1002" s="31"/>
      <c r="CV1002" s="31"/>
      <c r="CZ1002" s="71"/>
    </row>
    <row r="1003" spans="1:104">
      <c r="A1003" s="12" t="s">
        <v>485</v>
      </c>
      <c r="B1003" s="31" t="s">
        <v>301</v>
      </c>
      <c r="I1003" s="31" t="s">
        <v>224</v>
      </c>
      <c r="M1003" s="31">
        <v>20</v>
      </c>
      <c r="S1003" s="103">
        <v>3</v>
      </c>
      <c r="CC1003" s="31"/>
      <c r="CD1003" s="113" t="s">
        <v>1915</v>
      </c>
      <c r="CE1003" s="31"/>
      <c r="CV1003" s="31"/>
      <c r="CZ1003" s="71"/>
    </row>
    <row r="1004" spans="1:104">
      <c r="A1004" s="12" t="s">
        <v>1773</v>
      </c>
      <c r="B1004" s="31" t="s">
        <v>301</v>
      </c>
      <c r="I1004" s="31" t="s">
        <v>219</v>
      </c>
      <c r="M1004" s="31">
        <v>25</v>
      </c>
      <c r="S1004" s="103">
        <v>3</v>
      </c>
      <c r="CC1004" s="31"/>
      <c r="CD1004" s="113" t="s">
        <v>1728</v>
      </c>
      <c r="CE1004" s="31"/>
      <c r="CV1004" s="31"/>
      <c r="CZ1004" s="71"/>
    </row>
    <row r="1005" spans="1:104">
      <c r="A1005" s="12" t="s">
        <v>1774</v>
      </c>
      <c r="B1005" s="31" t="s">
        <v>301</v>
      </c>
      <c r="I1005" s="31" t="s">
        <v>216</v>
      </c>
      <c r="M1005" s="31">
        <v>25</v>
      </c>
      <c r="S1005" s="103">
        <v>3</v>
      </c>
      <c r="CC1005" s="31"/>
      <c r="CD1005" s="113" t="s">
        <v>1778</v>
      </c>
      <c r="CE1005" s="31"/>
      <c r="CV1005" s="31"/>
      <c r="CZ1005" s="71"/>
    </row>
    <row r="1006" spans="1:104">
      <c r="A1006" s="12" t="s">
        <v>1775</v>
      </c>
      <c r="B1006" s="31" t="s">
        <v>301</v>
      </c>
      <c r="I1006" s="31" t="s">
        <v>222</v>
      </c>
      <c r="M1006" s="31">
        <v>25</v>
      </c>
      <c r="S1006" s="103">
        <v>3</v>
      </c>
      <c r="CC1006" s="31"/>
      <c r="CD1006" s="113" t="s">
        <v>1725</v>
      </c>
      <c r="CE1006" s="31"/>
      <c r="CV1006" s="31"/>
      <c r="CZ1006" s="71"/>
    </row>
    <row r="1007" spans="1:104">
      <c r="A1007" s="12" t="s">
        <v>1776</v>
      </c>
      <c r="B1007" s="31" t="s">
        <v>301</v>
      </c>
      <c r="I1007" s="31" t="s">
        <v>224</v>
      </c>
      <c r="M1007" s="31">
        <v>25</v>
      </c>
      <c r="S1007" s="103">
        <v>3</v>
      </c>
      <c r="CC1007" s="31"/>
      <c r="CD1007" s="113" t="s">
        <v>1916</v>
      </c>
      <c r="CE1007" s="31"/>
      <c r="CV1007" s="31"/>
      <c r="CZ1007" s="71"/>
    </row>
    <row r="1008" spans="1:104">
      <c r="A1008" s="12" t="s">
        <v>1788</v>
      </c>
      <c r="B1008" s="31" t="s">
        <v>301</v>
      </c>
      <c r="I1008" s="31" t="s">
        <v>219</v>
      </c>
      <c r="M1008" s="31">
        <v>10</v>
      </c>
      <c r="S1008" s="103">
        <v>3.1</v>
      </c>
      <c r="CC1008" s="113" t="s">
        <v>1784</v>
      </c>
      <c r="CD1008" s="113" t="s">
        <v>1792</v>
      </c>
      <c r="CE1008" s="31"/>
      <c r="CV1008" s="31"/>
      <c r="CZ1008" s="71"/>
    </row>
    <row r="1009" spans="1:104">
      <c r="A1009" s="12" t="s">
        <v>1789</v>
      </c>
      <c r="B1009" s="31" t="s">
        <v>301</v>
      </c>
      <c r="I1009" s="31" t="s">
        <v>216</v>
      </c>
      <c r="M1009" s="31">
        <v>10</v>
      </c>
      <c r="S1009" s="103">
        <v>3.1</v>
      </c>
      <c r="CC1009" s="113" t="s">
        <v>1785</v>
      </c>
      <c r="CD1009" s="113" t="s">
        <v>1793</v>
      </c>
      <c r="CE1009" s="31"/>
      <c r="CV1009" s="31"/>
      <c r="CZ1009" s="71"/>
    </row>
    <row r="1010" spans="1:104">
      <c r="A1010" s="12" t="s">
        <v>1790</v>
      </c>
      <c r="B1010" s="31" t="s">
        <v>301</v>
      </c>
      <c r="I1010" s="31" t="s">
        <v>222</v>
      </c>
      <c r="M1010" s="31">
        <v>10</v>
      </c>
      <c r="S1010" s="103">
        <v>3.1</v>
      </c>
      <c r="CC1010" s="113" t="s">
        <v>1786</v>
      </c>
      <c r="CD1010" s="113" t="s">
        <v>1794</v>
      </c>
      <c r="CE1010" s="31"/>
      <c r="CV1010" s="31"/>
      <c r="CZ1010" s="71"/>
    </row>
    <row r="1011" spans="1:104">
      <c r="A1011" s="12" t="s">
        <v>1791</v>
      </c>
      <c r="B1011" s="31" t="s">
        <v>301</v>
      </c>
      <c r="I1011" s="31" t="s">
        <v>224</v>
      </c>
      <c r="M1011" s="31">
        <v>10</v>
      </c>
      <c r="S1011" s="103">
        <v>3.1</v>
      </c>
      <c r="CC1011" s="113" t="s">
        <v>1787</v>
      </c>
      <c r="CD1011" s="113" t="s">
        <v>1795</v>
      </c>
      <c r="CE1011" s="31"/>
      <c r="CV1011" s="31"/>
      <c r="CZ1011" s="71"/>
    </row>
    <row r="1012" spans="1:104">
      <c r="A1012" s="12" t="s">
        <v>825</v>
      </c>
      <c r="B1012" s="31" t="s">
        <v>301</v>
      </c>
      <c r="I1012" s="31" t="s">
        <v>216</v>
      </c>
      <c r="M1012" s="31">
        <v>15</v>
      </c>
      <c r="S1012" s="103">
        <v>3</v>
      </c>
      <c r="CC1012" s="31"/>
      <c r="CD1012" s="113" t="s">
        <v>930</v>
      </c>
      <c r="CE1012" s="31"/>
      <c r="CV1012" s="31"/>
      <c r="CZ1012" s="71"/>
    </row>
    <row r="1013" spans="1:104">
      <c r="A1013" s="12" t="s">
        <v>826</v>
      </c>
      <c r="B1013" s="31" t="s">
        <v>301</v>
      </c>
      <c r="I1013" s="31" t="s">
        <v>216</v>
      </c>
      <c r="M1013" s="31">
        <v>20</v>
      </c>
      <c r="S1013" s="103">
        <v>3</v>
      </c>
      <c r="CC1013" s="31"/>
      <c r="CD1013" s="113" t="s">
        <v>827</v>
      </c>
      <c r="CE1013" s="31"/>
      <c r="CV1013" s="31"/>
      <c r="CZ1013" s="71"/>
    </row>
    <row r="1014" spans="1:104">
      <c r="A1014" s="89" t="s">
        <v>1296</v>
      </c>
      <c r="B1014" s="31" t="s">
        <v>301</v>
      </c>
      <c r="F1014" s="113" t="s">
        <v>1714</v>
      </c>
      <c r="I1014" s="113" t="s">
        <v>213</v>
      </c>
      <c r="M1014" s="31">
        <v>20</v>
      </c>
      <c r="S1014" s="103">
        <v>4</v>
      </c>
      <c r="CC1014" s="31"/>
      <c r="CD1014" s="31"/>
      <c r="CE1014" s="31"/>
      <c r="CV1014" s="31"/>
    </row>
    <row r="1015" spans="1:104">
      <c r="A1015" s="89" t="s">
        <v>1713</v>
      </c>
      <c r="B1015" s="31" t="s">
        <v>301</v>
      </c>
      <c r="F1015" s="113" t="s">
        <v>1714</v>
      </c>
      <c r="I1015" s="113" t="s">
        <v>213</v>
      </c>
      <c r="M1015" s="31">
        <v>30</v>
      </c>
      <c r="S1015" s="103">
        <v>4</v>
      </c>
      <c r="CC1015" s="31"/>
      <c r="CD1015" s="31"/>
      <c r="CE1015" s="31"/>
      <c r="CV1015" s="31"/>
    </row>
    <row r="1016" spans="1:104">
      <c r="A1016" s="12" t="s">
        <v>465</v>
      </c>
      <c r="B1016" s="31" t="s">
        <v>301</v>
      </c>
      <c r="S1016" s="103">
        <v>5</v>
      </c>
      <c r="AA1016" s="31">
        <v>2</v>
      </c>
      <c r="AB1016" s="31">
        <v>2</v>
      </c>
      <c r="AD1016" s="31">
        <v>-2</v>
      </c>
      <c r="CC1016" s="31"/>
      <c r="CD1016" s="31"/>
      <c r="CE1016" s="31"/>
      <c r="CV1016" s="31"/>
      <c r="CZ1016" s="71"/>
    </row>
    <row r="1017" spans="1:104">
      <c r="A1017" s="89" t="s">
        <v>1398</v>
      </c>
      <c r="B1017" s="31" t="s">
        <v>301</v>
      </c>
      <c r="I1017" s="113"/>
      <c r="S1017" s="103">
        <v>4</v>
      </c>
      <c r="AF1017" s="31">
        <v>2</v>
      </c>
      <c r="CC1017" s="31"/>
      <c r="CD1017" s="31"/>
      <c r="CE1017" s="31"/>
      <c r="CV1017" s="31"/>
    </row>
    <row r="1018" spans="1:104">
      <c r="A1018" s="89" t="s">
        <v>521</v>
      </c>
      <c r="B1018" s="31" t="s">
        <v>301</v>
      </c>
      <c r="S1018" s="103">
        <v>4</v>
      </c>
      <c r="CC1018" s="31"/>
      <c r="CD1018" s="31"/>
      <c r="CE1018" s="31"/>
      <c r="CV1018" s="31"/>
    </row>
    <row r="1019" spans="1:104">
      <c r="A1019" s="89" t="s">
        <v>522</v>
      </c>
      <c r="B1019" s="31" t="s">
        <v>301</v>
      </c>
      <c r="S1019" s="103">
        <v>4</v>
      </c>
      <c r="BI1019" s="31">
        <v>1</v>
      </c>
      <c r="CC1019" s="31"/>
      <c r="CD1019" s="31"/>
      <c r="CE1019" s="31"/>
      <c r="CV1019" s="31"/>
    </row>
    <row r="1020" spans="1:104">
      <c r="A1020" s="89" t="s">
        <v>1245</v>
      </c>
      <c r="B1020" s="31" t="s">
        <v>301</v>
      </c>
      <c r="Q1020" s="31">
        <v>2</v>
      </c>
      <c r="S1020" s="103">
        <v>4</v>
      </c>
      <c r="CC1020" s="31"/>
      <c r="CD1020" s="31"/>
      <c r="CE1020" s="31" t="s">
        <v>1037</v>
      </c>
      <c r="CV1020" s="31"/>
    </row>
    <row r="1021" spans="1:104">
      <c r="A1021" s="89" t="s">
        <v>1282</v>
      </c>
      <c r="B1021" s="31" t="s">
        <v>301</v>
      </c>
      <c r="I1021" s="113" t="s">
        <v>216</v>
      </c>
      <c r="M1021" s="31">
        <v>30</v>
      </c>
      <c r="S1021" s="103"/>
      <c r="CC1021" s="31"/>
      <c r="CD1021" s="31"/>
      <c r="CE1021" s="31"/>
      <c r="CV1021" s="31"/>
    </row>
    <row r="1022" spans="1:104">
      <c r="A1022" s="89" t="s">
        <v>1283</v>
      </c>
      <c r="B1022" s="31" t="s">
        <v>301</v>
      </c>
      <c r="I1022" s="113" t="s">
        <v>219</v>
      </c>
      <c r="M1022" s="31">
        <v>30</v>
      </c>
      <c r="S1022" s="103"/>
      <c r="CC1022" s="31"/>
      <c r="CD1022" s="31"/>
      <c r="CE1022" s="31"/>
      <c r="CV1022" s="31"/>
    </row>
    <row r="1023" spans="1:104">
      <c r="A1023" s="89" t="s">
        <v>1284</v>
      </c>
      <c r="B1023" s="31" t="s">
        <v>301</v>
      </c>
      <c r="I1023" s="113" t="s">
        <v>222</v>
      </c>
      <c r="M1023" s="31">
        <v>30</v>
      </c>
      <c r="S1023" s="103"/>
      <c r="CC1023" s="31"/>
      <c r="CD1023" s="31"/>
      <c r="CE1023" s="31"/>
      <c r="CV1023" s="31"/>
    </row>
    <row r="1024" spans="1:104">
      <c r="A1024" s="89" t="s">
        <v>1285</v>
      </c>
      <c r="B1024" s="31" t="s">
        <v>301</v>
      </c>
      <c r="I1024" s="113" t="s">
        <v>224</v>
      </c>
      <c r="M1024" s="31">
        <v>30</v>
      </c>
      <c r="S1024" s="103"/>
      <c r="CC1024" s="31"/>
      <c r="CD1024" s="31"/>
      <c r="CE1024" s="31"/>
      <c r="CV1024" s="31"/>
    </row>
    <row r="1025" spans="1:104">
      <c r="A1025" s="89" t="s">
        <v>1555</v>
      </c>
      <c r="B1025" s="31" t="s">
        <v>301</v>
      </c>
      <c r="I1025" s="113" t="s">
        <v>116</v>
      </c>
      <c r="M1025" s="31">
        <v>30</v>
      </c>
      <c r="S1025" s="103"/>
      <c r="CC1025" s="31"/>
      <c r="CD1025" s="31"/>
      <c r="CE1025" s="31"/>
      <c r="CV1025" s="31"/>
    </row>
    <row r="1026" spans="1:104">
      <c r="A1026" s="89" t="s">
        <v>1295</v>
      </c>
      <c r="B1026" s="31" t="s">
        <v>301</v>
      </c>
      <c r="I1026" s="113" t="s">
        <v>213</v>
      </c>
      <c r="M1026" s="31">
        <v>30</v>
      </c>
      <c r="S1026" s="103"/>
      <c r="CC1026" s="31"/>
      <c r="CD1026" s="31"/>
      <c r="CE1026" s="31"/>
      <c r="CV1026" s="31"/>
    </row>
    <row r="1027" spans="1:104">
      <c r="A1027" s="89" t="s">
        <v>1556</v>
      </c>
      <c r="B1027" s="31" t="s">
        <v>301</v>
      </c>
      <c r="I1027" s="113" t="s">
        <v>216</v>
      </c>
      <c r="M1027" s="31">
        <v>30</v>
      </c>
      <c r="S1027" s="103"/>
      <c r="CC1027" s="31"/>
      <c r="CD1027" s="31"/>
      <c r="CE1027" s="31"/>
      <c r="CV1027" s="31"/>
    </row>
    <row r="1028" spans="1:104">
      <c r="A1028" s="89" t="s">
        <v>1557</v>
      </c>
      <c r="B1028" s="31" t="s">
        <v>301</v>
      </c>
      <c r="I1028" s="113" t="s">
        <v>219</v>
      </c>
      <c r="M1028" s="31">
        <v>30</v>
      </c>
      <c r="S1028" s="103"/>
      <c r="CC1028" s="31"/>
      <c r="CD1028" s="31"/>
      <c r="CE1028" s="31"/>
      <c r="CV1028" s="31"/>
    </row>
    <row r="1029" spans="1:104">
      <c r="A1029" s="89" t="s">
        <v>1558</v>
      </c>
      <c r="B1029" s="31" t="s">
        <v>301</v>
      </c>
      <c r="I1029" s="113" t="s">
        <v>222</v>
      </c>
      <c r="M1029" s="31">
        <v>30</v>
      </c>
      <c r="S1029" s="103"/>
      <c r="CC1029" s="31"/>
      <c r="CD1029" s="31"/>
      <c r="CE1029" s="31"/>
      <c r="CV1029" s="31"/>
    </row>
    <row r="1030" spans="1:104">
      <c r="A1030" s="89" t="s">
        <v>1559</v>
      </c>
      <c r="B1030" s="31" t="s">
        <v>301</v>
      </c>
      <c r="I1030" s="113" t="s">
        <v>224</v>
      </c>
      <c r="M1030" s="31">
        <v>30</v>
      </c>
      <c r="S1030" s="103"/>
      <c r="CC1030" s="31"/>
      <c r="CD1030" s="31"/>
      <c r="CE1030" s="31"/>
      <c r="CV1030" s="31"/>
    </row>
    <row r="1031" spans="1:104">
      <c r="A1031" s="89" t="s">
        <v>1560</v>
      </c>
      <c r="B1031" s="31" t="s">
        <v>301</v>
      </c>
      <c r="I1031" s="113" t="s">
        <v>116</v>
      </c>
      <c r="M1031" s="31">
        <v>30</v>
      </c>
      <c r="S1031" s="103"/>
      <c r="CC1031" s="31"/>
      <c r="CD1031" s="31"/>
      <c r="CE1031" s="31"/>
      <c r="CV1031" s="31"/>
    </row>
    <row r="1032" spans="1:104">
      <c r="A1032" s="89" t="s">
        <v>1561</v>
      </c>
      <c r="B1032" s="31" t="s">
        <v>301</v>
      </c>
      <c r="I1032" s="113" t="s">
        <v>213</v>
      </c>
      <c r="M1032" s="31">
        <v>30</v>
      </c>
      <c r="S1032" s="103"/>
      <c r="CC1032" s="31"/>
      <c r="CD1032" s="31"/>
      <c r="CE1032" s="31"/>
      <c r="CV1032" s="31"/>
    </row>
    <row r="1033" spans="1:104">
      <c r="A1033" s="12" t="s">
        <v>318</v>
      </c>
      <c r="CC1033" s="31"/>
      <c r="CD1033" s="31"/>
      <c r="CE1033" s="31"/>
      <c r="CV1033" s="31"/>
    </row>
    <row r="1034" spans="1:104">
      <c r="A1034" s="31" t="s">
        <v>319</v>
      </c>
      <c r="B1034" s="31" t="s">
        <v>318</v>
      </c>
      <c r="C1034" s="31" t="s">
        <v>73</v>
      </c>
      <c r="D1034" s="31">
        <v>1</v>
      </c>
      <c r="E1034" s="31">
        <v>1</v>
      </c>
      <c r="CC1034" s="31"/>
      <c r="CD1034" s="31"/>
      <c r="CE1034" s="31"/>
      <c r="CV1034" s="31"/>
      <c r="CZ1034" s="71"/>
    </row>
    <row r="1035" spans="1:104">
      <c r="CC1035" s="31"/>
      <c r="CD1035" s="31"/>
      <c r="CE1035" s="31"/>
      <c r="CF1035" s="31"/>
      <c r="CV1035" s="31"/>
    </row>
    <row r="1036" spans="1:104">
      <c r="CC1036" s="31"/>
      <c r="CD1036" s="31"/>
      <c r="CE1036" s="31"/>
      <c r="CF1036" s="31"/>
      <c r="CV1036" s="31"/>
    </row>
    <row r="1037" spans="1:104">
      <c r="CC1037" s="31"/>
      <c r="CD1037" s="31"/>
      <c r="CE1037" s="31"/>
      <c r="CF1037" s="31"/>
      <c r="CV1037" s="31"/>
    </row>
    <row r="1038" spans="1:104">
      <c r="CC1038" s="31"/>
      <c r="CD1038" s="31"/>
      <c r="CE1038" s="31"/>
      <c r="CF1038" s="31"/>
      <c r="CV1038" s="31"/>
    </row>
    <row r="1039" spans="1:104">
      <c r="CC1039" s="31"/>
      <c r="CD1039" s="31"/>
      <c r="CE1039" s="31"/>
      <c r="CF1039" s="31"/>
      <c r="CV1039" s="31"/>
    </row>
    <row r="1040" spans="1:104">
      <c r="CC1040" s="31"/>
      <c r="CD1040" s="31"/>
      <c r="CE1040" s="31"/>
      <c r="CF1040" s="31"/>
      <c r="CV1040" s="31"/>
    </row>
    <row r="1041" spans="81:100">
      <c r="CC1041" s="31"/>
      <c r="CD1041" s="31"/>
      <c r="CE1041" s="31"/>
      <c r="CF1041" s="31"/>
      <c r="CV1041" s="31"/>
    </row>
    <row r="1042" spans="81:100">
      <c r="CC1042" s="31"/>
      <c r="CD1042" s="31"/>
      <c r="CE1042" s="31"/>
      <c r="CF1042" s="31"/>
      <c r="CV1042" s="31"/>
    </row>
    <row r="1043" spans="81:100">
      <c r="CC1043" s="31"/>
      <c r="CD1043" s="31"/>
      <c r="CE1043" s="31"/>
      <c r="CF1043" s="31"/>
      <c r="CV1043" s="31"/>
    </row>
    <row r="1044" spans="81:100">
      <c r="CC1044" s="31"/>
      <c r="CD1044" s="31"/>
      <c r="CE1044" s="31"/>
      <c r="CF1044" s="31"/>
      <c r="CV1044" s="31"/>
    </row>
    <row r="1045" spans="81:100">
      <c r="CC1045" s="31"/>
      <c r="CD1045" s="31"/>
      <c r="CE1045" s="31"/>
      <c r="CF1045" s="31"/>
      <c r="CV1045" s="31"/>
    </row>
    <row r="1046" spans="81:100">
      <c r="CC1046" s="31"/>
      <c r="CD1046" s="31"/>
      <c r="CE1046" s="31"/>
      <c r="CF1046" s="31"/>
      <c r="CV1046" s="31"/>
    </row>
    <row r="1047" spans="81:100">
      <c r="CC1047" s="31"/>
      <c r="CD1047" s="31"/>
      <c r="CE1047" s="31"/>
      <c r="CF1047" s="31"/>
      <c r="CV1047" s="31"/>
    </row>
    <row r="1048" spans="81:100">
      <c r="CC1048" s="31"/>
      <c r="CD1048" s="31"/>
      <c r="CE1048" s="31"/>
      <c r="CF1048" s="31"/>
      <c r="CV1048" s="31"/>
    </row>
    <row r="1049" spans="81:100">
      <c r="CC1049" s="31"/>
      <c r="CD1049" s="31"/>
      <c r="CE1049" s="31"/>
      <c r="CF1049" s="31"/>
      <c r="CV1049" s="31"/>
    </row>
    <row r="1050" spans="81:100">
      <c r="CC1050" s="31"/>
      <c r="CD1050" s="31"/>
      <c r="CE1050" s="31"/>
      <c r="CF1050" s="31"/>
      <c r="CV1050" s="31"/>
    </row>
    <row r="1051" spans="81:100">
      <c r="CC1051" s="31"/>
      <c r="CD1051" s="31"/>
      <c r="CE1051" s="31"/>
      <c r="CF1051" s="31"/>
      <c r="CV1051" s="31"/>
    </row>
    <row r="1052" spans="81:100">
      <c r="CC1052" s="31"/>
      <c r="CD1052" s="31"/>
      <c r="CE1052" s="31"/>
      <c r="CF1052" s="31"/>
      <c r="CV1052" s="31"/>
    </row>
    <row r="1053" spans="81:100">
      <c r="CC1053" s="31"/>
      <c r="CD1053" s="31"/>
      <c r="CE1053" s="31"/>
      <c r="CF1053" s="31"/>
      <c r="CV1053" s="31"/>
    </row>
    <row r="1054" spans="81:100">
      <c r="CC1054" s="31"/>
      <c r="CD1054" s="31"/>
      <c r="CE1054" s="31"/>
      <c r="CF1054" s="31"/>
      <c r="CV1054" s="31"/>
    </row>
    <row r="1055" spans="81:100">
      <c r="CC1055" s="31"/>
      <c r="CD1055" s="31"/>
      <c r="CE1055" s="31"/>
      <c r="CF1055" s="31"/>
      <c r="CV1055" s="31"/>
    </row>
    <row r="1056" spans="81:100">
      <c r="CC1056" s="31"/>
      <c r="CD1056" s="31"/>
      <c r="CE1056" s="31"/>
      <c r="CF1056" s="31"/>
      <c r="CV1056" s="31"/>
    </row>
    <row r="1057" spans="81:100">
      <c r="CC1057" s="31"/>
      <c r="CD1057" s="31"/>
      <c r="CE1057" s="31"/>
      <c r="CF1057" s="31"/>
      <c r="CV1057" s="31"/>
    </row>
    <row r="1058" spans="81:100">
      <c r="CC1058" s="31"/>
      <c r="CD1058" s="31"/>
      <c r="CE1058" s="31"/>
      <c r="CF1058" s="31"/>
      <c r="CV1058" s="31"/>
    </row>
    <row r="1059" spans="81:100">
      <c r="CC1059" s="31"/>
      <c r="CD1059" s="31"/>
      <c r="CE1059" s="31"/>
      <c r="CF1059" s="31"/>
      <c r="CV1059" s="31"/>
    </row>
    <row r="1060" spans="81:100">
      <c r="CC1060" s="31"/>
      <c r="CD1060" s="31"/>
      <c r="CE1060" s="31"/>
      <c r="CF1060" s="31"/>
      <c r="CV1060" s="31"/>
    </row>
    <row r="1061" spans="81:100">
      <c r="CC1061" s="31"/>
      <c r="CD1061" s="31"/>
      <c r="CE1061" s="31"/>
      <c r="CF1061" s="31"/>
      <c r="CV1061" s="31"/>
    </row>
    <row r="1062" spans="81:100">
      <c r="CC1062" s="31"/>
      <c r="CD1062" s="31"/>
      <c r="CE1062" s="31"/>
      <c r="CF1062" s="31"/>
      <c r="CV1062" s="31"/>
    </row>
    <row r="1063" spans="81:100">
      <c r="CC1063" s="31"/>
      <c r="CD1063" s="31"/>
      <c r="CE1063" s="31"/>
      <c r="CF1063" s="31"/>
      <c r="CV1063" s="31"/>
    </row>
    <row r="1064" spans="81:100">
      <c r="CC1064" s="31"/>
      <c r="CD1064" s="31"/>
      <c r="CE1064" s="31"/>
      <c r="CF1064" s="31"/>
      <c r="CV1064" s="31"/>
    </row>
    <row r="1065" spans="81:100">
      <c r="CC1065" s="31"/>
      <c r="CD1065" s="31"/>
      <c r="CE1065" s="31"/>
      <c r="CF1065" s="31"/>
      <c r="CV1065" s="31"/>
    </row>
    <row r="1066" spans="81:100">
      <c r="CC1066" s="31"/>
      <c r="CD1066" s="31"/>
      <c r="CE1066" s="31"/>
      <c r="CF1066" s="31"/>
      <c r="CV1066" s="31"/>
    </row>
    <row r="1067" spans="81:100">
      <c r="CC1067" s="31"/>
      <c r="CD1067" s="31"/>
      <c r="CE1067" s="31"/>
      <c r="CF1067" s="31"/>
      <c r="CV1067" s="31"/>
    </row>
    <row r="1068" spans="81:100">
      <c r="CC1068" s="31"/>
      <c r="CD1068" s="31"/>
      <c r="CE1068" s="31"/>
      <c r="CF1068" s="31"/>
      <c r="CV1068" s="31"/>
    </row>
    <row r="1069" spans="81:100">
      <c r="CC1069" s="31"/>
      <c r="CD1069" s="31"/>
      <c r="CE1069" s="31"/>
      <c r="CF1069" s="31"/>
      <c r="CV1069" s="31"/>
    </row>
    <row r="1070" spans="81:100">
      <c r="CC1070" s="31"/>
      <c r="CD1070" s="31"/>
      <c r="CE1070" s="31"/>
      <c r="CF1070" s="31"/>
      <c r="CV1070" s="31"/>
    </row>
    <row r="1071" spans="81:100">
      <c r="CC1071" s="31"/>
      <c r="CD1071" s="31"/>
      <c r="CE1071" s="31"/>
      <c r="CF1071" s="31"/>
      <c r="CV1071" s="31"/>
    </row>
    <row r="1072" spans="81:100">
      <c r="CC1072" s="31"/>
      <c r="CD1072" s="31"/>
      <c r="CE1072" s="31"/>
      <c r="CF1072" s="31"/>
      <c r="CV1072" s="31"/>
    </row>
    <row r="1073" spans="81:100">
      <c r="CC1073" s="31"/>
      <c r="CD1073" s="31"/>
      <c r="CE1073" s="31"/>
      <c r="CF1073" s="31"/>
      <c r="CV1073" s="31"/>
    </row>
    <row r="1074" spans="81:100">
      <c r="CC1074" s="31"/>
      <c r="CD1074" s="31"/>
      <c r="CE1074" s="31"/>
      <c r="CF1074" s="31"/>
      <c r="CV1074" s="31"/>
    </row>
    <row r="1075" spans="81:100">
      <c r="CC1075" s="31"/>
      <c r="CD1075" s="31"/>
      <c r="CE1075" s="31"/>
      <c r="CF1075" s="31"/>
      <c r="CV1075" s="31"/>
    </row>
    <row r="1076" spans="81:100">
      <c r="CC1076" s="31"/>
      <c r="CD1076" s="31"/>
      <c r="CE1076" s="31"/>
      <c r="CF1076" s="31"/>
      <c r="CV1076" s="31"/>
    </row>
    <row r="1077" spans="81:100">
      <c r="CC1077" s="31"/>
      <c r="CD1077" s="31"/>
      <c r="CE1077" s="31"/>
      <c r="CF1077" s="31"/>
      <c r="CV1077" s="31"/>
    </row>
    <row r="1078" spans="81:100">
      <c r="CC1078" s="31"/>
      <c r="CD1078" s="31"/>
      <c r="CE1078" s="31"/>
      <c r="CF1078" s="31"/>
      <c r="CV1078" s="31"/>
    </row>
    <row r="1079" spans="81:100">
      <c r="CC1079" s="31"/>
      <c r="CD1079" s="31"/>
      <c r="CE1079" s="31"/>
      <c r="CF1079" s="31"/>
      <c r="CV1079" s="31"/>
    </row>
    <row r="1080" spans="81:100">
      <c r="CC1080" s="31"/>
      <c r="CD1080" s="31"/>
      <c r="CE1080" s="31"/>
      <c r="CF1080" s="31"/>
      <c r="CV1080" s="31"/>
    </row>
    <row r="1081" spans="81:100">
      <c r="CC1081" s="31"/>
      <c r="CD1081" s="31"/>
      <c r="CE1081" s="31"/>
      <c r="CF1081" s="31"/>
      <c r="CV1081" s="31"/>
    </row>
    <row r="1082" spans="81:100">
      <c r="CC1082" s="31"/>
      <c r="CD1082" s="31"/>
      <c r="CE1082" s="31"/>
      <c r="CF1082" s="31"/>
      <c r="CV1082" s="31"/>
    </row>
    <row r="1083" spans="81:100">
      <c r="CC1083" s="31"/>
      <c r="CD1083" s="31"/>
      <c r="CE1083" s="31"/>
      <c r="CF1083" s="31"/>
      <c r="CV1083" s="31"/>
    </row>
    <row r="1084" spans="81:100">
      <c r="CC1084" s="31"/>
      <c r="CD1084" s="31"/>
      <c r="CE1084" s="31"/>
      <c r="CF1084" s="31"/>
      <c r="CV1084" s="31"/>
    </row>
    <row r="1085" spans="81:100">
      <c r="CC1085" s="31"/>
      <c r="CD1085" s="31"/>
      <c r="CE1085" s="31"/>
      <c r="CF1085" s="31"/>
      <c r="CV1085" s="31"/>
    </row>
    <row r="1086" spans="81:100">
      <c r="CC1086" s="31"/>
      <c r="CD1086" s="31"/>
      <c r="CE1086" s="31"/>
      <c r="CF1086" s="31"/>
      <c r="CV1086" s="31"/>
    </row>
    <row r="1087" spans="81:100">
      <c r="CC1087" s="31"/>
      <c r="CD1087" s="31"/>
      <c r="CE1087" s="31"/>
      <c r="CF1087" s="31"/>
      <c r="CV1087" s="31"/>
    </row>
    <row r="1088" spans="81:100">
      <c r="CC1088" s="31"/>
      <c r="CD1088" s="31"/>
      <c r="CE1088" s="31"/>
      <c r="CF1088" s="31"/>
      <c r="CV1088" s="31"/>
    </row>
    <row r="1089" spans="81:100">
      <c r="CC1089" s="31"/>
      <c r="CD1089" s="31"/>
      <c r="CE1089" s="31"/>
      <c r="CF1089" s="31"/>
      <c r="CV1089" s="31"/>
    </row>
    <row r="1090" spans="81:100">
      <c r="CC1090" s="31"/>
      <c r="CD1090" s="31"/>
      <c r="CE1090" s="31"/>
      <c r="CF1090" s="31"/>
      <c r="CV1090" s="31"/>
    </row>
    <row r="1091" spans="81:100">
      <c r="CC1091" s="31"/>
      <c r="CD1091" s="31"/>
      <c r="CE1091" s="31"/>
      <c r="CF1091" s="31"/>
      <c r="CV1091" s="31"/>
    </row>
    <row r="1092" spans="81:100">
      <c r="CC1092" s="31"/>
      <c r="CD1092" s="31"/>
      <c r="CE1092" s="31"/>
      <c r="CF1092" s="31"/>
      <c r="CV1092" s="31"/>
    </row>
  </sheetData>
  <sheetProtection selectLockedCells="1" selectUnlockedCells="1"/>
  <dataValidations count="14">
    <dataValidation type="list" allowBlank="1" showInputMessage="1" showErrorMessage="1" sqref="BY983711:BZ983760 BJ197330:BT197493 BY852639:BZ852688 BY787103:BZ787152 BY721567:BZ721616 BY656031:BZ656080 BY590495:BZ590544 BY524959:BZ525008 BY459423:BZ459472 BY393887:BZ393936 BY328351:BZ328400 BY262815:BZ262864 BY197279:BZ197328 BY131743:BZ131792 BY66207:BZ66256 BY983762:BZ1048576 BY918226:BZ983709 BY852690:BZ918173 BY787154:BZ852637 BY721618:BZ787101 BY656082:BZ721565 BY590546:BZ656029 BY525010:BZ590493 BY459474:BZ524957 BY393938:BZ459421 BY328402:BZ393885 BY262866:BZ328349 BY197330:BZ262813 BY131794:BZ197277 BY66258:BZ131741 BY918175:BZ918224 BE1033:BT66187 BE66422:BT131723 BE131958:BT197259 BE197494:BT262795 BE263030:BT328331 BE328566:BT393867 BE394102:BT459403 BE459638:BT524939 BE525174:BT590475 BE590710:BT656011 BE656246:BT721547 BE721782:BT787083 BE787318:BT852619 BE852854:BT918155 BE918390:BT983691 BE983926:BT1048576 BE66188:BI66421 BE131724:BI131957 BE197260:BI197493 BE262796:BI263029 BE328332:BI328565 BE393868:BI394101 BE459404:BI459637 BE524940:BI525173 BE590476:BI590709 BE656012:BI656245 BE721548:BI721781 BE787084:BI787317 BE852620:BI852853 BE918156:BI918389 BE983692:BI983925 U852690:U852758 U787154:U787222 U721618:U721686 U656082:U656150 U590546:U590614 U525010:U525078 U459474:U459542 U393938:U394006 U328402:U328470 U262866:U262934 U197330:U197398 U131794:U131862 U66258:U66326 U983711:U983760 AA983711:AF983760 AA918175:AF918224 AA852639:AF852688 AA787103:AF787152 AA721567:AF721616 AA656031:AF656080 AA590495:AF590544 AA524959:AF525008 AA459423:AF459472 AA393887:AF393936 AA328351:AF328400 AA262815:AF262864 AA197279:AF197328 AA131743:AF131792 AA66207:AF66256 O983711:O983760 O918175:O918224 O852639:O852688 O787103:O787152 O721567:O721616 O656031:O656080 O590495:O590544 O524959:O525008 O459423:O459472 O393887:O393936 O328351:O328400 O262815:O262864 O197279:O197328 O131743:O131792 O66207:O66256 U918175:U918224 U852639:U852688 U787103:U787152 U721567:U721616 U656031:U656080 U590495:U590544 U524959:U525008 U459423:U459472 U393887:U393936 U328351:U328400 U262815:U262864 U197279:U197328 U131743:U131792 U66207:U66256 AA983762:AF983925 AA918226:AF918389 AA852690:AF852853 AA787154:AF787317 AA721618:AF721781 AA656082:AF656245 AA590546:AF590709 AA525010:AF525173 AA459474:AF459637 AA393938:AF394101 AA328402:AF328565 AA262866:AF263029 AA197330:AF197493 AA131794:AF131957 AA66258:AF66421 AA983692:AF983709 AA918156:AF918173 AA852620:AF852637 AA787084:AF787101 AA721548:AF721565 AA656012:AF656029 AA590476:AF590493 AA524940:AF524957 AA459404:AF459421 AA393868:AF393885 AA328332:AF328349 AA262796:AF262813 AA197260:AF197277 AA131724:AF131741 AA66188:AF66205 O983762:O1048576 O918226:O983709 O852690:O918173 O787154:O852637 O721618:O787101 O656082:O721565 O590546:O656029 O525010:O590493 O459474:O524957 O393938:O459421 O328402:O393885 O262866:O328349 O197330:O262813 O131794:O197277 O66258:O131741 U918226:U918294 U983915:U1048576 U918379:U983709 U852843:U918173 U787307:U852637 U721771:U787101 U656235:U721565 U590699:U656029 U525163:U590493 U459627:U524957 U394091:U459421 U328555:U393885 U263019:U328349 U197483:U262813 U131947:U197277 U66411:U131741 U983762:U983830 AA66422:AK131723 AA131958:AK197259 AA197494:AK262795 AA263030:AK328331 AA328566:AK393867 AA394102:AK459403 AA459638:AK524939 AA525174:AK590475 AA590710:AK656011 AA656246:AK721547 AA721782:AK787083 AA787318:AK852619 AA852854:AK918155 AA918390:AK983691 AA983926:AK1048576 AG66188:AK66421 AG131724:AK131957 AG197260:AK197493 AG262796:AK263029 AG328332:AK328565 AG393868:AK394101 AG459404:AK459637 AG524940:AK525173 AG590476:AK590709 AG656012:AK656245 AG721548:AK721781 AG787084:AK787317 AG852620:AK852853 AG918156:AK918389 AG983692:AK983925 AA1033:AK66187 AL1033:BD1048576 BJ66258:BT66421 BJ131794:BT131957 BJ983711:BT983760 BJ918175:BT918224 BJ852639:BT852688 BJ787103:BT787152 BJ721567:BT721616 BJ656031:BT656080 BJ590495:BT590544 BJ524959:BT525008 BJ459423:BT459472 BJ393887:BT393936 BJ328351:BT328400 BJ262815:BT262864 BJ197279:BT197328 BJ131743:BT131792 BJ66207:BT66256 BJ983692:BT983709 BJ918156:BT918173 BJ852620:BT852637 BJ787084:BT787101 BJ721548:BT721565 BJ656012:BT656029 BJ590476:BT590493 BJ524940:BT524957 BJ459404:BT459421 BJ393868:BT393885 BJ328332:BT328349 BJ262796:BT262813 BJ197260:BT197277 BJ131724:BT131741 BJ66188:BT66205 BJ983762:BT983925 BJ918226:BT918389 BJ852690:BT852853 BJ787154:BT787317 BJ721618:BT721781 BJ656082:BT656245 BJ590546:BT590709 BJ525010:BT525173 BJ459474:BT459637 BJ393938:BT394101 BJ328402:BT328565 BJ262866:BT263029 O814 U809:U811 U818:U819 O818:O819 U703:U748 U878:U66205 O821:O66205 AG21:AM22 BY2:BZ20 AP7:BT20 AA2:AM20 AN2:BT6 U2:U20 O2:O20 AP21:BI22 AN7:AO61 AP23:BT61 AA23:AM61 BY23:BZ66205 AA62:BT1032 O23:O803 U23:U701">
      <formula1>Value_PenaltyQualifier</formula1>
    </dataValidation>
    <dataValidation type="list" allowBlank="1" showInputMessage="1" showErrorMessage="1" sqref="N328333:N328349 J983762:K1048576 N262797:N262813 N197261:N197277 N131725:N131741 J66207:K66256 J131743:K131792 J197279:K197328 J262815:K262864 J328351:K328400 J393887:K393936 J459423:K459472 J524959:K525008 J590495:K590544 J656031:K656080 J721567:K721616 J787103:K787152 J852639:K852688 J918175:K918224 J983711:K983760 N983711:N983760 N918175:N918224 N852639:N852688 N787103:N787152 N721567:N721616 N656031:N656080 N590495:N590544 N524959:N525008 N459423:N459472 N393887:N393936 N328351:N328400 N262815:N262864 N197279:N197328 N131743:N131792 P983711:R983760 P918175:R918224 P852639:R852688 P787103:R787152 P721567:R721616 P656031:R656080 P590495:R590544 P524959:R525008 P459423:R459472 P393887:R393936 P328351:R328400 P262815:R262864 P197279:R197328 P131743:R131792 P66207:R66256 N66189:N66205 N66207:N66256 N983762:N1048576 N918226:N983691 N852690:N918155 N787154:N852619 N721618:N787083 N656082:N721547 N590546:N656011 N525010:N590475 N459474:N524939 N393938:N459403 N328402:N393867 N262866:N328331 N197330:N262795 N131794:N197259 P983762:R1048576 P918226:R983709 P852690:R918173 P787154:R852637 P721618:R787101 P656082:R721565 P590546:R656029 P525010:R590493 P459474:R524957 P393938:R459421 P328402:R393885 P262866:R328349 P197330:R262813 P131794:R197277 P66258:R131741 N66258:N131723 J918226:K983709 J852690:K918173 J787154:K852637 J721618:K787101 J656082:K721565 J590546:K656029 J525010:K590493 J459474:K524957 J393938:K459421 J328402:K393885 J262866:K328349 J197330:K262813 J131794:K197277 J66258:K131741 N983693:N983709 N918157:N918173 N852621:N852637 N787085:N787101 N721549:N721565 N656013:N656029 N590477:N590493 N524941:N524957 N459405:N459421 N393869:N393885 O804:O813 O815:O817 O820 N2:N20 J2:K20 L19 P2:R20 J23:K66205 P23:R66205 N23:N66187">
      <formula1>Value_Qualifier</formula1>
    </dataValidation>
    <dataValidation type="list" allowBlank="1" showInputMessage="1" showErrorMessage="1" sqref="I66207:I66256 I262815:I262864 I197279:I197328 I131743:I131792 I983762:I1048576 I918226:I983709 I852690:I918173 I787154:I852637 I721618:I787101 I656082:I721565 I590546:I656029 I525010:I590493 I459474:I524957 I393938:I459421 I328402:I393885 I262866:I328349 I197330:I262813 I131794:I197277 I66258:I131741 I983711:I983760 I918175:I918224 I852639:I852688 I787103:I787152 I721567:I721616 I656031:I656080 I590495:I590544 I524959:I525008 I459423:I459472 I393887:I393936 I328351:I328400 I2:I20 I23:I66205">
      <formula1>Value_DamageType</formula1>
    </dataValidation>
    <dataValidation type="list" allowBlank="1" showInputMessage="1" showErrorMessage="1" sqref="S66207:S66256 S262815:S262864 S197279:S197328 S131743:S131792 S983762:S1048576 S918226:S983709 S852690:S918173 S787154:S852637 S721618:S787101 S656082:S721565 S590546:S656029 S525010:S590493 S459474:S524957 S393938:S459421 S328402:S393885 S262866:S328349 S197330:S262813 S131794:S197277 S66258:S131741 S983711:S983760 S918175:S918224 S852639:S852688 S787103:S787152 S721567:S721616 S656031:S656080 S590495:S590544 S524959:S525008 S459423:S459472 S393887:S393936 S328351:S328400 S23:S147 S2:S20 S149:S66205">
      <formula1>Value_PreciseQualifier</formula1>
    </dataValidation>
    <dataValidation type="list" allowBlank="1" showInputMessage="1" showErrorMessage="1" sqref="Y393887:Y393936 Y328351:Y328400 Y262815:Y262864 Y197279:Y197328 Y131743:Y131792 Y983762:Y1048576 Y918226:Y983709 Y852690:Y918173 Y787154:Y852637 Y721618:Y787101 Y656082:Y721565 Y590546:Y656029 Y525010:Y590493 Y459474:Y524957 Y393938:Y459421 Y328402:Y393885 Y262866:Y328349 Y197330:Y262813 Y131794:Y197277 Y66258:Y131741 Y983711:Y983760 Y918175:Y918224 Y852639:Y852688 Y787103:Y787152 Y721567:Y721616 Y656031:Y656080 Y590495:Y590544 Y524959:Y525008 Y459423:Y459472 Y66207:Y66256 Y2:Y20 Y23:Y66205">
      <formula1>Value_Itemslot</formula1>
    </dataValidation>
    <dataValidation type="list" allowBlank="1" showInputMessage="1" showErrorMessage="1" sqref="W459423:W459472 W262815:W262864 W197279:W197328 W131743:W131792 W983762:W1048576 W918226:W983709 W852690:W918173 W787154:W852637 W721618:W787101 W656082:W721565 W590546:W656029 W525010:W590493 W459474:W524957 W393938:W459421 W328402:W393885 W262866:W328349 W197330:W262813 W131794:W197277 W66258:W131741 W983711:W983760 W918175:W918224 W852639:W852688 W787103:W787152 W721567:W721616 W656031:W656080 W590495:W590544 W66207:W66256 W524959:W525008 W393887:W393936 W328351:W328400 W2:W20 W23:W66205">
      <formula1>Value_Weapontype</formula1>
    </dataValidation>
    <dataValidation type="list" allowBlank="1" showInputMessage="1" showErrorMessage="1" sqref="D66207:D66256 D197279:D197328 D262815:D262864 D328351:D328400 D393887:D393936 D459423:D459472 D524959:D525008 D590495:D590544 D656031:D656080 D721567:D721616 D787103:D787152 D852639:D852688 D918175:D918224 D983711:D983760 D66258:D131741 D131794:D197277 D197330:D262813 D262866:D328349 D328402:D393885 D393938:D459421 D459474:D524957 D525010:D590493 D590546:D656029 D656082:D721565 D721618:D787101 D787154:D852637 D852690:D918173 D918226:D983709 D983762:D1048576 D131743:D131792 D23:D478 D2:D20 D480:D66205">
      <formula1>Value_Act</formula1>
    </dataValidation>
    <dataValidation type="list" allowBlank="1" showInputMessage="1" showErrorMessage="1" sqref="C66207:C66256 C983762:C1048576 C918226:C983709 C131743:C131792 C197279:C197328 C262815:C262864 C328351:C328400 C393887:C393936 C459423:C459472 C524959:C525008 C590495:C590544 C656031:C656080 C721567:C721616 C787103:C787152 C852639:C852688 C918175:C918224 C983711:C983760 C66258:C131741 C131794:C197277 C197330:C262813 C262866:C328349 C328402:C393885 C393938:C459421 C459474:C524957 C525010:C590493 C590546:C656029 C656082:C721565 C721618:C787101 C787154:C852637 C852690:C918173 C796:C66205 C2:C20 C23:C794">
      <formula1>Value_ModifierType</formula1>
    </dataValidation>
    <dataValidation type="list" allowBlank="1" showInputMessage="1" showErrorMessage="1" sqref="E983711:E983760 E66398:E131741 E131934:E197277 E197470:E262813 E263006:E328349 E328542:E393885 E394078:E459421 E459614:E524957 E525150:E590493 E590686:E656029 E656222:E721565 E721758:E787101 E787294:E852637 E852830:E918173 E918366:E983709 E983902:E1048576 E66258:E66396 E131794:E131932 E197330:E197468 E262866:E263004 E328402:E328540 E393938:E394076 E459474:E459612 E525010:E525148 E590546:E590684 E656082:E656220 E721618:E721756 E787154:E787292 E852690:E852828 E918226:E918364 E983762:E983900 E66207:E66256 E131743:E131792 E197279:E197328 E262815:E262864 E328351:E328400 E393887:E393936 E459423:E459472 E524959:E525008 E590495:E590544 E656031:E656080 E721567:E721616 E787103:E787152 E852639:E852688 E918175:E918224 D479 E23:E479 E2:E20 E482:E66205">
      <formula1>Value_ActPart</formula1>
    </dataValidation>
    <dataValidation errorStyle="warning" allowBlank="1" showInputMessage="1" showErrorMessage="1" errorTitle="Invalid" error="This character does not exist on the Character tab." sqref="A983915:A983945 A66322:A66326 A131858:A131862 A197394:A197398 A262930:A262934 A328466:A328470 A394002:A394006 A459538:A459542 A525074:A525078 A590610:A590614 A656146:A656150 A721682:A721686 A787218:A787222 A852754:A852758 A918290:A918294 A983826:A983830 A66411:A66441 A131947:A131977 A197483:A197513 A263019:A263049 A328555:A328585 A394091:A394121 A459627:A459657 A525163:A525193 A590699:A590729 A656235:A656265 A721771:A721801 A787307:A787337 A852843:A852873 A918379:A918409 A878:A916 A703:A748 A693:A697 A700:A701 A818:A819 A611:A684 A587:A594 A596:A599"/>
    <dataValidation type="list" allowBlank="1" showInputMessage="1" showErrorMessage="1" sqref="CG918:CG1048576 CI918:CN1048576 CF203:CF204 CI19:CN48 CI50:CN80 CG19:CG48 CG2:CG15 CI2:CN15 CG85:CG88 CI85:CN88 CG50:CG80 CI92:CN916 CG92:CG916">
      <formula1>Value_InventoryTabs</formula1>
    </dataValidation>
    <dataValidation type="list" allowBlank="1" showInputMessage="1" showErrorMessage="1" sqref="X2:X1048576">
      <formula1>Value_AnimType</formula1>
    </dataValidation>
    <dataValidation errorStyle="warning" allowBlank="1" showInputMessage="1" showErrorMessage="1" errorTitle="Invalid" error="This may be invalid! Unless you're creating something with multiple requirement types. Don't forget to use ; to sum them up. No spaces." sqref="F2:F1048576"/>
    <dataValidation type="list" allowBlank="1" showInputMessage="1" showErrorMessage="1" sqref="G2:G1048576">
      <formula1>Value_Bool</formula1>
    </dataValidation>
  </dataValidations>
  <pageMargins left="0.75" right="0.75" top="1" bottom="1" header="0.51180555555555551" footer="0.51180555555555551"/>
  <pageSetup paperSize="9" firstPageNumber="0" orientation="portrait" horizontalDpi="300" verticalDpi="300" r:id="rId1"/>
  <headerFooter alignWithMargins="0"/>
  <ignoredErrors>
    <ignoredError sqref="F271:F272 F311:F312 F119:F122" formula="1"/>
  </ignoredErrors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54</vt:i4>
      </vt:variant>
    </vt:vector>
  </HeadingPairs>
  <TitlesOfParts>
    <vt:vector size="56" baseType="lpstr">
      <vt:lpstr>ValueLists</vt:lpstr>
      <vt:lpstr>Weapon</vt:lpstr>
      <vt:lpstr>Axe2HDamage</vt:lpstr>
      <vt:lpstr>Axe2HDamageRange</vt:lpstr>
      <vt:lpstr>AxeDamage</vt:lpstr>
      <vt:lpstr>AxeDamageRange</vt:lpstr>
      <vt:lpstr>BowDamage</vt:lpstr>
      <vt:lpstr>BowDamageRange</vt:lpstr>
      <vt:lpstr>ClubDamage</vt:lpstr>
      <vt:lpstr>ClubDamageRange</vt:lpstr>
      <vt:lpstr>CrossbowDamage</vt:lpstr>
      <vt:lpstr>CrossbowDamageRange</vt:lpstr>
      <vt:lpstr>DaggerDamage</vt:lpstr>
      <vt:lpstr>DaggerDamageRange</vt:lpstr>
      <vt:lpstr>SpearDamage</vt:lpstr>
      <vt:lpstr>SpearDamageRange</vt:lpstr>
      <vt:lpstr>StaffDamage</vt:lpstr>
      <vt:lpstr>StaffDamageRange</vt:lpstr>
      <vt:lpstr>Sword2HDamage</vt:lpstr>
      <vt:lpstr>Sword2HDamageRange</vt:lpstr>
      <vt:lpstr>SwordDamage</vt:lpstr>
      <vt:lpstr>SwordDamageRange</vt:lpstr>
      <vt:lpstr>Value_Ability</vt:lpstr>
      <vt:lpstr>Value_Act</vt:lpstr>
      <vt:lpstr>Value_ActPart</vt:lpstr>
      <vt:lpstr>Value_AnimType</vt:lpstr>
      <vt:lpstr>Value_ArmorType</vt:lpstr>
      <vt:lpstr>Value_AtmosphereType</vt:lpstr>
      <vt:lpstr>Value_BigQualifier</vt:lpstr>
      <vt:lpstr>Value_Bool</vt:lpstr>
      <vt:lpstr>Value_BoostType</vt:lpstr>
      <vt:lpstr>Value_CastCheckType</vt:lpstr>
      <vt:lpstr>Value_DamageType</vt:lpstr>
      <vt:lpstr>Value_DeathType</vt:lpstr>
      <vt:lpstr>Value_Handedness</vt:lpstr>
      <vt:lpstr>Value_InventoryTabs</vt:lpstr>
      <vt:lpstr>Value_ItemColor</vt:lpstr>
      <vt:lpstr>Value_Itemslot</vt:lpstr>
      <vt:lpstr>Value_ItemType</vt:lpstr>
      <vt:lpstr>Value_ModifierType</vt:lpstr>
      <vt:lpstr>Value_PenaltyPreciseQualifier</vt:lpstr>
      <vt:lpstr>Value_PenaltyQualifier</vt:lpstr>
      <vt:lpstr>Value_PreciseQualifier</vt:lpstr>
      <vt:lpstr>Value_ProjectileAccuracy</vt:lpstr>
      <vt:lpstr>Value_Qualifier</vt:lpstr>
      <vt:lpstr>Value_SavingThrow</vt:lpstr>
      <vt:lpstr>Value_SkillAbility</vt:lpstr>
      <vt:lpstr>Value_SkillElement</vt:lpstr>
      <vt:lpstr>Value_SkillRequirement</vt:lpstr>
      <vt:lpstr>Value_SkillTier</vt:lpstr>
      <vt:lpstr>Value_SurfaceType</vt:lpstr>
      <vt:lpstr>Value_TreasureCategory</vt:lpstr>
      <vt:lpstr>Value_ValueTypes</vt:lpstr>
      <vt:lpstr>Value_Weapontype</vt:lpstr>
      <vt:lpstr>WandDamage</vt:lpstr>
      <vt:lpstr>WandDamageRange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BertVS</dc:creator>
  <cp:lastModifiedBy>Edouard</cp:lastModifiedBy>
  <dcterms:created xsi:type="dcterms:W3CDTF">2013-10-15T09:19:29Z</dcterms:created>
  <dcterms:modified xsi:type="dcterms:W3CDTF">2016-01-15T13:40:32Z</dcterms:modified>
</cp:coreProperties>
</file>