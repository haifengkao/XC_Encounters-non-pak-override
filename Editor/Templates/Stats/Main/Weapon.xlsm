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4400" yWindow="-15" windowWidth="5010" windowHeight="12795" activeTab="1"/>
  </bookViews>
  <sheets>
    <sheet name="ValueLists" sheetId="85" r:id="rId1"/>
    <sheet name="Weapon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ValueLists!$B$35:$AF$35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alcChain.xml><?xml version="1.0" encoding="utf-8"?>
<calcChain xmlns="http://schemas.openxmlformats.org/spreadsheetml/2006/main">
  <c r="L41" i="1"/>
  <c r="L10"/>
  <c r="L20" l="1"/>
  <c r="L17"/>
  <c r="L15"/>
  <c r="L13"/>
  <c r="L6"/>
</calcChain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 Walgrave</author>
  </authors>
  <commentList>
    <comment ref="CZ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Used in treasure generation (see TreasureTable). Free to group items under any name.</t>
        </r>
      </text>
    </comment>
    <comment ref="DC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The lower this number, the higher the chance it will drop within its category.</t>
        </r>
      </text>
    </comment>
  </commentList>
</comments>
</file>

<file path=xl/sharedStrings.xml><?xml version="1.0" encoding="utf-8"?>
<sst xmlns="http://schemas.openxmlformats.org/spreadsheetml/2006/main" count="2934" uniqueCount="1072">
  <si>
    <t>Name</t>
  </si>
  <si>
    <t>Using</t>
  </si>
  <si>
    <t>ModifierType</t>
  </si>
  <si>
    <t>Act</t>
  </si>
  <si>
    <t>Act part</t>
  </si>
  <si>
    <t>Requirements</t>
  </si>
  <si>
    <t>AttackAPCost</t>
  </si>
  <si>
    <t>Damage Type</t>
  </si>
  <si>
    <t>Damage</t>
  </si>
  <si>
    <t>Damage Range</t>
  </si>
  <si>
    <t>CriticalDamage</t>
  </si>
  <si>
    <t>CriticalChance</t>
  </si>
  <si>
    <t>WeaponRange</t>
  </si>
  <si>
    <t>Durability</t>
  </si>
  <si>
    <t>DurabilityDegradeSpeed</t>
  </si>
  <si>
    <t>Value</t>
  </si>
  <si>
    <t>Weight</t>
  </si>
  <si>
    <t>Movement</t>
  </si>
  <si>
    <t>Initiative</t>
  </si>
  <si>
    <t>WeaponType</t>
  </si>
  <si>
    <t>Slot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</si>
  <si>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</si>
  <si>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</si>
  <si>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</si>
  <si>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</si>
  <si>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</si>
  <si>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</si>
  <si>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</si>
  <si>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</si>
  <si>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</si>
  <si>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</si>
  <si>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</si>
  <si>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</si>
  <si>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</si>
  <si>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</si>
  <si>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</si>
  <si>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</si>
  <si>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</si>
  <si>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</si>
  <si>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</si>
  <si>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</si>
  <si>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</si>
  <si>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</si>
  <si>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</si>
  <si>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</si>
  <si>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</si>
  <si>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</si>
  <si>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</si>
  <si>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</si>
  <si>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</si>
  <si>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</si>
  <si>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</si>
  <si>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</si>
  <si>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FireResistanceBoost</t>
  </si>
  <si>
    <t>EarthResistanceBoost</t>
  </si>
  <si>
    <t>WaterResistanceBoost</t>
  </si>
  <si>
    <t>AirResistanceBoost</t>
  </si>
  <si>
    <t>ShadowResistanceBoost</t>
  </si>
  <si>
    <t>PoisonResistanceBoost</t>
  </si>
  <si>
    <t>PiercingResistanceBoost</t>
  </si>
  <si>
    <t>SlashingResistanceBoost</t>
  </si>
  <si>
    <t>CrushingResistanceBoost</t>
  </si>
  <si>
    <t>SightBoost</t>
  </si>
  <si>
    <t>HearingBoost</t>
  </si>
  <si>
    <t>VitalityBoost</t>
  </si>
  <si>
    <t>MagicPointsBoost</t>
  </si>
  <si>
    <t>OffenseRatingBoost</t>
  </si>
  <si>
    <t>DefenseRatingBoost</t>
  </si>
  <si>
    <t>ExtraProperties</t>
  </si>
  <si>
    <t>RootTemplate</t>
  </si>
  <si>
    <t>ObjectCategory</t>
  </si>
  <si>
    <t>MinAmount</t>
  </si>
  <si>
    <t>MaxAmount</t>
  </si>
  <si>
    <t>Priority</t>
  </si>
  <si>
    <t>Unique</t>
  </si>
  <si>
    <t>Item</t>
  </si>
  <si>
    <t>Crushing</t>
  </si>
  <si>
    <t>None</t>
  </si>
  <si>
    <t>_Daggers</t>
  </si>
  <si>
    <t>Piercing</t>
  </si>
  <si>
    <t>Knife</t>
  </si>
  <si>
    <t>262a9a07-c20f-41b0-8747-343886cc34c1</t>
  </si>
  <si>
    <t>Dagger</t>
  </si>
  <si>
    <t>WPN_UNIQUE_Snakebite</t>
  </si>
  <si>
    <t>_Swords</t>
  </si>
  <si>
    <t>Slashing</t>
  </si>
  <si>
    <t>Sword</t>
  </si>
  <si>
    <t>1bd4c1c6-7aaa-4b47-abc8-d2619c4a9011</t>
  </si>
  <si>
    <t>STAT_Quest_Knights_WPN_Sword_A</t>
  </si>
  <si>
    <t>411545bf-9141-4ff9-bc6f-e0e36257f7cf</t>
  </si>
  <si>
    <t>24ca1cbc-97d3-4017-a26a-1f07a71ac293</t>
  </si>
  <si>
    <t>WPN_UNIQUE_Coffinfeeder</t>
  </si>
  <si>
    <t>Poison</t>
  </si>
  <si>
    <t>_Axes</t>
  </si>
  <si>
    <t>Axe</t>
  </si>
  <si>
    <t>0f11d7e7-4e0b-4921-aa63-f8c6511ac631</t>
  </si>
  <si>
    <t>WPN_UNIQUE_HacksawDecapitator</t>
  </si>
  <si>
    <t>_Clubs</t>
  </si>
  <si>
    <t>Club</t>
  </si>
  <si>
    <t>3ee2064e-5f14-4d96-8d30-cfa6e44e3549</t>
  </si>
  <si>
    <t>STAT_Quest_Knights_WPN_Mace_A</t>
  </si>
  <si>
    <t>5dabace5-9a44-4d7c-b2a8-10945321f2d8</t>
  </si>
  <si>
    <t>4f67d82f-9397-4c48-9134-4679fc9ea770</t>
  </si>
  <si>
    <t>WPN_UNIQUE_ClobberingTime</t>
  </si>
  <si>
    <t>_TwoHandedAxes</t>
  </si>
  <si>
    <t>STAT_Quest_Knights_WPN_2H_Axe_A</t>
  </si>
  <si>
    <t>10ad1981-3672-4642-bf27-af356f8e19f6</t>
  </si>
  <si>
    <t>TwoHandedAxe</t>
  </si>
  <si>
    <t>00c6592c-8a5f-4012-a9fb-3498d64246c6</t>
  </si>
  <si>
    <t>_TwoHandedSwords</t>
  </si>
  <si>
    <t>TwoHandedSword</t>
  </si>
  <si>
    <t>_Spears</t>
  </si>
  <si>
    <t>Spear</t>
  </si>
  <si>
    <t>STAT_Quest_Knights_WPN_2H_Polearm_A</t>
  </si>
  <si>
    <t>ba7771a1-a576-46b5-9f67-849c9d5686a9</t>
  </si>
  <si>
    <t>WPN_UNIQUE_Impaler</t>
  </si>
  <si>
    <t>_Staffs</t>
  </si>
  <si>
    <t>Staff</t>
  </si>
  <si>
    <t>bf4b0d60-3ed0-40bf-be16-a6c3a8b0052f</t>
  </si>
  <si>
    <t>556e79f5-130c-4a58-8309-471c69e9da52</t>
  </si>
  <si>
    <t>_Bows</t>
  </si>
  <si>
    <t>Bow</t>
  </si>
  <si>
    <t>09db8ed4-61df-4587-ba48-c4d89c8aa0cc</t>
  </si>
  <si>
    <t>ca1742ff-3c26-4ba6-82fd-fd20fa9f6200</t>
  </si>
  <si>
    <t>_Crossbows</t>
  </si>
  <si>
    <t>Crossbow</t>
  </si>
  <si>
    <t>Wand</t>
  </si>
  <si>
    <t>Shadow</t>
  </si>
  <si>
    <t>_Specific_Enemy_Attacks</t>
  </si>
  <si>
    <t>Water</t>
  </si>
  <si>
    <t>28e00823-2ba4-43bb-be10-e4d6d89e179f</t>
  </si>
  <si>
    <t>Fire</t>
  </si>
  <si>
    <t>Burning,10,2</t>
  </si>
  <si>
    <t>Earth</t>
  </si>
  <si>
    <t>Air</t>
  </si>
  <si>
    <t>Stun,5,2</t>
  </si>
  <si>
    <t>_Cyseal_Orc_FemaleAttackArhu</t>
  </si>
  <si>
    <t>_Cyseal_Orc_FemaleAttack</t>
  </si>
  <si>
    <t>_Cyseal_Orc_CrushingFistsArhu</t>
  </si>
  <si>
    <t>_Cyseal_Orc_CrushingFists</t>
  </si>
  <si>
    <t>_Cyseal_ShadowCreature_Arhu</t>
  </si>
  <si>
    <t>_Cyseal_Arhu_Nunchuck</t>
  </si>
  <si>
    <t>_Cyseal_Bandit_Reginald_Dagger</t>
  </si>
  <si>
    <t>_Cyseal_Zombie_Jake_Attack</t>
  </si>
  <si>
    <t>_Cyseal_Ghost_Attack</t>
  </si>
  <si>
    <t>_Cyseal_Bandit_Sword</t>
  </si>
  <si>
    <t>_Cyseal_Crab_Pincer</t>
  </si>
  <si>
    <t>_Cyseal_Guard_Sword</t>
  </si>
  <si>
    <t>_Cyseal_Guard_Bow</t>
  </si>
  <si>
    <t>_Cyseal_Bellegar_Staff</t>
  </si>
  <si>
    <t>_Cyseal_Assassination_Kendra_2HAxe</t>
  </si>
  <si>
    <t>_Cyseal_Assassination_Morton_2HSword</t>
  </si>
  <si>
    <t>_Cyseal_Assassination_Nelson_Dagger</t>
  </si>
  <si>
    <t>_Cyseal_Council_Soldier_Donovan_Axe</t>
  </si>
  <si>
    <t>_Cyseal_Dietmar_Dagger</t>
  </si>
  <si>
    <t>_Cyseal_Dietmar_Henchman_Club</t>
  </si>
  <si>
    <t>_Cyseal_Dietmar_Henchman_Axe</t>
  </si>
  <si>
    <t>_Cyseal_Guard_Cpt_Lorne_2HSword</t>
  </si>
  <si>
    <t>_Cyseal_Orc_Shaman_Staff</t>
  </si>
  <si>
    <t>_Cyseal_Guard_Sergeant_Sword</t>
  </si>
  <si>
    <t>_DAF_Orc_CrushingFists</t>
  </si>
  <si>
    <t>_DAF_Orc_Grutilda_Attack</t>
  </si>
  <si>
    <t>_DAF_Orc_RatCatcher_Attack</t>
  </si>
  <si>
    <t>_DAF_BO_Soldier_Sword</t>
  </si>
  <si>
    <t>_DAF_Leonard_Sword</t>
  </si>
  <si>
    <t>_DFD_Zombie_Boss_Attack</t>
  </si>
  <si>
    <t>Poison,50,4</t>
  </si>
  <si>
    <t>_DFD_Zombie_2HAxe</t>
  </si>
  <si>
    <t>Poison,20,2</t>
  </si>
  <si>
    <t>_BOOSTS_Weapon</t>
  </si>
  <si>
    <t>Boost</t>
  </si>
  <si>
    <t>_Damage_WeaponBoost</t>
  </si>
  <si>
    <t>_Value_WeaponBoost</t>
  </si>
  <si>
    <t>_Strength_WeaponBoost</t>
  </si>
  <si>
    <t>_Dexterity_WeaponBoost</t>
  </si>
  <si>
    <t>_Speed_WeaponBoost</t>
  </si>
  <si>
    <t>_Perception_WeaponBoost</t>
  </si>
  <si>
    <t>_Intelligence_WeaponBoost</t>
  </si>
  <si>
    <t>_Constitution_WeaponBoost</t>
  </si>
  <si>
    <t>_Luck_WeaponBoost</t>
  </si>
  <si>
    <t>_FireResistance_WeaponBoost</t>
  </si>
  <si>
    <t>_EarthResistance_WeaponBoost</t>
  </si>
  <si>
    <t>_WaterResistance_WeaponBoost</t>
  </si>
  <si>
    <t>_AirResistance_WeaponBoost</t>
  </si>
  <si>
    <t>_ShadowResistance_WeaponBoost</t>
  </si>
  <si>
    <t>_Vitality_WeaponBoost</t>
  </si>
  <si>
    <t>_SKILLS</t>
  </si>
  <si>
    <t>_EoC_Spell_Attack</t>
  </si>
  <si>
    <t>ComboCategory</t>
  </si>
  <si>
    <t>_LucullaMine_Miner</t>
  </si>
  <si>
    <t>_Luculla_Guard_Sword</t>
  </si>
  <si>
    <t>Knockdown,15,2</t>
  </si>
  <si>
    <t>Burning,5,2</t>
  </si>
  <si>
    <t>Poison,5,2</t>
  </si>
  <si>
    <t>25a8cf6b-f51c-4d0b-a217-c12cc66e53cc</t>
  </si>
  <si>
    <t>7a715594-05f4-4dad-a059-d15c9662dd2c</t>
  </si>
  <si>
    <t>8628c683-7098-4429-95cc-4d0021cda702</t>
  </si>
  <si>
    <t>63b6f542-1a86-40dc-a7d5-68c344a97aaa</t>
  </si>
  <si>
    <t>c70cbf4b-f2b5-4d03-b46e-365bfc2e943e</t>
  </si>
  <si>
    <t>963958d7-1e99-40fd-a699-94de68f950b0</t>
  </si>
  <si>
    <t>14eb19e7-ab9c-4077-9835-f8a7e29a514f</t>
  </si>
  <si>
    <t>5a11cc86-16d6-4060-9eab-4f692f0d25fe</t>
  </si>
  <si>
    <t>Knockdown,20,1</t>
  </si>
  <si>
    <t>_Cyseal_Bandit_Crossbow</t>
  </si>
  <si>
    <t>_Cyseal_Bandit_Dagger</t>
  </si>
  <si>
    <t>_Cyseal_Bellegar_WaterDemon</t>
  </si>
  <si>
    <t>_Cyseal_Bellegar_FireDemon</t>
  </si>
  <si>
    <t>_Cyseal_Bellegar_AirDemon</t>
  </si>
  <si>
    <t>_Cyseal_Bellegar_EarthDemon</t>
  </si>
  <si>
    <t>_PoisonDamage_WeaponBoost</t>
  </si>
  <si>
    <t>_Cyseal_Evelyn_Staff</t>
  </si>
  <si>
    <t>_Cyseal_Evelyn_Fighter</t>
  </si>
  <si>
    <t>_Cyseal_Evelyn_Ranger</t>
  </si>
  <si>
    <t>_Cyseal_Evelyn_Mage</t>
  </si>
  <si>
    <t>_Cyseal_Thelyron_Staff</t>
  </si>
  <si>
    <t>_Cyseal_Evelyn_Ranger_Dagger</t>
  </si>
  <si>
    <t>_Tormented_WeaponBoost</t>
  </si>
  <si>
    <t>_FireDamage_WeaponBoost</t>
  </si>
  <si>
    <t>_WaterDamage_WeaponBoost</t>
  </si>
  <si>
    <t>_EarthDamage_WeaponBoost</t>
  </si>
  <si>
    <t>_AirDamage_WeaponBoost</t>
  </si>
  <si>
    <t>_ENV_Artillery_Flower_A_Luculla</t>
  </si>
  <si>
    <t>_ENV_Artillery_Flower_A_Luculla_Strong</t>
  </si>
  <si>
    <t>_Luculla_Trolls_Adult</t>
  </si>
  <si>
    <t>_Luculla_Trolls_Baby</t>
  </si>
  <si>
    <t>_Luculla_Shadow_Creature</t>
  </si>
  <si>
    <t>_Durability_WeaponBoost</t>
  </si>
  <si>
    <t>_Reflexes_WeaponBoost</t>
  </si>
  <si>
    <t>_ActionPoint_WeaponBoost</t>
  </si>
  <si>
    <t>_Damage_Medium_WeaponBoost</t>
  </si>
  <si>
    <t>_Damage_Large_WeaponBoost</t>
  </si>
  <si>
    <t>_Crit_WeaponBoost</t>
  </si>
  <si>
    <t>_Reflexes_Large_WeaponBoost</t>
  </si>
  <si>
    <t>_Crit_Large_WeaponBoost</t>
  </si>
  <si>
    <t>_ActionPoint_Large_WeaponBoost</t>
  </si>
  <si>
    <t>_Luck_Large_WeaponBoost</t>
  </si>
  <si>
    <t>_Vitality_Large_WeaponBoost</t>
  </si>
  <si>
    <t>_FireDamage_Large_WeaponBoost</t>
  </si>
  <si>
    <t>_WaterDamage_Large_WeaponBoost</t>
  </si>
  <si>
    <t>_EarthDamage_Large_WeaponBoost</t>
  </si>
  <si>
    <t>_AirDamage_Large_WeaponBoost</t>
  </si>
  <si>
    <t>_Luculla_Loic_Henchman_Sword</t>
  </si>
  <si>
    <t>_Luculla_Loic_Henchman_Mace</t>
  </si>
  <si>
    <t>_Luculla_Loic_Henchman_Ranged</t>
  </si>
  <si>
    <t>_Luculla_Loic_Henchman_Staff</t>
  </si>
  <si>
    <t>_Luculla_ImmVill_Goblin_Apprentice</t>
  </si>
  <si>
    <t>WPN_Imps_2H_Spear_ZixZax</t>
  </si>
  <si>
    <t>WPN_UNIQUE_Pergamon</t>
  </si>
  <si>
    <t>_APCost_WeaponBoost</t>
  </si>
  <si>
    <t>_Fear_WeaponBoost</t>
  </si>
  <si>
    <t>Fear,5,2</t>
  </si>
  <si>
    <t>_Fear_Large_WeaponBoost</t>
  </si>
  <si>
    <t>_WarriorLore_WeaponBoost</t>
  </si>
  <si>
    <t>_RangerLore_WeaponBoost</t>
  </si>
  <si>
    <t>_SingleHanded_WeaponBoost</t>
  </si>
  <si>
    <t>_TwoHanded_WeaponBoost</t>
  </si>
  <si>
    <t>_Ranged_WeaponBoost</t>
  </si>
  <si>
    <t>_FireMagic_WeaponBoost</t>
  </si>
  <si>
    <t>_EarthMagic_WeaponBoost</t>
  </si>
  <si>
    <t>_WindMagic_WeaponBoost</t>
  </si>
  <si>
    <t>_WaterMagic_WeaponBoost</t>
  </si>
  <si>
    <t>_Summoning_WeaponBoost</t>
  </si>
  <si>
    <t>_WillPower_WeaponBoost</t>
  </si>
  <si>
    <t>_Weapon_Boost_StreetFighter</t>
  </si>
  <si>
    <t>_Weapon_Boost_Leadership</t>
  </si>
  <si>
    <t>_Cyseal_BC_CrabSummoner</t>
  </si>
  <si>
    <t>APMaximum</t>
  </si>
  <si>
    <t>APStart</t>
  </si>
  <si>
    <t>APRecovery</t>
  </si>
  <si>
    <t>ChanceToHitBoost</t>
  </si>
  <si>
    <t>DamageBoost</t>
  </si>
  <si>
    <t>_Luculla_Loic_Henchman_Dagger</t>
  </si>
  <si>
    <t>Yes</t>
  </si>
  <si>
    <t>No</t>
  </si>
  <si>
    <t>WPN_Quarterstaff_Henchman_Jahan</t>
  </si>
  <si>
    <t>WPN_DecorationSword_Henchman_Madoc</t>
  </si>
  <si>
    <t>_Cyseal_Guard_OrcFight_Sword</t>
  </si>
  <si>
    <t>_Cyseal_Guard_Drunk_Brandon</t>
  </si>
  <si>
    <t>_Cyseal_Guard_Drunk</t>
  </si>
  <si>
    <t>_Cyseal_Guard_Drunk_Brandon_Dagger</t>
  </si>
  <si>
    <t>WPN_Unique_Heartseeker</t>
  </si>
  <si>
    <t>WPN_Undead_2H_Axe_Braccus_A</t>
  </si>
  <si>
    <t>4e50b02c-8704-42d7-9d7f-303ab66fc2de</t>
  </si>
  <si>
    <t>1e83ff08-d2ac-487f-9905-26b0f69f4925</t>
  </si>
  <si>
    <t>WPN_Trolls_2H_Staff_IceKing_A</t>
  </si>
  <si>
    <t>d79e6530-953e-48a5-aff9-86355bd119fc</t>
  </si>
  <si>
    <t>f9765ab4-f661-4635-a0be-91de0f711f5e</t>
  </si>
  <si>
    <t>9d6f1a91-52a7-424b-a4aa-c8d40e29ed19</t>
  </si>
  <si>
    <t>Strength 8</t>
  </si>
  <si>
    <t>4c04f006-d631-4be7-855c-3ccd2c3ba0e2</t>
  </si>
  <si>
    <t>3558e14c-ec8b-4b57-92bf-1ade459d3650</t>
  </si>
  <si>
    <t>87f6c70d-51ed-4760-ac33-b9e4758cb305</t>
  </si>
  <si>
    <t>af92727c-6a22-4373-a6e7-41eb3e75e324</t>
  </si>
  <si>
    <t>8e08abd2-d947-4b16-919b-12978e897450</t>
  </si>
  <si>
    <t>Knockdown,15,1</t>
  </si>
  <si>
    <t>Knockdown,20,2</t>
  </si>
  <si>
    <t>Hidden</t>
  </si>
  <si>
    <t>InventoryTab</t>
  </si>
  <si>
    <t>Poison,15,2</t>
  </si>
  <si>
    <t>Stun,15,2</t>
  </si>
  <si>
    <t>Poison,20,3</t>
  </si>
  <si>
    <t>QUEST_Jakes_Knife</t>
  </si>
  <si>
    <t>_RangedXbow_WeaponBoost</t>
  </si>
  <si>
    <t>BodyBuilding</t>
  </si>
  <si>
    <t>Bleeding,20,4</t>
  </si>
  <si>
    <t>Frozen,15,1</t>
  </si>
  <si>
    <t>Stun,15,1</t>
  </si>
  <si>
    <t>Crippled,25,2</t>
  </si>
  <si>
    <t>InfectiousDiseased,40,10</t>
  </si>
  <si>
    <t>Poison,25,3</t>
  </si>
  <si>
    <t>Poison,30,4</t>
  </si>
  <si>
    <t>Knockdown,25,2</t>
  </si>
  <si>
    <t>_Cripple_WeaponBoost</t>
  </si>
  <si>
    <t>_Bleeding_WeaponBoost</t>
  </si>
  <si>
    <t>_Cripple_Large_WeaponBoost</t>
  </si>
  <si>
    <t>_Bleeding_Large_WeaponBoost</t>
  </si>
  <si>
    <t>_Petrify_WeaponBoost</t>
  </si>
  <si>
    <t>_Petrify_Large_WeaponBoost</t>
  </si>
  <si>
    <t>Fear,15,3</t>
  </si>
  <si>
    <t>_Luculla_Mangoth</t>
  </si>
  <si>
    <t>_Luculla_Loic_Malevolent_Estoc</t>
  </si>
  <si>
    <t>Bleeding,25,2</t>
  </si>
  <si>
    <t>Bleeding,10,2</t>
  </si>
  <si>
    <t>f503c202-c9cc-4698-936e-3385aaf358d8</t>
  </si>
  <si>
    <t>_Luculla_Doom_Immaculate_Sword</t>
  </si>
  <si>
    <t>_Luculla_Doom_Immaculate_Ranged</t>
  </si>
  <si>
    <t>_Luculla_Doom_Immaculate_Dagger</t>
  </si>
  <si>
    <t>_Luculla_Doom_Immaculate_Mace</t>
  </si>
  <si>
    <t>_Luculla_Demon_HellRam</t>
  </si>
  <si>
    <t>Burning,20,4</t>
  </si>
  <si>
    <t>_Luculla_Doom_Immaculate_Shepherd</t>
  </si>
  <si>
    <t>b35ed578-dffd-4474-ba46-45c9704fdb1e</t>
  </si>
  <si>
    <t>_Cyseal_Guard_Sparring</t>
  </si>
  <si>
    <t>5d9b15b3-6d9f-493a-b81a-8a08c3454146</t>
  </si>
  <si>
    <t>4d6d60f8-3daa-41ef-99c5-a4a6f1b5ea05</t>
  </si>
  <si>
    <t>562c8a00-78c7-490b-8d2f-7ead252c2d28</t>
  </si>
  <si>
    <t>3e711f2e-5ca5-48a9-9ec2-9ff0a8abbab9</t>
  </si>
  <si>
    <t>34b8e721-db7f-4ff3-92c0-b661ddc0c048</t>
  </si>
  <si>
    <t>_Cyseal_Dagger</t>
  </si>
  <si>
    <t>_LucullaMines_UnarmedMetallurgists</t>
  </si>
  <si>
    <t>Crippled,25,1</t>
  </si>
  <si>
    <t>Bleeding,10,4</t>
  </si>
  <si>
    <t>Petrified,5,2</t>
  </si>
  <si>
    <t>Bleeding,20,5</t>
  </si>
  <si>
    <t>Petrified,10,2</t>
  </si>
  <si>
    <t>Stun,10,2</t>
  </si>
  <si>
    <t>Burning,20,3</t>
  </si>
  <si>
    <t>Stun,20,3</t>
  </si>
  <si>
    <t>_Mute_WeaponBoost</t>
  </si>
  <si>
    <t>_Mute_Large_WeaponBoost</t>
  </si>
  <si>
    <t>Mute,15,2</t>
  </si>
  <si>
    <t>Mute,25,3</t>
  </si>
  <si>
    <t>Chilled,10,3</t>
  </si>
  <si>
    <t>Chilled,5,2</t>
  </si>
  <si>
    <t>_WaterDamage_Frozen_WeaponBoost</t>
  </si>
  <si>
    <t>_WaterDamage_Large_Frozen_WeaponBoost</t>
  </si>
  <si>
    <t>Frozen,20,3</t>
  </si>
  <si>
    <t>Frozen,15,2</t>
  </si>
  <si>
    <t>_Blind_WeaponBoost</t>
  </si>
  <si>
    <t>_Blind_Large_WeaponBoost</t>
  </si>
  <si>
    <t>Blind,25,3</t>
  </si>
  <si>
    <t>Blind,15,2</t>
  </si>
  <si>
    <t>_Cursed_WeaponBoost</t>
  </si>
  <si>
    <t>_Cursed_Large_WeaponBoost</t>
  </si>
  <si>
    <t>Cursed,15,2</t>
  </si>
  <si>
    <t>Cursed,25,3</t>
  </si>
  <si>
    <t>Diseased,25,3</t>
  </si>
  <si>
    <t>Diseased,15,2</t>
  </si>
  <si>
    <t>_Diseased_WeaponBoost</t>
  </si>
  <si>
    <t>_Diseased_Large_WeaponBoost</t>
  </si>
  <si>
    <t>c323aa00-01ac-4a5f-8d9c-4acb139e1501</t>
  </si>
  <si>
    <t>_HIB_Immaculate_Wolfmaster_Axe</t>
  </si>
  <si>
    <t>Dexterity 5</t>
  </si>
  <si>
    <t>_CYS_Cathedral_Guardian_Sword</t>
  </si>
  <si>
    <t>_CYS_Cathedral_Guardian_Polearm</t>
  </si>
  <si>
    <t>WPN_CYS_UNI_Cathedral_Guardian_Sword</t>
  </si>
  <si>
    <t>Petrified,100,2</t>
  </si>
  <si>
    <t>Strength 6</t>
  </si>
  <si>
    <t>Strength 9</t>
  </si>
  <si>
    <t>_Cyseal_Tutorial_Master_Rapier</t>
  </si>
  <si>
    <t>_CYS_Shambling_Mound_Lava</t>
  </si>
  <si>
    <t>_CYS_Elemental_Rock_Fire</t>
  </si>
  <si>
    <t>_Cyseal_Tutorial_BlackRock_Skeleton</t>
  </si>
  <si>
    <t>_Cyseal_Tutorial_Grunt_Skeleton</t>
  </si>
  <si>
    <t>_Church_Immaculates_Weak</t>
  </si>
  <si>
    <t>LockPicking</t>
  </si>
  <si>
    <t>PickPocket</t>
  </si>
  <si>
    <t>2fab8535-2342-437e-942c-378466b03485</t>
  </si>
  <si>
    <t>Crippled,10,4</t>
  </si>
  <si>
    <t>Crippled,20,5</t>
  </si>
  <si>
    <t>_HIB_BloodDemon_Metamorphosis</t>
  </si>
  <si>
    <t>Crippled,10,1</t>
  </si>
  <si>
    <t>WPN_UNI_FearfulSword</t>
  </si>
  <si>
    <t>_HIB_IceKingBoreas</t>
  </si>
  <si>
    <t>Frozen,10,1</t>
  </si>
  <si>
    <t>DamageFromBase</t>
  </si>
  <si>
    <t>Boosts</t>
  </si>
  <si>
    <t>Flags</t>
  </si>
  <si>
    <t>Unbreakable</t>
  </si>
  <si>
    <t>Knockdown,10,1</t>
  </si>
  <si>
    <t>WPN_Luculla_Prostitute_Guitar</t>
  </si>
  <si>
    <t>WPN_Luculla_Prostitute_Dagger</t>
  </si>
  <si>
    <t>WPN_Luculla_Prostitute_Pen</t>
  </si>
  <si>
    <t>WPN_Luculla_Prostitute_Broom</t>
  </si>
  <si>
    <t>WPN_Luculla_Prostitute_Stick</t>
  </si>
  <si>
    <t>WPN_Luculla_Prostitute_Log</t>
  </si>
  <si>
    <t>WPN_Luculla_Prostitute_Sword</t>
  </si>
  <si>
    <t>Bleeding,10,1</t>
  </si>
  <si>
    <t>e814d020-4273-4564-9122-a4252bf41912</t>
  </si>
  <si>
    <t>3a1e0ab3-0b01-4de0-8432-9a76392349da</t>
  </si>
  <si>
    <t>ffa49cdf-565d-4b89-ba29-c4feefdae3fa</t>
  </si>
  <si>
    <t>3b057cee-04d0-4ba9-9f28-aee0f3efc01b</t>
  </si>
  <si>
    <t>05145c28-5fab-435a-94c7-411c9f1703ee</t>
  </si>
  <si>
    <t>777a1a4d-2a3f-450c-bdf1-f0ca66f1b910</t>
  </si>
  <si>
    <t>4dd3ac02-388c-416f-b34e-4a4e62efc2a8</t>
  </si>
  <si>
    <t>Diseased,20,2</t>
  </si>
  <si>
    <t>Bleeding,15,2</t>
  </si>
  <si>
    <t>Petrified,10,1</t>
  </si>
  <si>
    <t>Burning,15,2</t>
  </si>
  <si>
    <t>Knockdown,30,2</t>
  </si>
  <si>
    <t>Bleeding,10,3</t>
  </si>
  <si>
    <t>Crippled,40,2;Bleeding,20,2</t>
  </si>
  <si>
    <t>Fear,50,3</t>
  </si>
  <si>
    <t>_Luculla_Doom_Immaculate_Staff_Fire</t>
  </si>
  <si>
    <t>_Luculla_Doom_Immaculate_Staff_Ice</t>
  </si>
  <si>
    <t>_Luculla_Doom_Immaculate_Staff_Air</t>
  </si>
  <si>
    <t>_Luculla_Doom_Immaculate_Staff_Earth</t>
  </si>
  <si>
    <t>3b67026b-390e-4592-9bd7-9a7b5f1b9fe1</t>
  </si>
  <si>
    <t>c5e49a4f-6187-4c8e-8f97-132cf3d73f03</t>
  </si>
  <si>
    <t>1301e9c6-e6b1-4698-bc9c-bdb7cddcd014</t>
  </si>
  <si>
    <t>f880c20e-5963-4f2c-962d-24923c03df2f</t>
  </si>
  <si>
    <t>Strength 5</t>
  </si>
  <si>
    <t>3bbf4a9b-42b2-4310-80a4-47b5b210c19e</t>
  </si>
  <si>
    <t>4b38890e-35ca-474d-b009-4cd73687cc46</t>
  </si>
  <si>
    <t>5b4717bf-e938-47fa-a6db-dc70ac1ac9cf</t>
  </si>
  <si>
    <t>MinLevel</t>
  </si>
  <si>
    <t>MaxLevel</t>
  </si>
  <si>
    <t>_WPN_Undead_2H_Axe_Braccus_A</t>
  </si>
  <si>
    <t>_Cyseal_Evelyn_AirDemon</t>
  </si>
  <si>
    <t>Chilled,10,2</t>
  </si>
  <si>
    <t>_DAF_Electric_Jellyfish</t>
  </si>
  <si>
    <t>Skills</t>
  </si>
  <si>
    <t>_Cyseal_Evelyn_HellHound</t>
  </si>
  <si>
    <t>Burning,10,1</t>
  </si>
  <si>
    <t>Unrepairable</t>
  </si>
  <si>
    <t>_Weapon_Boost_Unbreakable</t>
  </si>
  <si>
    <t>_LucullaMines_Prisoner_Stick</t>
  </si>
  <si>
    <t>_Cyseal_Tutorial_Boss_2SMS</t>
  </si>
  <si>
    <t>_Cyseal_Tutorial_Boss_Ghost</t>
  </si>
  <si>
    <t>Chilled,10,1</t>
  </si>
  <si>
    <t>Bleeding,5,2</t>
  </si>
  <si>
    <t>b0a8ff96-eb0e-4610-8373-9ac373b96983</t>
  </si>
  <si>
    <t>_DAF_MountainWarrior_Sword</t>
  </si>
  <si>
    <t>_DAF_MountainWarrior_Axe</t>
  </si>
  <si>
    <t>_DAF_MountainWarrior_Bow</t>
  </si>
  <si>
    <t>_DAF_Jahrl_Axe</t>
  </si>
  <si>
    <t>deba8ddf-00ad-4271-bf85-1256c0b6ff16</t>
  </si>
  <si>
    <t>_DAF_HuntersEdgeOrc_Axe</t>
  </si>
  <si>
    <t>_DAF_HuntersEdgeOrc_XBow</t>
  </si>
  <si>
    <t>_DAF_PhantomOrc_Axe</t>
  </si>
  <si>
    <t>cf75bfb1-73b4-4d85-bdc3-52acf8b4ad54</t>
  </si>
  <si>
    <t>_DAF_PhantomOrc_Xbow</t>
  </si>
  <si>
    <t>_DAF_DemonBoss</t>
  </si>
  <si>
    <t>_DAF_DemonPatrol</t>
  </si>
  <si>
    <t>_DAF_DemonMud</t>
  </si>
  <si>
    <t>_DAF_LongLost_Explorer</t>
  </si>
  <si>
    <t>_DFD_Zombie_A</t>
  </si>
  <si>
    <t>_DFD_Zombie_Fake_Staff</t>
  </si>
  <si>
    <t>_DFD_Skeleton_Archer</t>
  </si>
  <si>
    <t>Diseased,10,2;Knockdown,10,2</t>
  </si>
  <si>
    <t>ed976218-7d0a-433b-9cdb-c05859d428f4</t>
  </si>
  <si>
    <t>_Luculla_Trolls_King</t>
  </si>
  <si>
    <t>_DAF_Shambling_Mound</t>
  </si>
  <si>
    <t>_DAF_Norok</t>
  </si>
  <si>
    <t>_HOM_Astarte</t>
  </si>
  <si>
    <t>_DAF_Immaculate_Sword_Fire</t>
  </si>
  <si>
    <t>_DAF_Immaculate_Sword_Ice</t>
  </si>
  <si>
    <t>_DAF_Immaculate_Sword_Earth</t>
  </si>
  <si>
    <t>_DAF_Immaculate_Sword_Air</t>
  </si>
  <si>
    <t>Poison,10,1</t>
  </si>
  <si>
    <t>_DAFKT_StoneTitan_Sword_Fire</t>
  </si>
  <si>
    <t>_DAFKT_StoneTitan_Sword_Ice</t>
  </si>
  <si>
    <t>_DAFKT_StoneTitan_Sword_Air</t>
  </si>
  <si>
    <t>_DAFKT_StoneTitan_Sword_Earth</t>
  </si>
  <si>
    <t>_Enemy_Boost_WaterDamage</t>
  </si>
  <si>
    <t>_Enemy_Boost_FireDamage</t>
  </si>
  <si>
    <t>_Enemy_Boost_EarthDamage</t>
  </si>
  <si>
    <t>_Enemy_Boost_AirDamage</t>
  </si>
  <si>
    <t>_HIB_SnowWarden</t>
  </si>
  <si>
    <t>Wall_Ice</t>
  </si>
  <si>
    <t>_HOM_Icara_Staff</t>
  </si>
  <si>
    <t>_GEN_Leandra_Staff</t>
  </si>
  <si>
    <t>_GEN_Zandalor_Sword</t>
  </si>
  <si>
    <t>6267651e-76df-4a3c-9ce6-348bedc1c7d9</t>
  </si>
  <si>
    <t>_Enemy_Boost_BlackrockDamage</t>
  </si>
  <si>
    <t>_Player_Boost_BlackrockDamage</t>
  </si>
  <si>
    <t>f07caeb5-6ee9-4606-9dcd-2fbace3eb081</t>
  </si>
  <si>
    <t>feaa87ca-e6ea-40ce-a097-a63fa7634c10</t>
  </si>
  <si>
    <t>d674f267-f7f5-42a8-b8a5-9638d219825c</t>
  </si>
  <si>
    <t>d4356349-497e-4be6-a7a9-2c7c9da36414</t>
  </si>
  <si>
    <t>f051be26-b6c2-46ab-99ed-38c37bdb2f9c</t>
  </si>
  <si>
    <t>07de2e3e-28a4-45e4-b74d-11ef83bc468b</t>
  </si>
  <si>
    <t>_DAF_AnguishDemon</t>
  </si>
  <si>
    <t>Fear,20,1</t>
  </si>
  <si>
    <t>_HOM_Dragon</t>
  </si>
  <si>
    <t>WPN_Human_Normal_Buffalo_Sabre_A</t>
  </si>
  <si>
    <t>699561cb-bb3c-4c6e-9258-fba68bd62d90</t>
  </si>
  <si>
    <t>_Combo_Boost_KS_Scope</t>
  </si>
  <si>
    <t>TwoHanded_Sword</t>
  </si>
  <si>
    <t>AnimType</t>
  </si>
  <si>
    <t>WPN_UNIQUE_Hanneman</t>
  </si>
  <si>
    <t>WPN_Trolls_2H_Staff_IceKing_A_Human</t>
  </si>
  <si>
    <r>
      <t>e</t>
    </r>
    <r>
      <rPr>
        <sz val="10"/>
        <rFont val="Inherit"/>
      </rPr>
      <t>9e9b</t>
    </r>
    <r>
      <rPr>
        <sz val="10"/>
        <rFont val="Arial"/>
        <family val="2"/>
      </rPr>
      <t>525</t>
    </r>
    <r>
      <rPr>
        <sz val="10"/>
        <rFont val="Inherit"/>
      </rPr>
      <t>-66fa-485a-8c4e-1a733a563c</t>
    </r>
    <r>
      <rPr>
        <sz val="10"/>
        <rFont val="Arial"/>
        <family val="2"/>
      </rPr>
      <t>77</t>
    </r>
  </si>
  <si>
    <t>_Intelligence_WeaponBoost_Large</t>
  </si>
  <si>
    <t>Dexterity 9</t>
  </si>
  <si>
    <t>Summon_BomberSummon</t>
  </si>
  <si>
    <t>Bleeding,30,1</t>
  </si>
  <si>
    <t>Strength 11</t>
  </si>
  <si>
    <t>Target_ErodingStrike</t>
  </si>
  <si>
    <t>Strength 15</t>
  </si>
  <si>
    <t>Crippled,30,2</t>
  </si>
  <si>
    <t>_KickstarterPetBlackboar</t>
  </si>
  <si>
    <t>_KickstarterPetBrownboar</t>
  </si>
  <si>
    <t>_KickstarterPetBlackcat</t>
  </si>
  <si>
    <t>_KickstarterPetGreycat</t>
  </si>
  <si>
    <t>_KickstarterPetWhitecat</t>
  </si>
  <si>
    <t>_KickstarterPetBrowncow</t>
  </si>
  <si>
    <t>_KickstarterPetCowwithspots</t>
  </si>
  <si>
    <t>_KickstarterPetBrowndeer</t>
  </si>
  <si>
    <t>_KickstarterPetWhitedeer</t>
  </si>
  <si>
    <t>_KickstarterPetChicken</t>
  </si>
  <si>
    <t>_KickstarterPetBlagdog</t>
  </si>
  <si>
    <t>_KickstarterPetBrowndog</t>
  </si>
  <si>
    <t>_KickstarterPetShepherd</t>
  </si>
  <si>
    <t>_KickstarterPetWhitewolf</t>
  </si>
  <si>
    <t>_KickstarterPetBlackwolf</t>
  </si>
  <si>
    <t>_KickstarterPetGiantblackrat</t>
  </si>
  <si>
    <t>_KickstarterPetGiantgreyrat</t>
  </si>
  <si>
    <t>_KickstarterPetPig</t>
  </si>
  <si>
    <t>_KickstarterPetGreyrabbit</t>
  </si>
  <si>
    <t>_KickstarterPetWhiterabbit</t>
  </si>
  <si>
    <t>_KickstarterPetSmallrat</t>
  </si>
  <si>
    <t>_KickstarterPetRobotrat</t>
  </si>
  <si>
    <t>_KickstarterPetRooster</t>
  </si>
  <si>
    <t>_KickstarterPetRobotrooster</t>
  </si>
  <si>
    <t>_KickstarterPetMalesheep</t>
  </si>
  <si>
    <t>_KickstarterPetFemalesheep</t>
  </si>
  <si>
    <t>_KickstarterPetFleshyspider</t>
  </si>
  <si>
    <t>_KickstarterPetVilespider</t>
  </si>
  <si>
    <t>_KickstarterPetPlantspider</t>
  </si>
  <si>
    <t>_KickstarterPetBlackspider</t>
  </si>
  <si>
    <t>WPN_Sword_Kickstarter_Japanese</t>
  </si>
  <si>
    <t>86aefec4-1693-4d83-8ed3-bc96c57d1a92</t>
  </si>
  <si>
    <t>WPN_Kickstarter_SwordOfHolyFlame</t>
  </si>
  <si>
    <t>65a418eb-177b-4031-93ab-32d8842f7509</t>
  </si>
  <si>
    <t>DualWielding</t>
  </si>
  <si>
    <t>_DAF_Immaculate_Sword</t>
  </si>
  <si>
    <t>_DAF_Demon_HellRam</t>
  </si>
  <si>
    <t>_DAF_SporeZombie</t>
  </si>
  <si>
    <t>_DAF_Animals_Spider</t>
  </si>
  <si>
    <t>_DAF_SporeCaptain</t>
  </si>
  <si>
    <t>_DAF_Explorer_Archer</t>
  </si>
  <si>
    <t>_DAF_Explorer_Swordsman</t>
  </si>
  <si>
    <t>_DAF_Explorer_Boss</t>
  </si>
  <si>
    <t>_DAF_DeathKnight</t>
  </si>
  <si>
    <t>_DAF_Immaculate_Ranged</t>
  </si>
  <si>
    <t>_DAF_Immaculate_Dagger</t>
  </si>
  <si>
    <t>_DAF_Immaculate_Mace</t>
  </si>
  <si>
    <t>_DAF_Goblin_Warrior_1</t>
  </si>
  <si>
    <t>_DAF_Goblin_Warrior_2</t>
  </si>
  <si>
    <t>_DAF_Goblin_Swashbuckler</t>
  </si>
  <si>
    <t>_DAF_Goblin_Ranger</t>
  </si>
  <si>
    <t>_DAF_Goblin_Boss</t>
  </si>
  <si>
    <t>_DAF_Goblin_Tank</t>
  </si>
  <si>
    <t>_DAF_DreadOrc_Axe</t>
  </si>
  <si>
    <t>_DAF_DreadOrc_XBow</t>
  </si>
  <si>
    <t>_DAF_Orc_Dread_Grutilda_Attack</t>
  </si>
  <si>
    <t>_DAF_DreadOrc_Drummer</t>
  </si>
  <si>
    <t>_DAF_DreadOrc_Shaman</t>
  </si>
  <si>
    <t>_DAF_Zombie_Boar</t>
  </si>
  <si>
    <t>_DAF_Zombie_Boar_Young</t>
  </si>
  <si>
    <t>_DAF_ArtilleryFlower</t>
  </si>
  <si>
    <t>_DAF_Ghost_Boar</t>
  </si>
  <si>
    <t>_DAF_Ghost_Bull</t>
  </si>
  <si>
    <t>_DAF_Ghost_Wolf</t>
  </si>
  <si>
    <t>IsTwoHanded</t>
  </si>
  <si>
    <t>Projectile</t>
  </si>
  <si>
    <t>Reflection</t>
  </si>
  <si>
    <t>_LUC_Jareth_Staff</t>
  </si>
  <si>
    <t>_LUC_Bairdotr_Bow</t>
  </si>
  <si>
    <t>_LUC_Jareth_Boar</t>
  </si>
  <si>
    <t>_LUC_Jareth_Wolf</t>
  </si>
  <si>
    <t>_LUC_Jareth_Crab</t>
  </si>
  <si>
    <t>_LUC_Jareth_Cat</t>
  </si>
  <si>
    <t>_LUC_Jareth_Bull</t>
  </si>
  <si>
    <t>_DAF_Imal</t>
  </si>
  <si>
    <t>_DAF_Imal_Tank</t>
  </si>
  <si>
    <t>_DAF_Imal_Knight</t>
  </si>
  <si>
    <t>_DAF_Imal_Mage</t>
  </si>
  <si>
    <t>_DAF_Imal_Heal</t>
  </si>
  <si>
    <t>_DAF_Imal_Archer</t>
  </si>
  <si>
    <t>Mute,30,2</t>
  </si>
  <si>
    <t>Diseased,40,2</t>
  </si>
  <si>
    <t>_Crit_Huge_WeaponBoost</t>
  </si>
  <si>
    <t>_Crit_Giant_WeaponBoost</t>
  </si>
  <si>
    <t>_Crit_Inhuman_WeaponBoost</t>
  </si>
  <si>
    <t>_HIB_ShamblingMound</t>
  </si>
  <si>
    <t>Chilled,10,2;Knockdown,25,2</t>
  </si>
  <si>
    <t>Throwing</t>
  </si>
  <si>
    <t>2e89e154-9b40-4785-bc4c-3e25e5459b6f</t>
  </si>
  <si>
    <t>9d9e962f-dd9b-42e7-9cc8-dd42f61a1e22</t>
  </si>
  <si>
    <t>Strength 10</t>
  </si>
  <si>
    <t>Intelligence 7</t>
  </si>
  <si>
    <t>Intelligence 11</t>
  </si>
  <si>
    <t>Intelligence 8</t>
  </si>
  <si>
    <t>Intelligence 10</t>
  </si>
  <si>
    <t>_CYS_Nozgoth_Brian</t>
  </si>
  <si>
    <t>_CYS_Nozgoth_ShamblingMound</t>
  </si>
  <si>
    <t>Knockdown,10,2</t>
  </si>
  <si>
    <t>_CYS_Nozgoth_Melee</t>
  </si>
  <si>
    <t>_CYS_Nozgoth_Ranger</t>
  </si>
  <si>
    <t>_CYS_Nozgoth_Mage</t>
  </si>
  <si>
    <t>_Enemy_Boost_PoisonDamage</t>
  </si>
  <si>
    <t>_Enemy_Boost_WaterDamage_Large</t>
  </si>
  <si>
    <t>_Enemy_Boost_FireDamage_Large</t>
  </si>
  <si>
    <t>_Enemy_Boost_EarthDamage_Large</t>
  </si>
  <si>
    <t>_Enemy_Boost_AirDamage_Large</t>
  </si>
  <si>
    <t>_Enemy_Boost_PoisonDamage_Large</t>
  </si>
  <si>
    <t>_Enemy_Boost_BlackrockDamage_Large</t>
  </si>
  <si>
    <t>Trader Gold</t>
  </si>
  <si>
    <t>Wood</t>
  </si>
  <si>
    <t>VariousPotion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</si>
  <si>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</si>
  <si>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</si>
  <si>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</si>
  <si>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</si>
  <si>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</si>
  <si>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</si>
  <si>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</si>
  <si>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</si>
  <si>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</si>
  <si>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</si>
  <si>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</si>
  <si>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Robe</t>
  </si>
  <si>
    <t>Ring</t>
  </si>
  <si>
    <t>Precious</t>
  </si>
  <si>
    <t>MetalArmor</t>
  </si>
  <si>
    <t>LeatherArmor</t>
  </si>
  <si>
    <t>Junk</t>
  </si>
  <si>
    <t>Ingredient</t>
  </si>
  <si>
    <t>HelmetMetal</t>
  </si>
  <si>
    <t>Helmet</t>
  </si>
  <si>
    <t>HealingPotion</t>
  </si>
  <si>
    <t>GoldBig</t>
  </si>
  <si>
    <t>Gold</t>
  </si>
  <si>
    <t>Glove</t>
  </si>
  <si>
    <t>Garment</t>
  </si>
  <si>
    <t>Food</t>
  </si>
  <si>
    <t>Drink</t>
  </si>
  <si>
    <t>ClothArmor</t>
  </si>
  <si>
    <t>ChainArmor</t>
  </si>
  <si>
    <t>Book</t>
  </si>
  <si>
    <t>Belt</t>
  </si>
  <si>
    <t>ArrowIngredient</t>
  </si>
  <si>
    <t>Arrow</t>
  </si>
  <si>
    <t>Amulet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</si>
  <si>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</si>
  <si>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</si>
  <si>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</si>
  <si>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</si>
  <si>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</si>
  <si>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</si>
  <si>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</si>
  <si>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</si>
  <si>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</si>
  <si>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</si>
  <si>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</si>
  <si>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</si>
  <si>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</si>
  <si>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</si>
  <si>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</si>
  <si>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</si>
  <si>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</si>
  <si>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</si>
  <si>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</si>
  <si>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</si>
  <si>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</si>
  <si>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</si>
  <si>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</si>
  <si>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</si>
  <si>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</si>
  <si>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</si>
  <si>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</si>
  <si>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</si>
  <si>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</si>
  <si>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</si>
  <si>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</si>
  <si>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</si>
  <si>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</si>
  <si>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</si>
  <si>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</si>
  <si>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</si>
  <si>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</si>
  <si>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</si>
  <si>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</si>
  <si>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</si>
  <si>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</si>
  <si>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</si>
  <si>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</si>
  <si>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</si>
  <si>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</si>
  <si>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</si>
  <si>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</si>
  <si>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</si>
  <si>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</si>
  <si>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</si>
  <si>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</si>
  <si>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</si>
  <si>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</si>
  <si>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</si>
  <si>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</si>
  <si>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</si>
  <si>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</si>
  <si>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</si>
  <si>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</si>
  <si>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</si>
  <si>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</si>
  <si>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</si>
  <si>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</si>
  <si>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</si>
  <si>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</si>
  <si>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</si>
  <si>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</si>
  <si>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</si>
  <si>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</si>
  <si>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</si>
  <si>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</si>
  <si>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</si>
  <si>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ItemColor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</si>
  <si>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</si>
  <si>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</si>
  <si>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</si>
  <si>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</si>
  <si>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</si>
  <si>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</si>
  <si>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</si>
  <si>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</si>
  <si>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</si>
  <si>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</si>
  <si>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Lockpicking</t>
  </si>
  <si>
    <t>Pickpocket</t>
  </si>
  <si>
    <t>RogueLore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</si>
  <si>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</si>
  <si>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</si>
  <si>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</si>
  <si>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</si>
  <si>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</si>
  <si>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</si>
  <si>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</si>
  <si>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</si>
  <si>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CrossBow</t>
  </si>
  <si>
    <t>Unarmed</t>
  </si>
  <si>
    <t>PoleArms</t>
  </si>
  <si>
    <t>SmallWeapons</t>
  </si>
  <si>
    <t>DualWield</t>
  </si>
  <si>
    <t>OneHanded</t>
  </si>
  <si>
    <t>Plate</t>
  </si>
  <si>
    <t>Mail</t>
  </si>
  <si>
    <t>Leather</t>
  </si>
  <si>
    <t>Cloth</t>
  </si>
  <si>
    <t>ArmorType</t>
  </si>
  <si>
    <t>Storm</t>
  </si>
  <si>
    <t>Rain</t>
  </si>
  <si>
    <t>AtmosphereType</t>
  </si>
  <si>
    <t>Misc</t>
  </si>
  <si>
    <t>Keys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</si>
  <si>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</si>
  <si>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</si>
  <si>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</si>
  <si>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</si>
  <si>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</si>
  <si>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</si>
  <si>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</si>
  <si>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</si>
  <si>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</si>
  <si>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</si>
  <si>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</si>
  <si>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</si>
  <si>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</si>
  <si>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</si>
  <si>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</si>
  <si>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Fear</t>
  </si>
  <si>
    <t>Stunned</t>
  </si>
  <si>
    <t>Mute</t>
  </si>
  <si>
    <t>KnockDown</t>
  </si>
  <si>
    <t>Frozen</t>
  </si>
  <si>
    <t>Burning</t>
  </si>
  <si>
    <t>SavingThrow</t>
  </si>
  <si>
    <t>OnAttackOfOpportunity</t>
  </si>
  <si>
    <t>OnRangedAttack</t>
  </si>
  <si>
    <t>OnMeleeAttack</t>
  </si>
  <si>
    <t>SkillBoostConditions</t>
  </si>
  <si>
    <t>Conditions</t>
  </si>
  <si>
    <t>Unstorable</t>
  </si>
  <si>
    <t>Torch</t>
  </si>
  <si>
    <t>ChillContact</t>
  </si>
  <si>
    <t>PoisonContact</t>
  </si>
  <si>
    <t>StunContact</t>
  </si>
  <si>
    <t>BurnContact</t>
  </si>
  <si>
    <t>FreezeContact</t>
  </si>
  <si>
    <t>SlippingImmunity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</si>
  <si>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</si>
  <si>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</si>
  <si>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</si>
  <si>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</si>
  <si>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</si>
  <si>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</si>
  <si>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</si>
  <si>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</si>
  <si>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</si>
  <si>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</si>
  <si>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</si>
  <si>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</si>
  <si>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</si>
  <si>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</si>
  <si>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</si>
  <si>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</si>
  <si>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</si>
  <si>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</si>
  <si>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</si>
  <si>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</si>
  <si>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</si>
  <si>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</si>
  <si>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</si>
  <si>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</si>
  <si>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</si>
  <si>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</si>
  <si>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</si>
  <si>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</si>
  <si>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</si>
  <si>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</si>
  <si>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</si>
  <si>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Combat</t>
  </si>
  <si>
    <t>LowHP</t>
  </si>
  <si>
    <t>Party</t>
  </si>
  <si>
    <t>NonSelf</t>
  </si>
  <si>
    <t>Self</t>
  </si>
  <si>
    <t>NonSummon</t>
  </si>
  <si>
    <t>Summon</t>
  </si>
  <si>
    <t>Dead</t>
  </si>
  <si>
    <t>Character</t>
  </si>
  <si>
    <t>Enemy</t>
  </si>
  <si>
    <t>Ally</t>
  </si>
  <si>
    <t>Locked</t>
  </si>
  <si>
    <t>SkillTargetCondition</t>
  </si>
  <si>
    <t>ShieldWeapon</t>
  </si>
  <si>
    <t>DaggerWeapon</t>
  </si>
  <si>
    <t>StaffWeapon</t>
  </si>
  <si>
    <t>RangedWeapon</t>
  </si>
  <si>
    <t>MeleeWeapon</t>
  </si>
  <si>
    <t>SkillRequirement</t>
  </si>
  <si>
    <t>Source</t>
  </si>
  <si>
    <t>SkillElement</t>
  </si>
  <si>
    <t>Rogue</t>
  </si>
  <si>
    <t>Ranger</t>
  </si>
  <si>
    <t>Warrior</t>
  </si>
  <si>
    <t>Defensive</t>
  </si>
  <si>
    <t>Offensive</t>
  </si>
  <si>
    <t>SkillAbility</t>
  </si>
  <si>
    <t>Crystal</t>
  </si>
  <si>
    <t>Skill</t>
  </si>
  <si>
    <t>YesNo</t>
  </si>
  <si>
    <t>Arrow3</t>
  </si>
  <si>
    <t>Arrow2</t>
  </si>
  <si>
    <t>Ring2</t>
  </si>
  <si>
    <t>Gloves</t>
  </si>
  <si>
    <t>Boots</t>
  </si>
  <si>
    <t>Weapon</t>
  </si>
  <si>
    <t>Leggings</t>
  </si>
  <si>
    <t>Breast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</si>
  <si>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</si>
  <si>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</si>
  <si>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</si>
  <si>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</si>
  <si>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</si>
  <si>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</si>
  <si>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</si>
  <si>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</si>
  <si>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</si>
  <si>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</si>
  <si>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</si>
  <si>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</si>
  <si>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</si>
  <si>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</si>
  <si>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</si>
  <si>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</si>
  <si>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</si>
  <si>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</si>
  <si>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</si>
  <si>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</si>
  <si>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</si>
  <si>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</si>
  <si>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</si>
  <si>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</si>
  <si>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</si>
  <si>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</si>
  <si>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</si>
  <si>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</si>
  <si>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</si>
  <si>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</si>
  <si>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</si>
  <si>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</si>
  <si>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</si>
  <si>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</si>
  <si>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</si>
  <si>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</si>
  <si>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</si>
  <si>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</si>
  <si>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</si>
  <si>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</si>
  <si>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Adrenaline</t>
  </si>
  <si>
    <t>Explode</t>
  </si>
  <si>
    <t>Heal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</si>
  <si>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</si>
  <si>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</si>
  <si>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</si>
  <si>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</si>
  <si>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</si>
  <si>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</si>
  <si>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</si>
  <si>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</si>
  <si>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</si>
  <si>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</si>
  <si>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</si>
  <si>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</si>
  <si>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</si>
  <si>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</si>
  <si>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Death Type</t>
  </si>
  <si>
    <t>Any</t>
  </si>
  <si>
    <t>Handedness</t>
  </si>
  <si>
    <t>Value List</t>
  </si>
  <si>
    <t>Value Type</t>
  </si>
  <si>
    <t>Burning,10,2;Knockdown,10,2</t>
  </si>
  <si>
    <t>_Cyseal_Lieutenant_Selenia</t>
  </si>
  <si>
    <t>21636f66-045f-46ef-b586-62f17abd83f3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</si>
  <si>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</si>
  <si>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</si>
  <si>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</si>
  <si>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</si>
  <si>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</si>
  <si>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</si>
  <si>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</si>
  <si>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</si>
  <si>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</si>
  <si>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</si>
  <si>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</si>
  <si>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</si>
  <si>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</si>
  <si>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</si>
  <si>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</si>
  <si>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</si>
  <si>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</si>
  <si>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</si>
  <si>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</si>
  <si>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</si>
  <si>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</si>
  <si>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_Cyseal_SparkMasterFabulousFive_Sword</t>
  </si>
  <si>
    <t>_Summon_Nick</t>
  </si>
  <si>
    <t>_Luculla_Citizen_Dagger</t>
  </si>
  <si>
    <t>Bleeding,20,3</t>
  </si>
  <si>
    <t>Master</t>
  </si>
  <si>
    <t>Adept</t>
  </si>
  <si>
    <t>Novice</t>
  </si>
  <si>
    <t>SkillTier</t>
  </si>
  <si>
    <t>_DAF_Hortun</t>
  </si>
  <si>
    <t>PhysicalImmunity_Aura</t>
  </si>
  <si>
    <t>PhysicalImmunity</t>
  </si>
  <si>
    <t>ElementalImmunity_Aura</t>
  </si>
  <si>
    <t>ElementalImmunity</t>
  </si>
  <si>
    <t>Galvanised</t>
  </si>
  <si>
    <t>_Cyseal_Zixzax</t>
  </si>
  <si>
    <t>Frozen,70,2</t>
  </si>
  <si>
    <t>Accurate</t>
  </si>
  <si>
    <t>ProjectileAccuracy</t>
  </si>
  <si>
    <t>9db25250-64d5-486a-b6e7-1023ec1ec83a</t>
  </si>
  <si>
    <t>3a7d215c-6d89-41ef-a595-c4ed1f953347</t>
  </si>
  <si>
    <t>WPN_UNIQUE_Icara_Staff_A</t>
  </si>
  <si>
    <t>WPN_UNIQUE_Leandra_Staff_A</t>
  </si>
  <si>
    <t>Burning,30,2</t>
  </si>
  <si>
    <t>Tagged</t>
  </si>
  <si>
    <t>_END_Leandra_VoidKnight</t>
  </si>
  <si>
    <t>_END_Leandra_Demon_Brown</t>
  </si>
  <si>
    <t>_END_Leandra_Demon_Red</t>
  </si>
  <si>
    <t>_END_Leandra_Demon_Yellow</t>
  </si>
  <si>
    <t>KickstarterUniques</t>
  </si>
  <si>
    <t>QUEST_DeathKnightKillingWand</t>
  </si>
  <si>
    <t>_Wands</t>
  </si>
  <si>
    <t>Intelligence 1</t>
  </si>
  <si>
    <t>2e1dca87-eb87-4afe-bcee-916a2e45fe6e</t>
  </si>
  <si>
    <t>Taunted</t>
  </si>
  <si>
    <t>Charges</t>
  </si>
  <si>
    <t>be970a03-7d7a-4b0d-b356-c1aed953d6e4</t>
  </si>
  <si>
    <t>WPN_ShamblingMoundKillingWand</t>
  </si>
  <si>
    <t>2b27e99b-44ac-4e91-952e-46f8b56117a6</t>
  </si>
  <si>
    <t>Oiled</t>
  </si>
  <si>
    <t>_HOM_Icandra</t>
  </si>
  <si>
    <t>Unhealable</t>
  </si>
  <si>
    <t>_LUC_Shambling_Mound</t>
  </si>
  <si>
    <t>Diseased,10,2</t>
  </si>
  <si>
    <t>CanExplode</t>
  </si>
  <si>
    <t>CreateConeSurface</t>
  </si>
  <si>
    <t>WPN_UNIQUE_AstarteCandle</t>
  </si>
  <si>
    <t>ae4f763d-933b-4e6d-975e-5c3e20a7196b</t>
  </si>
  <si>
    <t>29d54b86-0db0-4bd5-930d-d37cb5bdf14d</t>
  </si>
  <si>
    <t>AlwaysBackstab</t>
  </si>
  <si>
    <t>Custom Properties</t>
  </si>
  <si>
    <t>_Luculla_Dagger</t>
  </si>
  <si>
    <t>Bleeding,25,3</t>
  </si>
  <si>
    <t>a7dfb3d1-8a60-4ac8-90ba-730e3364a6e4</t>
  </si>
  <si>
    <t>_SAC_NPC_HunterBase_Fighter</t>
  </si>
  <si>
    <t>_SAC_NPC_HunterBase_Recruit</t>
  </si>
  <si>
    <t>7ce90c5b-20bf-48e0-9498-c0aa69ec1f5d</t>
  </si>
  <si>
    <t>_SAC_NPC_HunterBase_TwoHandedSword</t>
  </si>
  <si>
    <t>_SAC_NPC_HunterBase_WaterStaff</t>
  </si>
  <si>
    <t>_SAC_NPC_HunterBase_EarthStaff</t>
  </si>
  <si>
    <t>_SAC_NPC_HunterBase_AirStaff</t>
  </si>
  <si>
    <t>_SAC_NPC_HunterBase_FireStaff</t>
  </si>
  <si>
    <t>_SAC_NPC_HunterBase_Crossbow</t>
  </si>
  <si>
    <t>8c79b325-6f09-4e65-af72-437ba6fe6df8</t>
  </si>
  <si>
    <t>0362f875-19ee-42ba-b761-fd1c24aaad3d</t>
  </si>
  <si>
    <t>_SAC_NPC_HunterBase_Dagger</t>
  </si>
  <si>
    <t>Intelligence 14</t>
  </si>
  <si>
    <t>Target_Immolate</t>
  </si>
  <si>
    <t>Cone_WinterbreathMedium</t>
  </si>
  <si>
    <t>Distance</t>
  </si>
  <si>
    <t>CastCheckType</t>
  </si>
  <si>
    <t>_Cyseal_Snorri</t>
  </si>
  <si>
    <t>Grumio's Favorite Triade</t>
  </si>
  <si>
    <t>Grumio's Petrolium Brand</t>
  </si>
  <si>
    <t>Cotton Candy</t>
  </si>
  <si>
    <t>Divine</t>
  </si>
  <si>
    <t>Epic</t>
  </si>
  <si>
    <t>Uncommon</t>
  </si>
  <si>
    <t>_Luculla_Doom_Immaculate_Sword_Enchanter</t>
  </si>
  <si>
    <t>Frozen,25,2</t>
  </si>
  <si>
    <t>_Luculla_Loic_Henchman_Sword_Enchanter</t>
  </si>
  <si>
    <t>_Cyseal_Tutorial_BlackRock_Skeleton_Dagger</t>
  </si>
  <si>
    <t>_DAF_MountainWarrior_BowDagger</t>
  </si>
  <si>
    <t>_DFD_Skeleton_ArcherDagger</t>
  </si>
  <si>
    <t>_DAF_Explorer_ArcherDagger</t>
  </si>
  <si>
    <t>_DAF_Goblin_RangerDagger</t>
  </si>
  <si>
    <t>_DAF_DreadOrc_XBowDagger</t>
  </si>
  <si>
    <t>607ada16-7da3-4de8-ae4f-89302f232cbe</t>
  </si>
  <si>
    <t>_END_Nightmare_Ahru</t>
  </si>
  <si>
    <t>_END_Nightmare_Zandalor</t>
  </si>
  <si>
    <t>WPN_DLC_XBL_SilverDragonWand</t>
  </si>
  <si>
    <t>Intelligence 5</t>
  </si>
  <si>
    <t>WPN_DLC_PSN_BlueDragonWand</t>
  </si>
  <si>
    <t>WPN_DLC_BOX_WhiteDragonWand</t>
  </si>
  <si>
    <t>d3472933-87d1-4e5d-b9bb-36ff73746273</t>
  </si>
  <si>
    <t>278b29b6-49e0-4bf1-8a41-1cdf74d3949d</t>
  </si>
  <si>
    <t>2b2238d4-4d6c-406a-81a7-51044cb613b5</t>
  </si>
  <si>
    <t>434846a8-9a5e-4df2-b9c4-66bb24e80379</t>
  </si>
  <si>
    <t>019229b6-5741-4aeb-b4fc-c4a3bf2758fb</t>
  </si>
  <si>
    <t>_HOM_Icandra_HealingWolf</t>
  </si>
  <si>
    <t>49efee65-d9cb-4996-a0b1-2438a0fda746</t>
  </si>
  <si>
    <t>DivineLight</t>
  </si>
  <si>
    <t>NullResist</t>
  </si>
  <si>
    <t>VampiricTouch</t>
  </si>
  <si>
    <t>Soulsap</t>
  </si>
  <si>
    <t>3c79e509-9cf3-4102-9224-03e429b3bdd4</t>
  </si>
  <si>
    <t>WPN_Bairdotrs_Bow</t>
  </si>
</sst>
</file>

<file path=xl/styles.xml><?xml version="1.0" encoding="utf-8"?>
<styleSheet xmlns="http://schemas.openxmlformats.org/spreadsheetml/2006/main">
  <fonts count="29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1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b/>
      <sz val="10"/>
      <color indexed="53"/>
      <name val="Arial"/>
      <family val="2"/>
    </font>
    <font>
      <b/>
      <sz val="10"/>
      <color indexed="60"/>
      <name val="Arial"/>
      <family val="2"/>
    </font>
    <font>
      <b/>
      <sz val="10"/>
      <color indexed="57"/>
      <name val="Arial"/>
      <family val="2"/>
    </font>
    <font>
      <b/>
      <sz val="10"/>
      <color indexed="23"/>
      <name val="Arial"/>
      <family val="2"/>
    </font>
    <font>
      <b/>
      <sz val="10"/>
      <color indexed="19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0"/>
      <name val="Arial"/>
      <family val="2"/>
    </font>
    <font>
      <sz val="10"/>
      <color rgb="FF9C6500"/>
      <name val="Arial"/>
      <family val="2"/>
    </font>
    <font>
      <b/>
      <sz val="10"/>
      <color theme="1"/>
      <name val="Arial"/>
      <family val="2"/>
    </font>
    <font>
      <sz val="10"/>
      <name val="Inherit"/>
    </font>
    <font>
      <sz val="11"/>
      <name val="Calibri"/>
      <family val="2"/>
      <scheme val="minor"/>
    </font>
    <font>
      <b/>
      <sz val="11"/>
      <color rgb="FFFF0000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713">
    <xf numFmtId="0" fontId="0" fillId="0" borderId="0"/>
    <xf numFmtId="0" fontId="265" fillId="2" borderId="0" applyNumberFormat="0" applyBorder="0" applyAlignment="0" applyProtection="0"/>
    <xf numFmtId="0" fontId="267" fillId="3" borderId="1" applyNumberFormat="0" applyFont="0" applyAlignment="0" applyProtection="0"/>
    <xf numFmtId="0" fontId="266" fillId="4" borderId="0" applyNumberFormat="0" applyBorder="0" applyAlignment="0" applyProtection="0"/>
    <xf numFmtId="0" fontId="266" fillId="5" borderId="0" applyNumberFormat="0" applyBorder="0" applyAlignment="0" applyProtection="0"/>
    <xf numFmtId="0" fontId="266" fillId="6" borderId="0" applyNumberFormat="0" applyBorder="0" applyAlignment="0" applyProtection="0"/>
    <xf numFmtId="0" fontId="266" fillId="7" borderId="0" applyNumberFormat="0" applyBorder="0" applyAlignment="0" applyProtection="0"/>
    <xf numFmtId="0" fontId="267" fillId="0" borderId="0"/>
    <xf numFmtId="0" fontId="264" fillId="0" borderId="0"/>
    <xf numFmtId="0" fontId="267" fillId="0" borderId="0"/>
    <xf numFmtId="0" fontId="267" fillId="0" borderId="0"/>
    <xf numFmtId="0" fontId="267" fillId="3" borderId="1" applyNumberFormat="0" applyFont="0" applyAlignment="0" applyProtection="0"/>
    <xf numFmtId="0" fontId="267" fillId="3" borderId="1" applyNumberFormat="0" applyFont="0" applyAlignment="0" applyProtection="0"/>
    <xf numFmtId="0" fontId="267" fillId="3" borderId="1" applyNumberFormat="0" applyFont="0" applyAlignment="0" applyProtection="0"/>
    <xf numFmtId="0" fontId="263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2" fillId="0" borderId="0"/>
    <xf numFmtId="0" fontId="261" fillId="0" borderId="0"/>
    <xf numFmtId="0" fontId="260" fillId="0" borderId="0"/>
    <xf numFmtId="0" fontId="267" fillId="0" borderId="0"/>
    <xf numFmtId="0" fontId="267" fillId="3" borderId="1" applyNumberFormat="0" applyFont="0" applyAlignment="0" applyProtection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60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8" fillId="0" borderId="0"/>
    <xf numFmtId="0" fontId="267" fillId="0" borderId="0"/>
    <xf numFmtId="0" fontId="267" fillId="3" borderId="1" applyNumberFormat="0" applyFont="0" applyAlignment="0" applyProtection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58" fillId="0" borderId="0"/>
    <xf numFmtId="0" fontId="267" fillId="3" borderId="1" applyNumberFormat="0" applyFont="0" applyAlignment="0" applyProtection="0"/>
    <xf numFmtId="0" fontId="267" fillId="0" borderId="0"/>
    <xf numFmtId="0" fontId="267" fillId="0" borderId="0"/>
    <xf numFmtId="0" fontId="267" fillId="0" borderId="0"/>
    <xf numFmtId="0" fontId="257" fillId="0" borderId="0"/>
    <xf numFmtId="0" fontId="257" fillId="0" borderId="0"/>
    <xf numFmtId="0" fontId="257" fillId="0" borderId="0"/>
    <xf numFmtId="0" fontId="257" fillId="0" borderId="0"/>
    <xf numFmtId="0" fontId="257" fillId="0" borderId="0"/>
    <xf numFmtId="0" fontId="267" fillId="3" borderId="1" applyNumberFormat="0" applyFont="0" applyAlignment="0" applyProtection="0"/>
    <xf numFmtId="0" fontId="256" fillId="0" borderId="0"/>
    <xf numFmtId="0" fontId="256" fillId="0" borderId="0"/>
    <xf numFmtId="0" fontId="255" fillId="0" borderId="0"/>
    <xf numFmtId="0" fontId="255" fillId="0" borderId="0"/>
    <xf numFmtId="0" fontId="254" fillId="0" borderId="0"/>
    <xf numFmtId="0" fontId="254" fillId="0" borderId="0"/>
    <xf numFmtId="0" fontId="253" fillId="0" borderId="0"/>
    <xf numFmtId="0" fontId="253" fillId="0" borderId="0"/>
    <xf numFmtId="0" fontId="252" fillId="0" borderId="0"/>
    <xf numFmtId="0" fontId="252" fillId="0" borderId="0"/>
    <xf numFmtId="0" fontId="251" fillId="0" borderId="0"/>
    <xf numFmtId="0" fontId="251" fillId="0" borderId="0"/>
    <xf numFmtId="0" fontId="250" fillId="0" borderId="0"/>
    <xf numFmtId="0" fontId="250" fillId="0" borderId="0"/>
    <xf numFmtId="0" fontId="249" fillId="0" borderId="0"/>
    <xf numFmtId="0" fontId="249" fillId="0" borderId="0"/>
    <xf numFmtId="0" fontId="248" fillId="0" borderId="0"/>
    <xf numFmtId="0" fontId="248" fillId="0" borderId="0"/>
    <xf numFmtId="0" fontId="247" fillId="0" borderId="0"/>
    <xf numFmtId="0" fontId="247" fillId="0" borderId="0"/>
    <xf numFmtId="0" fontId="246" fillId="0" borderId="0"/>
    <xf numFmtId="0" fontId="246" fillId="0" borderId="0"/>
    <xf numFmtId="0" fontId="245" fillId="0" borderId="0"/>
    <xf numFmtId="0" fontId="245" fillId="0" borderId="0"/>
    <xf numFmtId="0" fontId="244" fillId="0" borderId="0"/>
    <xf numFmtId="0" fontId="244" fillId="0" borderId="0"/>
    <xf numFmtId="0" fontId="243" fillId="0" borderId="0"/>
    <xf numFmtId="0" fontId="243" fillId="0" borderId="0"/>
    <xf numFmtId="0" fontId="242" fillId="0" borderId="0"/>
    <xf numFmtId="0" fontId="242" fillId="0" borderId="0"/>
    <xf numFmtId="0" fontId="241" fillId="0" borderId="0"/>
    <xf numFmtId="0" fontId="241" fillId="0" borderId="0"/>
    <xf numFmtId="0" fontId="240" fillId="0" borderId="0"/>
    <xf numFmtId="0" fontId="240" fillId="0" borderId="0"/>
    <xf numFmtId="0" fontId="239" fillId="0" borderId="0"/>
    <xf numFmtId="0" fontId="239" fillId="0" borderId="0"/>
    <xf numFmtId="0" fontId="238" fillId="0" borderId="0"/>
    <xf numFmtId="0" fontId="238" fillId="0" borderId="0"/>
    <xf numFmtId="0" fontId="237" fillId="0" borderId="0"/>
    <xf numFmtId="0" fontId="237" fillId="0" borderId="0"/>
    <xf numFmtId="0" fontId="236" fillId="0" borderId="0"/>
    <xf numFmtId="0" fontId="236" fillId="0" borderId="0"/>
    <xf numFmtId="0" fontId="235" fillId="0" borderId="0"/>
    <xf numFmtId="0" fontId="235" fillId="0" borderId="0"/>
    <xf numFmtId="0" fontId="234" fillId="0" borderId="0"/>
    <xf numFmtId="0" fontId="234" fillId="0" borderId="0"/>
    <xf numFmtId="0" fontId="233" fillId="0" borderId="0"/>
    <xf numFmtId="0" fontId="233" fillId="0" borderId="0"/>
    <xf numFmtId="0" fontId="232" fillId="0" borderId="0"/>
    <xf numFmtId="0" fontId="232" fillId="0" borderId="0"/>
    <xf numFmtId="0" fontId="231" fillId="0" borderId="0"/>
    <xf numFmtId="0" fontId="231" fillId="0" borderId="0"/>
    <xf numFmtId="0" fontId="230" fillId="0" borderId="0"/>
    <xf numFmtId="0" fontId="230" fillId="0" borderId="0"/>
    <xf numFmtId="0" fontId="229" fillId="0" borderId="0"/>
    <xf numFmtId="0" fontId="229" fillId="0" borderId="0"/>
    <xf numFmtId="0" fontId="228" fillId="0" borderId="0"/>
    <xf numFmtId="0" fontId="228" fillId="0" borderId="0"/>
    <xf numFmtId="0" fontId="227" fillId="0" borderId="0"/>
    <xf numFmtId="0" fontId="227" fillId="0" borderId="0"/>
    <xf numFmtId="0" fontId="226" fillId="0" borderId="0"/>
    <xf numFmtId="0" fontId="226" fillId="0" borderId="0"/>
    <xf numFmtId="0" fontId="225" fillId="0" borderId="0"/>
    <xf numFmtId="0" fontId="225" fillId="0" borderId="0"/>
    <xf numFmtId="0" fontId="224" fillId="0" borderId="0"/>
    <xf numFmtId="0" fontId="224" fillId="0" borderId="0"/>
    <xf numFmtId="0" fontId="223" fillId="0" borderId="0"/>
    <xf numFmtId="0" fontId="223" fillId="0" borderId="0"/>
    <xf numFmtId="0" fontId="222" fillId="0" borderId="0"/>
    <xf numFmtId="0" fontId="222" fillId="0" borderId="0"/>
    <xf numFmtId="0" fontId="221" fillId="0" borderId="0"/>
    <xf numFmtId="0" fontId="221" fillId="0" borderId="0"/>
    <xf numFmtId="0" fontId="220" fillId="0" borderId="0"/>
    <xf numFmtId="0" fontId="220" fillId="0" borderId="0"/>
    <xf numFmtId="0" fontId="219" fillId="0" borderId="0"/>
    <xf numFmtId="0" fontId="219" fillId="0" borderId="0"/>
    <xf numFmtId="0" fontId="218" fillId="0" borderId="0"/>
    <xf numFmtId="0" fontId="218" fillId="0" borderId="0"/>
    <xf numFmtId="0" fontId="217" fillId="0" borderId="0"/>
    <xf numFmtId="0" fontId="217" fillId="0" borderId="0"/>
    <xf numFmtId="0" fontId="216" fillId="0" borderId="0"/>
    <xf numFmtId="0" fontId="216" fillId="0" borderId="0"/>
    <xf numFmtId="0" fontId="215" fillId="0" borderId="0"/>
    <xf numFmtId="0" fontId="215" fillId="0" borderId="0"/>
    <xf numFmtId="0" fontId="214" fillId="0" borderId="0"/>
    <xf numFmtId="0" fontId="214" fillId="0" borderId="0"/>
    <xf numFmtId="0" fontId="213" fillId="0" borderId="0"/>
    <xf numFmtId="0" fontId="213" fillId="0" borderId="0"/>
    <xf numFmtId="0" fontId="212" fillId="0" borderId="0"/>
    <xf numFmtId="0" fontId="212" fillId="0" borderId="0"/>
    <xf numFmtId="0" fontId="211" fillId="0" borderId="0"/>
    <xf numFmtId="0" fontId="211" fillId="0" borderId="0"/>
    <xf numFmtId="0" fontId="210" fillId="0" borderId="0"/>
    <xf numFmtId="0" fontId="210" fillId="0" borderId="0"/>
    <xf numFmtId="0" fontId="209" fillId="0" borderId="0"/>
    <xf numFmtId="0" fontId="209" fillId="0" borderId="0"/>
    <xf numFmtId="0" fontId="208" fillId="0" borderId="0"/>
    <xf numFmtId="0" fontId="208" fillId="0" borderId="0"/>
    <xf numFmtId="0" fontId="207" fillId="0" borderId="0"/>
    <xf numFmtId="0" fontId="207" fillId="0" borderId="0"/>
    <xf numFmtId="0" fontId="206" fillId="0" borderId="0"/>
    <xf numFmtId="0" fontId="206" fillId="0" borderId="0"/>
    <xf numFmtId="0" fontId="205" fillId="0" borderId="0"/>
    <xf numFmtId="0" fontId="205" fillId="0" borderId="0"/>
    <xf numFmtId="0" fontId="204" fillId="0" borderId="0"/>
    <xf numFmtId="0" fontId="204" fillId="0" borderId="0"/>
    <xf numFmtId="0" fontId="203" fillId="0" borderId="0"/>
    <xf numFmtId="0" fontId="203" fillId="0" borderId="0"/>
    <xf numFmtId="0" fontId="202" fillId="0" borderId="0"/>
    <xf numFmtId="0" fontId="202" fillId="0" borderId="0"/>
    <xf numFmtId="0" fontId="201" fillId="0" borderId="0"/>
    <xf numFmtId="0" fontId="201" fillId="0" borderId="0"/>
    <xf numFmtId="0" fontId="200" fillId="0" borderId="0"/>
    <xf numFmtId="0" fontId="200" fillId="0" borderId="0"/>
    <xf numFmtId="0" fontId="199" fillId="0" borderId="0"/>
    <xf numFmtId="0" fontId="199" fillId="0" borderId="0"/>
    <xf numFmtId="0" fontId="198" fillId="0" borderId="0"/>
    <xf numFmtId="0" fontId="198" fillId="0" borderId="0"/>
    <xf numFmtId="0" fontId="197" fillId="0" borderId="0"/>
    <xf numFmtId="0" fontId="197" fillId="0" borderId="0"/>
    <xf numFmtId="0" fontId="196" fillId="0" borderId="0"/>
    <xf numFmtId="0" fontId="196" fillId="0" borderId="0"/>
    <xf numFmtId="0" fontId="195" fillId="0" borderId="0"/>
    <xf numFmtId="0" fontId="195" fillId="0" borderId="0"/>
    <xf numFmtId="0" fontId="194" fillId="0" borderId="0"/>
    <xf numFmtId="0" fontId="194" fillId="0" borderId="0"/>
    <xf numFmtId="0" fontId="193" fillId="0" borderId="0"/>
    <xf numFmtId="0" fontId="193" fillId="0" borderId="0"/>
    <xf numFmtId="0" fontId="192" fillId="0" borderId="0"/>
    <xf numFmtId="0" fontId="192" fillId="0" borderId="0"/>
    <xf numFmtId="0" fontId="191" fillId="0" borderId="0"/>
    <xf numFmtId="0" fontId="191" fillId="0" borderId="0"/>
    <xf numFmtId="0" fontId="190" fillId="0" borderId="0"/>
    <xf numFmtId="0" fontId="190" fillId="0" borderId="0"/>
    <xf numFmtId="0" fontId="189" fillId="0" borderId="0"/>
    <xf numFmtId="0" fontId="189" fillId="0" borderId="0"/>
    <xf numFmtId="0" fontId="188" fillId="0" borderId="0"/>
    <xf numFmtId="0" fontId="188" fillId="0" borderId="0"/>
    <xf numFmtId="0" fontId="187" fillId="0" borderId="0"/>
    <xf numFmtId="0" fontId="187" fillId="0" borderId="0"/>
    <xf numFmtId="0" fontId="186" fillId="0" borderId="0"/>
    <xf numFmtId="0" fontId="186" fillId="0" borderId="0"/>
    <xf numFmtId="0" fontId="185" fillId="0" borderId="0"/>
    <xf numFmtId="0" fontId="185" fillId="0" borderId="0"/>
    <xf numFmtId="0" fontId="184" fillId="0" borderId="0"/>
    <xf numFmtId="0" fontId="184" fillId="0" borderId="0"/>
    <xf numFmtId="0" fontId="183" fillId="0" borderId="0"/>
    <xf numFmtId="0" fontId="183" fillId="0" borderId="0"/>
    <xf numFmtId="0" fontId="182" fillId="0" borderId="0"/>
    <xf numFmtId="0" fontId="182" fillId="0" borderId="0"/>
    <xf numFmtId="0" fontId="181" fillId="0" borderId="0"/>
    <xf numFmtId="0" fontId="181" fillId="0" borderId="0"/>
    <xf numFmtId="0" fontId="180" fillId="0" borderId="0"/>
    <xf numFmtId="0" fontId="180" fillId="0" borderId="0"/>
    <xf numFmtId="0" fontId="179" fillId="0" borderId="0"/>
    <xf numFmtId="0" fontId="179" fillId="0" borderId="0"/>
    <xf numFmtId="0" fontId="178" fillId="0" borderId="0"/>
    <xf numFmtId="0" fontId="178" fillId="0" borderId="0"/>
    <xf numFmtId="0" fontId="177" fillId="0" borderId="0"/>
    <xf numFmtId="0" fontId="177" fillId="0" borderId="0"/>
    <xf numFmtId="0" fontId="176" fillId="0" borderId="0"/>
    <xf numFmtId="0" fontId="176" fillId="0" borderId="0"/>
    <xf numFmtId="0" fontId="175" fillId="0" borderId="0"/>
    <xf numFmtId="0" fontId="175" fillId="0" borderId="0"/>
    <xf numFmtId="0" fontId="174" fillId="0" borderId="0"/>
    <xf numFmtId="0" fontId="174" fillId="0" borderId="0"/>
    <xf numFmtId="0" fontId="173" fillId="0" borderId="0"/>
    <xf numFmtId="0" fontId="173" fillId="0" borderId="0"/>
    <xf numFmtId="0" fontId="172" fillId="0" borderId="0"/>
    <xf numFmtId="0" fontId="172" fillId="0" borderId="0"/>
    <xf numFmtId="0" fontId="171" fillId="0" borderId="0"/>
    <xf numFmtId="0" fontId="171" fillId="0" borderId="0"/>
    <xf numFmtId="0" fontId="170" fillId="0" borderId="0"/>
    <xf numFmtId="0" fontId="170" fillId="0" borderId="0"/>
    <xf numFmtId="0" fontId="169" fillId="0" borderId="0"/>
    <xf numFmtId="0" fontId="169" fillId="0" borderId="0"/>
    <xf numFmtId="0" fontId="168" fillId="0" borderId="0"/>
    <xf numFmtId="0" fontId="168" fillId="0" borderId="0"/>
    <xf numFmtId="0" fontId="167" fillId="0" borderId="0"/>
    <xf numFmtId="0" fontId="167" fillId="0" borderId="0"/>
    <xf numFmtId="0" fontId="166" fillId="0" borderId="0"/>
    <xf numFmtId="0" fontId="166" fillId="0" borderId="0"/>
    <xf numFmtId="0" fontId="165" fillId="0" borderId="0"/>
    <xf numFmtId="0" fontId="165" fillId="0" borderId="0"/>
    <xf numFmtId="0" fontId="164" fillId="0" borderId="0"/>
    <xf numFmtId="0" fontId="164" fillId="0" borderId="0"/>
    <xf numFmtId="0" fontId="163" fillId="0" borderId="0"/>
    <xf numFmtId="0" fontId="163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0" fillId="0" borderId="0"/>
    <xf numFmtId="0" fontId="160" fillId="0" borderId="0"/>
    <xf numFmtId="0" fontId="159" fillId="0" borderId="0"/>
    <xf numFmtId="0" fontId="159" fillId="0" borderId="0"/>
    <xf numFmtId="0" fontId="158" fillId="0" borderId="0"/>
    <xf numFmtId="0" fontId="158" fillId="0" borderId="0"/>
    <xf numFmtId="0" fontId="157" fillId="0" borderId="0"/>
    <xf numFmtId="0" fontId="157" fillId="0" borderId="0"/>
    <xf numFmtId="0" fontId="156" fillId="0" borderId="0"/>
    <xf numFmtId="0" fontId="156" fillId="0" borderId="0"/>
    <xf numFmtId="0" fontId="155" fillId="0" borderId="0"/>
    <xf numFmtId="0" fontId="155" fillId="0" borderId="0"/>
    <xf numFmtId="0" fontId="154" fillId="0" borderId="0"/>
    <xf numFmtId="0" fontId="154" fillId="0" borderId="0"/>
    <xf numFmtId="0" fontId="153" fillId="0" borderId="0"/>
    <xf numFmtId="0" fontId="153" fillId="0" borderId="0"/>
    <xf numFmtId="0" fontId="152" fillId="0" borderId="0"/>
    <xf numFmtId="0" fontId="152" fillId="0" borderId="0"/>
    <xf numFmtId="0" fontId="151" fillId="0" borderId="0"/>
    <xf numFmtId="0" fontId="151" fillId="0" borderId="0"/>
    <xf numFmtId="0" fontId="150" fillId="0" borderId="0"/>
    <xf numFmtId="0" fontId="150" fillId="0" borderId="0"/>
    <xf numFmtId="0" fontId="149" fillId="0" borderId="0"/>
    <xf numFmtId="0" fontId="149" fillId="0" borderId="0"/>
    <xf numFmtId="0" fontId="148" fillId="0" borderId="0"/>
    <xf numFmtId="0" fontId="148" fillId="0" borderId="0"/>
    <xf numFmtId="0" fontId="147" fillId="0" borderId="0"/>
    <xf numFmtId="0" fontId="147" fillId="0" borderId="0"/>
    <xf numFmtId="0" fontId="146" fillId="0" borderId="0"/>
    <xf numFmtId="0" fontId="146" fillId="0" borderId="0"/>
    <xf numFmtId="0" fontId="145" fillId="0" borderId="0"/>
    <xf numFmtId="0" fontId="145" fillId="0" borderId="0"/>
    <xf numFmtId="0" fontId="144" fillId="0" borderId="0"/>
    <xf numFmtId="0" fontId="144" fillId="0" borderId="0"/>
    <xf numFmtId="0" fontId="143" fillId="0" borderId="0"/>
    <xf numFmtId="0" fontId="143" fillId="0" borderId="0"/>
    <xf numFmtId="0" fontId="142" fillId="0" borderId="0"/>
    <xf numFmtId="0" fontId="142" fillId="0" borderId="0"/>
    <xf numFmtId="0" fontId="141" fillId="0" borderId="0"/>
    <xf numFmtId="0" fontId="141" fillId="0" borderId="0"/>
    <xf numFmtId="0" fontId="140" fillId="0" borderId="0"/>
    <xf numFmtId="0" fontId="140" fillId="0" borderId="0"/>
    <xf numFmtId="0" fontId="139" fillId="0" borderId="0"/>
    <xf numFmtId="0" fontId="139" fillId="0" borderId="0"/>
    <xf numFmtId="0" fontId="138" fillId="0" borderId="0"/>
    <xf numFmtId="0" fontId="138" fillId="0" borderId="0"/>
    <xf numFmtId="0" fontId="137" fillId="0" borderId="0"/>
    <xf numFmtId="0" fontId="137" fillId="0" borderId="0"/>
    <xf numFmtId="0" fontId="136" fillId="0" borderId="0"/>
    <xf numFmtId="0" fontId="136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3" fillId="0" borderId="0"/>
    <xf numFmtId="0" fontId="133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8" fillId="0" borderId="0"/>
    <xf numFmtId="0" fontId="128" fillId="0" borderId="0"/>
    <xf numFmtId="0" fontId="127" fillId="0" borderId="0"/>
    <xf numFmtId="0" fontId="127" fillId="0" borderId="0"/>
    <xf numFmtId="0" fontId="126" fillId="0" borderId="0"/>
    <xf numFmtId="0" fontId="126" fillId="0" borderId="0"/>
    <xf numFmtId="0" fontId="125" fillId="0" borderId="0"/>
    <xf numFmtId="0" fontId="125" fillId="0" borderId="0"/>
    <xf numFmtId="0" fontId="124" fillId="0" borderId="0"/>
    <xf numFmtId="0" fontId="124" fillId="0" borderId="0"/>
    <xf numFmtId="0" fontId="123" fillId="0" borderId="0"/>
    <xf numFmtId="0" fontId="123" fillId="0" borderId="0"/>
    <xf numFmtId="0" fontId="122" fillId="0" borderId="0"/>
    <xf numFmtId="0" fontId="122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01">
    <xf numFmtId="0" fontId="0" fillId="0" borderId="0" xfId="0"/>
    <xf numFmtId="0" fontId="268" fillId="0" borderId="0" xfId="0" applyFont="1" applyAlignment="1">
      <alignment vertical="center"/>
    </xf>
    <xf numFmtId="0" fontId="269" fillId="0" borderId="0" xfId="0" applyFont="1" applyAlignment="1">
      <alignment vertical="center"/>
    </xf>
    <xf numFmtId="0" fontId="270" fillId="0" borderId="0" xfId="0" applyFont="1" applyAlignment="1">
      <alignment vertical="center"/>
    </xf>
    <xf numFmtId="0" fontId="271" fillId="0" borderId="0" xfId="0" applyFont="1" applyAlignment="1">
      <alignment vertical="center"/>
    </xf>
    <xf numFmtId="0" fontId="272" fillId="0" borderId="0" xfId="0" applyFont="1" applyAlignment="1">
      <alignment vertical="center"/>
    </xf>
    <xf numFmtId="0" fontId="273" fillId="0" borderId="0" xfId="0" applyFont="1" applyAlignment="1">
      <alignment vertical="center"/>
    </xf>
    <xf numFmtId="0" fontId="274" fillId="0" borderId="0" xfId="0" applyFont="1" applyAlignment="1">
      <alignment vertical="center"/>
    </xf>
    <xf numFmtId="0" fontId="275" fillId="0" borderId="0" xfId="0" applyFont="1" applyAlignment="1">
      <alignment vertical="center"/>
    </xf>
    <xf numFmtId="0" fontId="276" fillId="0" borderId="0" xfId="0" applyFont="1" applyAlignment="1">
      <alignment vertical="center"/>
    </xf>
    <xf numFmtId="0" fontId="277" fillId="0" borderId="0" xfId="0" applyFont="1" applyAlignment="1">
      <alignment vertical="center"/>
    </xf>
    <xf numFmtId="0" fontId="278" fillId="0" borderId="0" xfId="0" applyFont="1" applyAlignment="1">
      <alignment vertical="center"/>
    </xf>
    <xf numFmtId="0" fontId="279" fillId="0" borderId="0" xfId="0" applyFont="1" applyAlignment="1">
      <alignment vertical="center"/>
    </xf>
    <xf numFmtId="0" fontId="268" fillId="3" borderId="1" xfId="2" applyFont="1" applyAlignment="1">
      <alignment vertical="center"/>
    </xf>
    <xf numFmtId="0" fontId="268" fillId="0" borderId="0" xfId="0" applyFont="1" applyFill="1" applyBorder="1" applyAlignment="1">
      <alignment vertical="center"/>
    </xf>
    <xf numFmtId="49" fontId="268" fillId="0" borderId="0" xfId="0" applyNumberFormat="1" applyFont="1" applyAlignment="1">
      <alignment vertical="center"/>
    </xf>
    <xf numFmtId="0" fontId="268" fillId="8" borderId="0" xfId="0" applyFont="1" applyFill="1" applyAlignment="1">
      <alignment vertical="center"/>
    </xf>
    <xf numFmtId="0" fontId="280" fillId="8" borderId="0" xfId="0" applyFont="1" applyFill="1" applyAlignment="1">
      <alignment vertical="center"/>
    </xf>
    <xf numFmtId="0" fontId="268" fillId="8" borderId="0" xfId="0" applyFont="1" applyFill="1" applyBorder="1" applyAlignment="1">
      <alignment vertical="center"/>
    </xf>
    <xf numFmtId="0" fontId="268" fillId="8" borderId="0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49" fontId="268" fillId="8" borderId="0" xfId="0" applyNumberFormat="1" applyFont="1" applyFill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0" fillId="3" borderId="1" xfId="2" applyFont="1" applyAlignment="1">
      <alignment vertical="center"/>
    </xf>
    <xf numFmtId="49" fontId="0" fillId="0" borderId="0" xfId="0" applyNumberFormat="1" applyFont="1" applyBorder="1" applyAlignment="1">
      <alignment vertical="center"/>
    </xf>
    <xf numFmtId="0" fontId="281" fillId="0" borderId="0" xfId="0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7" xfId="2" applyFont="1" applyBorder="1" applyAlignment="1">
      <alignment vertical="center"/>
    </xf>
    <xf numFmtId="49" fontId="0" fillId="0" borderId="0" xfId="0" applyNumberFormat="1" applyFont="1" applyAlignment="1">
      <alignment vertical="center"/>
    </xf>
    <xf numFmtId="0" fontId="0" fillId="0" borderId="2" xfId="0" applyFont="1" applyBorder="1" applyAlignment="1">
      <alignment vertical="center"/>
    </xf>
    <xf numFmtId="0" fontId="281" fillId="0" borderId="2" xfId="0" applyFont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0" fillId="3" borderId="3" xfId="2" applyFont="1" applyBorder="1" applyAlignment="1">
      <alignment vertical="center"/>
    </xf>
    <xf numFmtId="0" fontId="0" fillId="3" borderId="2" xfId="2" applyFont="1" applyBorder="1" applyAlignment="1">
      <alignment vertical="center"/>
    </xf>
    <xf numFmtId="49" fontId="0" fillId="0" borderId="2" xfId="0" applyNumberFormat="1" applyFont="1" applyBorder="1" applyAlignment="1">
      <alignment vertical="center"/>
    </xf>
    <xf numFmtId="0" fontId="280" fillId="0" borderId="0" xfId="0" applyFont="1" applyAlignment="1">
      <alignment vertical="center"/>
    </xf>
    <xf numFmtId="0" fontId="285" fillId="9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282" fillId="0" borderId="0" xfId="14" applyFont="1" applyFill="1" applyAlignment="1">
      <alignment vertical="center"/>
    </xf>
    <xf numFmtId="0" fontId="282" fillId="0" borderId="0" xfId="0" applyFont="1" applyFill="1" applyAlignment="1">
      <alignment vertical="center"/>
    </xf>
    <xf numFmtId="0" fontId="0" fillId="3" borderId="12" xfId="2" applyFont="1" applyBorder="1" applyAlignment="1">
      <alignment vertical="center"/>
    </xf>
    <xf numFmtId="0" fontId="0" fillId="3" borderId="11" xfId="2" applyFont="1" applyBorder="1" applyAlignment="1">
      <alignment vertical="center"/>
    </xf>
    <xf numFmtId="0" fontId="0" fillId="3" borderId="10" xfId="2" applyFont="1" applyBorder="1" applyAlignment="1">
      <alignment vertical="center"/>
    </xf>
    <xf numFmtId="0" fontId="285" fillId="5" borderId="0" xfId="4" applyFont="1" applyAlignment="1">
      <alignment vertical="center"/>
    </xf>
    <xf numFmtId="0" fontId="285" fillId="4" borderId="0" xfId="3" applyFont="1" applyAlignment="1">
      <alignment vertical="center"/>
    </xf>
    <xf numFmtId="0" fontId="285" fillId="7" borderId="0" xfId="6" applyFont="1" applyAlignment="1">
      <alignment vertical="center"/>
    </xf>
    <xf numFmtId="0" fontId="285" fillId="6" borderId="0" xfId="5" applyFont="1" applyAlignment="1">
      <alignment vertical="center"/>
    </xf>
    <xf numFmtId="0" fontId="286" fillId="2" borderId="0" xfId="1" applyFont="1" applyAlignment="1">
      <alignment vertical="center"/>
    </xf>
    <xf numFmtId="0" fontId="286" fillId="2" borderId="1" xfId="1" applyFont="1" applyBorder="1" applyAlignment="1">
      <alignment vertical="center"/>
    </xf>
    <xf numFmtId="0" fontId="286" fillId="2" borderId="0" xfId="1" applyFont="1" applyBorder="1" applyAlignment="1">
      <alignment vertical="center"/>
    </xf>
    <xf numFmtId="49" fontId="286" fillId="2" borderId="0" xfId="1" applyNumberFormat="1" applyFont="1" applyAlignment="1">
      <alignment vertical="center"/>
    </xf>
    <xf numFmtId="49" fontId="0" fillId="0" borderId="0" xfId="0" applyNumberFormat="1" applyFont="1" applyFill="1" applyBorder="1" applyAlignment="1">
      <alignment vertical="center"/>
    </xf>
    <xf numFmtId="0" fontId="287" fillId="0" borderId="0" xfId="33" applyFont="1" applyAlignment="1">
      <alignment vertical="center"/>
    </xf>
    <xf numFmtId="0" fontId="286" fillId="2" borderId="0" xfId="1" applyFont="1" applyBorder="1" applyAlignment="1">
      <alignment horizontal="center" vertical="center"/>
    </xf>
    <xf numFmtId="49" fontId="286" fillId="2" borderId="0" xfId="1" applyNumberFormat="1" applyFont="1" applyBorder="1" applyAlignment="1">
      <alignment vertical="center"/>
    </xf>
    <xf numFmtId="0" fontId="286" fillId="2" borderId="4" xfId="1" applyFont="1" applyBorder="1" applyAlignment="1">
      <alignment vertical="center"/>
    </xf>
    <xf numFmtId="0" fontId="286" fillId="2" borderId="4" xfId="1" applyFont="1" applyBorder="1" applyAlignment="1">
      <alignment horizontal="center" vertical="center"/>
    </xf>
    <xf numFmtId="0" fontId="286" fillId="2" borderId="6" xfId="1" applyFont="1" applyBorder="1" applyAlignment="1">
      <alignment vertical="center"/>
    </xf>
    <xf numFmtId="49" fontId="286" fillId="2" borderId="4" xfId="1" applyNumberFormat="1" applyFont="1" applyBorder="1" applyAlignment="1">
      <alignment vertical="center"/>
    </xf>
    <xf numFmtId="0" fontId="286" fillId="2" borderId="8" xfId="1" applyFont="1" applyBorder="1" applyAlignment="1">
      <alignment vertical="center"/>
    </xf>
    <xf numFmtId="0" fontId="286" fillId="2" borderId="8" xfId="1" applyFont="1" applyBorder="1" applyAlignment="1">
      <alignment horizontal="center" vertical="center"/>
    </xf>
    <xf numFmtId="0" fontId="286" fillId="2" borderId="5" xfId="1" applyFont="1" applyBorder="1" applyAlignment="1">
      <alignment vertical="center"/>
    </xf>
    <xf numFmtId="0" fontId="282" fillId="0" borderId="0" xfId="102" applyFont="1" applyAlignment="1">
      <alignment vertical="center"/>
    </xf>
    <xf numFmtId="0" fontId="286" fillId="2" borderId="9" xfId="1" applyFont="1" applyBorder="1" applyAlignment="1">
      <alignment vertical="center"/>
    </xf>
    <xf numFmtId="0" fontId="286" fillId="2" borderId="2" xfId="1" applyFont="1" applyBorder="1" applyAlignment="1">
      <alignment vertical="center"/>
    </xf>
    <xf numFmtId="0" fontId="282" fillId="0" borderId="0" xfId="1" applyFont="1" applyFill="1" applyAlignment="1">
      <alignment vertical="center"/>
    </xf>
    <xf numFmtId="0" fontId="282" fillId="0" borderId="0" xfId="1" applyFont="1" applyFill="1" applyBorder="1" applyAlignment="1">
      <alignment vertical="center"/>
    </xf>
    <xf numFmtId="0" fontId="282" fillId="0" borderId="0" xfId="1" applyFont="1" applyFill="1" applyBorder="1" applyAlignment="1">
      <alignment horizontal="center" vertical="center"/>
    </xf>
    <xf numFmtId="49" fontId="282" fillId="0" borderId="0" xfId="1" applyNumberFormat="1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10" borderId="0" xfId="0" applyFont="1" applyFill="1"/>
    <xf numFmtId="0" fontId="265" fillId="2" borderId="0" xfId="1" applyBorder="1" applyAlignment="1">
      <alignment vertical="center"/>
    </xf>
    <xf numFmtId="0" fontId="265" fillId="2" borderId="4" xfId="1" applyBorder="1" applyAlignment="1">
      <alignment vertical="center"/>
    </xf>
    <xf numFmtId="0" fontId="265" fillId="2" borderId="0" xfId="1" applyAlignment="1">
      <alignment vertical="center"/>
    </xf>
    <xf numFmtId="0" fontId="265" fillId="2" borderId="0" xfId="1" applyBorder="1" applyAlignment="1">
      <alignment horizontal="center" vertical="center"/>
    </xf>
    <xf numFmtId="0" fontId="265" fillId="2" borderId="7" xfId="1" applyBorder="1" applyAlignment="1">
      <alignment vertical="center"/>
    </xf>
    <xf numFmtId="49" fontId="265" fillId="2" borderId="0" xfId="1" applyNumberFormat="1" applyBorder="1" applyAlignment="1">
      <alignment vertical="center"/>
    </xf>
    <xf numFmtId="0" fontId="286" fillId="2" borderId="13" xfId="1" applyFont="1" applyBorder="1" applyAlignment="1">
      <alignment vertical="center"/>
    </xf>
    <xf numFmtId="0" fontId="280" fillId="0" borderId="0" xfId="0" applyFont="1" applyFill="1" applyAlignment="1">
      <alignment vertical="center"/>
    </xf>
    <xf numFmtId="0" fontId="0" fillId="0" borderId="0" xfId="0" applyFill="1"/>
    <xf numFmtId="0" fontId="268" fillId="0" borderId="0" xfId="0" applyFont="1"/>
    <xf numFmtId="0" fontId="289" fillId="0" borderId="0" xfId="103" applyFont="1" applyFill="1"/>
    <xf numFmtId="0" fontId="289" fillId="0" borderId="0" xfId="103" applyFont="1"/>
    <xf numFmtId="0" fontId="0" fillId="0" borderId="0" xfId="0" applyFont="1"/>
    <xf numFmtId="0" fontId="289" fillId="0" borderId="0" xfId="195" applyFont="1"/>
    <xf numFmtId="0" fontId="267" fillId="0" borderId="0" xfId="194" applyFill="1"/>
    <xf numFmtId="0" fontId="267" fillId="0" borderId="0" xfId="194"/>
    <xf numFmtId="0" fontId="268" fillId="0" borderId="0" xfId="194" applyFont="1"/>
    <xf numFmtId="0" fontId="290" fillId="0" borderId="0" xfId="194" applyFont="1"/>
    <xf numFmtId="0" fontId="0" fillId="0" borderId="0" xfId="194" applyFont="1" applyFill="1"/>
    <xf numFmtId="49" fontId="0" fillId="0" borderId="0" xfId="0" applyNumberFormat="1" applyBorder="1" applyAlignment="1">
      <alignment vertical="center"/>
    </xf>
    <xf numFmtId="0" fontId="291" fillId="0" borderId="0" xfId="0" applyFont="1"/>
    <xf numFmtId="49" fontId="0" fillId="0" borderId="0" xfId="0" applyNumberFormat="1"/>
    <xf numFmtId="0" fontId="0" fillId="0" borderId="2" xfId="0" applyBorder="1" applyAlignment="1">
      <alignment vertical="center"/>
    </xf>
    <xf numFmtId="0" fontId="1" fillId="0" borderId="0" xfId="103" applyFont="1"/>
    <xf numFmtId="0" fontId="1" fillId="0" borderId="0" xfId="12" applyFont="1" applyFill="1" applyBorder="1"/>
    <xf numFmtId="0" fontId="267" fillId="0" borderId="0" xfId="1" applyFont="1" applyFill="1" applyAlignment="1">
      <alignment vertical="center"/>
    </xf>
    <xf numFmtId="0" fontId="0" fillId="11" borderId="0" xfId="0" applyFill="1" applyAlignment="1">
      <alignment vertical="center"/>
    </xf>
  </cellXfs>
  <cellStyles count="713">
    <cellStyle name="60% - Accent1" xfId="3" builtinId="32"/>
    <cellStyle name="60% - Accent2" xfId="4" builtinId="36"/>
    <cellStyle name="60% - Accent4" xfId="5" builtinId="44"/>
    <cellStyle name="60% - Accent6" xfId="6" builtinId="52"/>
    <cellStyle name="Neutral" xfId="1" builtinId="28"/>
    <cellStyle name="Normal" xfId="0" builtinId="0"/>
    <cellStyle name="Normal 10" xfId="103"/>
    <cellStyle name="Normal 11" xfId="102"/>
    <cellStyle name="Normal 11 10" xfId="216"/>
    <cellStyle name="Normal 11 100" xfId="396"/>
    <cellStyle name="Normal 11 101" xfId="398"/>
    <cellStyle name="Normal 11 102" xfId="400"/>
    <cellStyle name="Normal 11 103" xfId="402"/>
    <cellStyle name="Normal 11 104" xfId="404"/>
    <cellStyle name="Normal 11 105" xfId="406"/>
    <cellStyle name="Normal 11 106" xfId="408"/>
    <cellStyle name="Normal 11 107" xfId="410"/>
    <cellStyle name="Normal 11 108" xfId="412"/>
    <cellStyle name="Normal 11 109" xfId="414"/>
    <cellStyle name="Normal 11 11" xfId="218"/>
    <cellStyle name="Normal 11 110" xfId="416"/>
    <cellStyle name="Normal 11 111" xfId="418"/>
    <cellStyle name="Normal 11 112" xfId="420"/>
    <cellStyle name="Normal 11 113" xfId="422"/>
    <cellStyle name="Normal 11 114" xfId="424"/>
    <cellStyle name="Normal 11 115" xfId="426"/>
    <cellStyle name="Normal 11 116" xfId="428"/>
    <cellStyle name="Normal 11 117" xfId="430"/>
    <cellStyle name="Normal 11 118" xfId="432"/>
    <cellStyle name="Normal 11 119" xfId="434"/>
    <cellStyle name="Normal 11 12" xfId="220"/>
    <cellStyle name="Normal 11 120" xfId="436"/>
    <cellStyle name="Normal 11 121" xfId="438"/>
    <cellStyle name="Normal 11 122" xfId="440"/>
    <cellStyle name="Normal 11 123" xfId="442"/>
    <cellStyle name="Normal 11 124" xfId="444"/>
    <cellStyle name="Normal 11 125" xfId="446"/>
    <cellStyle name="Normal 11 126" xfId="448"/>
    <cellStyle name="Normal 11 127" xfId="450"/>
    <cellStyle name="Normal 11 128" xfId="452"/>
    <cellStyle name="Normal 11 129" xfId="454"/>
    <cellStyle name="Normal 11 13" xfId="222"/>
    <cellStyle name="Normal 11 130" xfId="456"/>
    <cellStyle name="Normal 11 131" xfId="458"/>
    <cellStyle name="Normal 11 132" xfId="460"/>
    <cellStyle name="Normal 11 133" xfId="462"/>
    <cellStyle name="Normal 11 134" xfId="464"/>
    <cellStyle name="Normal 11 135" xfId="466"/>
    <cellStyle name="Normal 11 136" xfId="468"/>
    <cellStyle name="Normal 11 137" xfId="470"/>
    <cellStyle name="Normal 11 138" xfId="472"/>
    <cellStyle name="Normal 11 139" xfId="474"/>
    <cellStyle name="Normal 11 14" xfId="224"/>
    <cellStyle name="Normal 11 140" xfId="476"/>
    <cellStyle name="Normal 11 141" xfId="478"/>
    <cellStyle name="Normal 11 142" xfId="480"/>
    <cellStyle name="Normal 11 143" xfId="482"/>
    <cellStyle name="Normal 11 144" xfId="484"/>
    <cellStyle name="Normal 11 145" xfId="486"/>
    <cellStyle name="Normal 11 146" xfId="488"/>
    <cellStyle name="Normal 11 147" xfId="490"/>
    <cellStyle name="Normal 11 148" xfId="492"/>
    <cellStyle name="Normal 11 149" xfId="494"/>
    <cellStyle name="Normal 11 15" xfId="226"/>
    <cellStyle name="Normal 11 150" xfId="496"/>
    <cellStyle name="Normal 11 151" xfId="498"/>
    <cellStyle name="Normal 11 152" xfId="500"/>
    <cellStyle name="Normal 11 153" xfId="502"/>
    <cellStyle name="Normal 11 154" xfId="504"/>
    <cellStyle name="Normal 11 155" xfId="506"/>
    <cellStyle name="Normal 11 156" xfId="508"/>
    <cellStyle name="Normal 11 157" xfId="510"/>
    <cellStyle name="Normal 11 158" xfId="512"/>
    <cellStyle name="Normal 11 159" xfId="514"/>
    <cellStyle name="Normal 11 16" xfId="228"/>
    <cellStyle name="Normal 11 160" xfId="516"/>
    <cellStyle name="Normal 11 161" xfId="518"/>
    <cellStyle name="Normal 11 162" xfId="520"/>
    <cellStyle name="Normal 11 163" xfId="522"/>
    <cellStyle name="Normal 11 164" xfId="524"/>
    <cellStyle name="Normal 11 165" xfId="526"/>
    <cellStyle name="Normal 11 166" xfId="528"/>
    <cellStyle name="Normal 11 167" xfId="530"/>
    <cellStyle name="Normal 11 168" xfId="532"/>
    <cellStyle name="Normal 11 169" xfId="534"/>
    <cellStyle name="Normal 11 17" xfId="230"/>
    <cellStyle name="Normal 11 170" xfId="536"/>
    <cellStyle name="Normal 11 171" xfId="538"/>
    <cellStyle name="Normal 11 172" xfId="540"/>
    <cellStyle name="Normal 11 173" xfId="542"/>
    <cellStyle name="Normal 11 174" xfId="544"/>
    <cellStyle name="Normal 11 175" xfId="546"/>
    <cellStyle name="Normal 11 176" xfId="548"/>
    <cellStyle name="Normal 11 177" xfId="550"/>
    <cellStyle name="Normal 11 178" xfId="552"/>
    <cellStyle name="Normal 11 179" xfId="554"/>
    <cellStyle name="Normal 11 18" xfId="232"/>
    <cellStyle name="Normal 11 180" xfId="556"/>
    <cellStyle name="Normal 11 181" xfId="558"/>
    <cellStyle name="Normal 11 182" xfId="560"/>
    <cellStyle name="Normal 11 183" xfId="562"/>
    <cellStyle name="Normal 11 184" xfId="564"/>
    <cellStyle name="Normal 11 185" xfId="566"/>
    <cellStyle name="Normal 11 186" xfId="568"/>
    <cellStyle name="Normal 11 187" xfId="570"/>
    <cellStyle name="Normal 11 188" xfId="572"/>
    <cellStyle name="Normal 11 189" xfId="574"/>
    <cellStyle name="Normal 11 19" xfId="234"/>
    <cellStyle name="Normal 11 190" xfId="576"/>
    <cellStyle name="Normal 11 191" xfId="578"/>
    <cellStyle name="Normal 11 192" xfId="580"/>
    <cellStyle name="Normal 11 193" xfId="582"/>
    <cellStyle name="Normal 11 194" xfId="584"/>
    <cellStyle name="Normal 11 195" xfId="586"/>
    <cellStyle name="Normal 11 196" xfId="588"/>
    <cellStyle name="Normal 11 197" xfId="590"/>
    <cellStyle name="Normal 11 198" xfId="592"/>
    <cellStyle name="Normal 11 199" xfId="594"/>
    <cellStyle name="Normal 11 2" xfId="196"/>
    <cellStyle name="Normal 11 20" xfId="236"/>
    <cellStyle name="Normal 11 200" xfId="596"/>
    <cellStyle name="Normal 11 201" xfId="598"/>
    <cellStyle name="Normal 11 202" xfId="600"/>
    <cellStyle name="Normal 11 203" xfId="602"/>
    <cellStyle name="Normal 11 204" xfId="604"/>
    <cellStyle name="Normal 11 205" xfId="606"/>
    <cellStyle name="Normal 11 206" xfId="608"/>
    <cellStyle name="Normal 11 207" xfId="610"/>
    <cellStyle name="Normal 11 208" xfId="612"/>
    <cellStyle name="Normal 11 209" xfId="614"/>
    <cellStyle name="Normal 11 21" xfId="238"/>
    <cellStyle name="Normal 11 210" xfId="616"/>
    <cellStyle name="Normal 11 211" xfId="618"/>
    <cellStyle name="Normal 11 212" xfId="620"/>
    <cellStyle name="Normal 11 213" xfId="622"/>
    <cellStyle name="Normal 11 214" xfId="624"/>
    <cellStyle name="Normal 11 215" xfId="626"/>
    <cellStyle name="Normal 11 216" xfId="628"/>
    <cellStyle name="Normal 11 217" xfId="630"/>
    <cellStyle name="Normal 11 218" xfId="632"/>
    <cellStyle name="Normal 11 219" xfId="634"/>
    <cellStyle name="Normal 11 22" xfId="240"/>
    <cellStyle name="Normal 11 220" xfId="636"/>
    <cellStyle name="Normal 11 221" xfId="638"/>
    <cellStyle name="Normal 11 222" xfId="640"/>
    <cellStyle name="Normal 11 223" xfId="642"/>
    <cellStyle name="Normal 11 224" xfId="644"/>
    <cellStyle name="Normal 11 225" xfId="646"/>
    <cellStyle name="Normal 11 226" xfId="648"/>
    <cellStyle name="Normal 11 227" xfId="650"/>
    <cellStyle name="Normal 11 228" xfId="652"/>
    <cellStyle name="Normal 11 229" xfId="654"/>
    <cellStyle name="Normal 11 23" xfId="242"/>
    <cellStyle name="Normal 11 230" xfId="656"/>
    <cellStyle name="Normal 11 231" xfId="658"/>
    <cellStyle name="Normal 11 232" xfId="662"/>
    <cellStyle name="Normal 11 233" xfId="664"/>
    <cellStyle name="Normal 11 234" xfId="666"/>
    <cellStyle name="Normal 11 235" xfId="668"/>
    <cellStyle name="Normal 11 236" xfId="670"/>
    <cellStyle name="Normal 11 237" xfId="672"/>
    <cellStyle name="Normal 11 238" xfId="674"/>
    <cellStyle name="Normal 11 239" xfId="661"/>
    <cellStyle name="Normal 11 24" xfId="244"/>
    <cellStyle name="Normal 11 240" xfId="676"/>
    <cellStyle name="Normal 11 241" xfId="678"/>
    <cellStyle name="Normal 11 242" xfId="680"/>
    <cellStyle name="Normal 11 243" xfId="682"/>
    <cellStyle name="Normal 11 244" xfId="684"/>
    <cellStyle name="Normal 11 245" xfId="686"/>
    <cellStyle name="Normal 11 246" xfId="688"/>
    <cellStyle name="Normal 11 247" xfId="690"/>
    <cellStyle name="Normal 11 248" xfId="692"/>
    <cellStyle name="Normal 11 249" xfId="694"/>
    <cellStyle name="Normal 11 25" xfId="246"/>
    <cellStyle name="Normal 11 250" xfId="696"/>
    <cellStyle name="Normal 11 251" xfId="698"/>
    <cellStyle name="Normal 11 252" xfId="700"/>
    <cellStyle name="Normal 11 253" xfId="702"/>
    <cellStyle name="Normal 11 254" xfId="704"/>
    <cellStyle name="Normal 11 255" xfId="706"/>
    <cellStyle name="Normal 11 256" xfId="709"/>
    <cellStyle name="Normal 11 257" xfId="711"/>
    <cellStyle name="Normal 11 26" xfId="248"/>
    <cellStyle name="Normal 11 27" xfId="250"/>
    <cellStyle name="Normal 11 28" xfId="252"/>
    <cellStyle name="Normal 11 29" xfId="254"/>
    <cellStyle name="Normal 11 3" xfId="202"/>
    <cellStyle name="Normal 11 30" xfId="256"/>
    <cellStyle name="Normal 11 31" xfId="258"/>
    <cellStyle name="Normal 11 32" xfId="260"/>
    <cellStyle name="Normal 11 33" xfId="262"/>
    <cellStyle name="Normal 11 34" xfId="264"/>
    <cellStyle name="Normal 11 35" xfId="266"/>
    <cellStyle name="Normal 11 36" xfId="268"/>
    <cellStyle name="Normal 11 37" xfId="270"/>
    <cellStyle name="Normal 11 38" xfId="272"/>
    <cellStyle name="Normal 11 39" xfId="274"/>
    <cellStyle name="Normal 11 4" xfId="204"/>
    <cellStyle name="Normal 11 40" xfId="276"/>
    <cellStyle name="Normal 11 41" xfId="278"/>
    <cellStyle name="Normal 11 42" xfId="280"/>
    <cellStyle name="Normal 11 43" xfId="282"/>
    <cellStyle name="Normal 11 44" xfId="284"/>
    <cellStyle name="Normal 11 45" xfId="286"/>
    <cellStyle name="Normal 11 46" xfId="288"/>
    <cellStyle name="Normal 11 47" xfId="290"/>
    <cellStyle name="Normal 11 48" xfId="292"/>
    <cellStyle name="Normal 11 49" xfId="294"/>
    <cellStyle name="Normal 11 5" xfId="206"/>
    <cellStyle name="Normal 11 50" xfId="296"/>
    <cellStyle name="Normal 11 51" xfId="298"/>
    <cellStyle name="Normal 11 52" xfId="300"/>
    <cellStyle name="Normal 11 53" xfId="302"/>
    <cellStyle name="Normal 11 54" xfId="304"/>
    <cellStyle name="Normal 11 55" xfId="306"/>
    <cellStyle name="Normal 11 56" xfId="308"/>
    <cellStyle name="Normal 11 57" xfId="310"/>
    <cellStyle name="Normal 11 58" xfId="312"/>
    <cellStyle name="Normal 11 59" xfId="314"/>
    <cellStyle name="Normal 11 6" xfId="208"/>
    <cellStyle name="Normal 11 60" xfId="316"/>
    <cellStyle name="Normal 11 61" xfId="318"/>
    <cellStyle name="Normal 11 62" xfId="320"/>
    <cellStyle name="Normal 11 63" xfId="322"/>
    <cellStyle name="Normal 11 64" xfId="324"/>
    <cellStyle name="Normal 11 65" xfId="326"/>
    <cellStyle name="Normal 11 66" xfId="328"/>
    <cellStyle name="Normal 11 67" xfId="330"/>
    <cellStyle name="Normal 11 68" xfId="332"/>
    <cellStyle name="Normal 11 69" xfId="334"/>
    <cellStyle name="Normal 11 7" xfId="210"/>
    <cellStyle name="Normal 11 70" xfId="336"/>
    <cellStyle name="Normal 11 71" xfId="338"/>
    <cellStyle name="Normal 11 72" xfId="340"/>
    <cellStyle name="Normal 11 73" xfId="342"/>
    <cellStyle name="Normal 11 74" xfId="344"/>
    <cellStyle name="Normal 11 75" xfId="346"/>
    <cellStyle name="Normal 11 76" xfId="348"/>
    <cellStyle name="Normal 11 77" xfId="350"/>
    <cellStyle name="Normal 11 78" xfId="352"/>
    <cellStyle name="Normal 11 79" xfId="354"/>
    <cellStyle name="Normal 11 8" xfId="212"/>
    <cellStyle name="Normal 11 80" xfId="356"/>
    <cellStyle name="Normal 11 81" xfId="358"/>
    <cellStyle name="Normal 11 82" xfId="360"/>
    <cellStyle name="Normal 11 83" xfId="362"/>
    <cellStyle name="Normal 11 84" xfId="364"/>
    <cellStyle name="Normal 11 85" xfId="366"/>
    <cellStyle name="Normal 11 86" xfId="368"/>
    <cellStyle name="Normal 11 87" xfId="370"/>
    <cellStyle name="Normal 11 88" xfId="372"/>
    <cellStyle name="Normal 11 89" xfId="374"/>
    <cellStyle name="Normal 11 9" xfId="214"/>
    <cellStyle name="Normal 11 90" xfId="376"/>
    <cellStyle name="Normal 11 91" xfId="378"/>
    <cellStyle name="Normal 11 92" xfId="380"/>
    <cellStyle name="Normal 11 93" xfId="382"/>
    <cellStyle name="Normal 11 94" xfId="384"/>
    <cellStyle name="Normal 11 95" xfId="386"/>
    <cellStyle name="Normal 11 96" xfId="388"/>
    <cellStyle name="Normal 11 97" xfId="390"/>
    <cellStyle name="Normal 11 98" xfId="392"/>
    <cellStyle name="Normal 11 99" xfId="394"/>
    <cellStyle name="Normal 12" xfId="193"/>
    <cellStyle name="Normal 13" xfId="195"/>
    <cellStyle name="Normal 14" xfId="197"/>
    <cellStyle name="Normal 14 10" xfId="219"/>
    <cellStyle name="Normal 14 100" xfId="399"/>
    <cellStyle name="Normal 14 101" xfId="401"/>
    <cellStyle name="Normal 14 102" xfId="403"/>
    <cellStyle name="Normal 14 103" xfId="405"/>
    <cellStyle name="Normal 14 104" xfId="407"/>
    <cellStyle name="Normal 14 105" xfId="409"/>
    <cellStyle name="Normal 14 106" xfId="411"/>
    <cellStyle name="Normal 14 107" xfId="413"/>
    <cellStyle name="Normal 14 108" xfId="415"/>
    <cellStyle name="Normal 14 109" xfId="417"/>
    <cellStyle name="Normal 14 11" xfId="221"/>
    <cellStyle name="Normal 14 110" xfId="419"/>
    <cellStyle name="Normal 14 111" xfId="421"/>
    <cellStyle name="Normal 14 112" xfId="423"/>
    <cellStyle name="Normal 14 113" xfId="425"/>
    <cellStyle name="Normal 14 114" xfId="427"/>
    <cellStyle name="Normal 14 115" xfId="429"/>
    <cellStyle name="Normal 14 116" xfId="431"/>
    <cellStyle name="Normal 14 117" xfId="433"/>
    <cellStyle name="Normal 14 118" xfId="435"/>
    <cellStyle name="Normal 14 119" xfId="437"/>
    <cellStyle name="Normal 14 12" xfId="223"/>
    <cellStyle name="Normal 14 120" xfId="439"/>
    <cellStyle name="Normal 14 121" xfId="441"/>
    <cellStyle name="Normal 14 122" xfId="443"/>
    <cellStyle name="Normal 14 123" xfId="445"/>
    <cellStyle name="Normal 14 124" xfId="447"/>
    <cellStyle name="Normal 14 125" xfId="449"/>
    <cellStyle name="Normal 14 126" xfId="451"/>
    <cellStyle name="Normal 14 127" xfId="453"/>
    <cellStyle name="Normal 14 128" xfId="455"/>
    <cellStyle name="Normal 14 129" xfId="457"/>
    <cellStyle name="Normal 14 13" xfId="225"/>
    <cellStyle name="Normal 14 130" xfId="459"/>
    <cellStyle name="Normal 14 131" xfId="461"/>
    <cellStyle name="Normal 14 132" xfId="463"/>
    <cellStyle name="Normal 14 133" xfId="465"/>
    <cellStyle name="Normal 14 134" xfId="467"/>
    <cellStyle name="Normal 14 135" xfId="469"/>
    <cellStyle name="Normal 14 136" xfId="471"/>
    <cellStyle name="Normal 14 137" xfId="473"/>
    <cellStyle name="Normal 14 138" xfId="475"/>
    <cellStyle name="Normal 14 139" xfId="477"/>
    <cellStyle name="Normal 14 14" xfId="227"/>
    <cellStyle name="Normal 14 140" xfId="479"/>
    <cellStyle name="Normal 14 141" xfId="481"/>
    <cellStyle name="Normal 14 142" xfId="483"/>
    <cellStyle name="Normal 14 143" xfId="485"/>
    <cellStyle name="Normal 14 144" xfId="487"/>
    <cellStyle name="Normal 14 145" xfId="489"/>
    <cellStyle name="Normal 14 146" xfId="491"/>
    <cellStyle name="Normal 14 147" xfId="493"/>
    <cellStyle name="Normal 14 148" xfId="495"/>
    <cellStyle name="Normal 14 149" xfId="497"/>
    <cellStyle name="Normal 14 15" xfId="229"/>
    <cellStyle name="Normal 14 150" xfId="499"/>
    <cellStyle name="Normal 14 151" xfId="501"/>
    <cellStyle name="Normal 14 152" xfId="503"/>
    <cellStyle name="Normal 14 153" xfId="505"/>
    <cellStyle name="Normal 14 154" xfId="507"/>
    <cellStyle name="Normal 14 155" xfId="509"/>
    <cellStyle name="Normal 14 156" xfId="511"/>
    <cellStyle name="Normal 14 157" xfId="513"/>
    <cellStyle name="Normal 14 158" xfId="515"/>
    <cellStyle name="Normal 14 159" xfId="517"/>
    <cellStyle name="Normal 14 16" xfId="231"/>
    <cellStyle name="Normal 14 160" xfId="519"/>
    <cellStyle name="Normal 14 161" xfId="521"/>
    <cellStyle name="Normal 14 162" xfId="523"/>
    <cellStyle name="Normal 14 163" xfId="525"/>
    <cellStyle name="Normal 14 164" xfId="527"/>
    <cellStyle name="Normal 14 165" xfId="529"/>
    <cellStyle name="Normal 14 166" xfId="531"/>
    <cellStyle name="Normal 14 167" xfId="533"/>
    <cellStyle name="Normal 14 168" xfId="535"/>
    <cellStyle name="Normal 14 169" xfId="537"/>
    <cellStyle name="Normal 14 17" xfId="233"/>
    <cellStyle name="Normal 14 170" xfId="539"/>
    <cellStyle name="Normal 14 171" xfId="541"/>
    <cellStyle name="Normal 14 172" xfId="543"/>
    <cellStyle name="Normal 14 173" xfId="545"/>
    <cellStyle name="Normal 14 174" xfId="547"/>
    <cellStyle name="Normal 14 175" xfId="549"/>
    <cellStyle name="Normal 14 176" xfId="551"/>
    <cellStyle name="Normal 14 177" xfId="553"/>
    <cellStyle name="Normal 14 178" xfId="555"/>
    <cellStyle name="Normal 14 179" xfId="557"/>
    <cellStyle name="Normal 14 18" xfId="235"/>
    <cellStyle name="Normal 14 180" xfId="559"/>
    <cellStyle name="Normal 14 181" xfId="561"/>
    <cellStyle name="Normal 14 182" xfId="563"/>
    <cellStyle name="Normal 14 183" xfId="565"/>
    <cellStyle name="Normal 14 184" xfId="567"/>
    <cellStyle name="Normal 14 185" xfId="569"/>
    <cellStyle name="Normal 14 186" xfId="571"/>
    <cellStyle name="Normal 14 187" xfId="573"/>
    <cellStyle name="Normal 14 188" xfId="575"/>
    <cellStyle name="Normal 14 189" xfId="577"/>
    <cellStyle name="Normal 14 19" xfId="237"/>
    <cellStyle name="Normal 14 190" xfId="579"/>
    <cellStyle name="Normal 14 191" xfId="581"/>
    <cellStyle name="Normal 14 192" xfId="583"/>
    <cellStyle name="Normal 14 193" xfId="585"/>
    <cellStyle name="Normal 14 194" xfId="587"/>
    <cellStyle name="Normal 14 195" xfId="589"/>
    <cellStyle name="Normal 14 196" xfId="591"/>
    <cellStyle name="Normal 14 197" xfId="593"/>
    <cellStyle name="Normal 14 198" xfId="595"/>
    <cellStyle name="Normal 14 199" xfId="597"/>
    <cellStyle name="Normal 14 2" xfId="203"/>
    <cellStyle name="Normal 14 20" xfId="239"/>
    <cellStyle name="Normal 14 200" xfId="599"/>
    <cellStyle name="Normal 14 201" xfId="601"/>
    <cellStyle name="Normal 14 202" xfId="603"/>
    <cellStyle name="Normal 14 203" xfId="605"/>
    <cellStyle name="Normal 14 204" xfId="607"/>
    <cellStyle name="Normal 14 205" xfId="609"/>
    <cellStyle name="Normal 14 206" xfId="611"/>
    <cellStyle name="Normal 14 207" xfId="613"/>
    <cellStyle name="Normal 14 208" xfId="615"/>
    <cellStyle name="Normal 14 209" xfId="617"/>
    <cellStyle name="Normal 14 21" xfId="241"/>
    <cellStyle name="Normal 14 210" xfId="619"/>
    <cellStyle name="Normal 14 211" xfId="621"/>
    <cellStyle name="Normal 14 212" xfId="623"/>
    <cellStyle name="Normal 14 213" xfId="625"/>
    <cellStyle name="Normal 14 214" xfId="627"/>
    <cellStyle name="Normal 14 215" xfId="629"/>
    <cellStyle name="Normal 14 216" xfId="631"/>
    <cellStyle name="Normal 14 217" xfId="633"/>
    <cellStyle name="Normal 14 218" xfId="635"/>
    <cellStyle name="Normal 14 219" xfId="637"/>
    <cellStyle name="Normal 14 22" xfId="243"/>
    <cellStyle name="Normal 14 220" xfId="639"/>
    <cellStyle name="Normal 14 221" xfId="641"/>
    <cellStyle name="Normal 14 222" xfId="643"/>
    <cellStyle name="Normal 14 223" xfId="645"/>
    <cellStyle name="Normal 14 224" xfId="647"/>
    <cellStyle name="Normal 14 225" xfId="649"/>
    <cellStyle name="Normal 14 226" xfId="651"/>
    <cellStyle name="Normal 14 227" xfId="653"/>
    <cellStyle name="Normal 14 228" xfId="655"/>
    <cellStyle name="Normal 14 229" xfId="657"/>
    <cellStyle name="Normal 14 23" xfId="245"/>
    <cellStyle name="Normal 14 230" xfId="659"/>
    <cellStyle name="Normal 14 231" xfId="663"/>
    <cellStyle name="Normal 14 232" xfId="665"/>
    <cellStyle name="Normal 14 233" xfId="667"/>
    <cellStyle name="Normal 14 234" xfId="669"/>
    <cellStyle name="Normal 14 235" xfId="671"/>
    <cellStyle name="Normal 14 236" xfId="673"/>
    <cellStyle name="Normal 14 237" xfId="675"/>
    <cellStyle name="Normal 14 238" xfId="660"/>
    <cellStyle name="Normal 14 239" xfId="677"/>
    <cellStyle name="Normal 14 24" xfId="247"/>
    <cellStyle name="Normal 14 240" xfId="679"/>
    <cellStyle name="Normal 14 241" xfId="681"/>
    <cellStyle name="Normal 14 242" xfId="683"/>
    <cellStyle name="Normal 14 243" xfId="685"/>
    <cellStyle name="Normal 14 244" xfId="687"/>
    <cellStyle name="Normal 14 245" xfId="689"/>
    <cellStyle name="Normal 14 246" xfId="691"/>
    <cellStyle name="Normal 14 247" xfId="693"/>
    <cellStyle name="Normal 14 248" xfId="695"/>
    <cellStyle name="Normal 14 249" xfId="697"/>
    <cellStyle name="Normal 14 25" xfId="249"/>
    <cellStyle name="Normal 14 250" xfId="699"/>
    <cellStyle name="Normal 14 251" xfId="701"/>
    <cellStyle name="Normal 14 252" xfId="703"/>
    <cellStyle name="Normal 14 253" xfId="705"/>
    <cellStyle name="Normal 14 254" xfId="707"/>
    <cellStyle name="Normal 14 255" xfId="708"/>
    <cellStyle name="Normal 14 256" xfId="710"/>
    <cellStyle name="Normal 14 257" xfId="712"/>
    <cellStyle name="Normal 14 26" xfId="251"/>
    <cellStyle name="Normal 14 27" xfId="253"/>
    <cellStyle name="Normal 14 28" xfId="255"/>
    <cellStyle name="Normal 14 29" xfId="257"/>
    <cellStyle name="Normal 14 3" xfId="205"/>
    <cellStyle name="Normal 14 30" xfId="259"/>
    <cellStyle name="Normal 14 31" xfId="261"/>
    <cellStyle name="Normal 14 32" xfId="263"/>
    <cellStyle name="Normal 14 33" xfId="265"/>
    <cellStyle name="Normal 14 34" xfId="267"/>
    <cellStyle name="Normal 14 35" xfId="269"/>
    <cellStyle name="Normal 14 36" xfId="271"/>
    <cellStyle name="Normal 14 37" xfId="273"/>
    <cellStyle name="Normal 14 38" xfId="275"/>
    <cellStyle name="Normal 14 39" xfId="277"/>
    <cellStyle name="Normal 14 4" xfId="207"/>
    <cellStyle name="Normal 14 40" xfId="279"/>
    <cellStyle name="Normal 14 41" xfId="281"/>
    <cellStyle name="Normal 14 42" xfId="283"/>
    <cellStyle name="Normal 14 43" xfId="285"/>
    <cellStyle name="Normal 14 44" xfId="287"/>
    <cellStyle name="Normal 14 45" xfId="289"/>
    <cellStyle name="Normal 14 46" xfId="291"/>
    <cellStyle name="Normal 14 47" xfId="293"/>
    <cellStyle name="Normal 14 48" xfId="295"/>
    <cellStyle name="Normal 14 49" xfId="297"/>
    <cellStyle name="Normal 14 5" xfId="209"/>
    <cellStyle name="Normal 14 50" xfId="299"/>
    <cellStyle name="Normal 14 51" xfId="301"/>
    <cellStyle name="Normal 14 52" xfId="303"/>
    <cellStyle name="Normal 14 53" xfId="305"/>
    <cellStyle name="Normal 14 54" xfId="307"/>
    <cellStyle name="Normal 14 55" xfId="309"/>
    <cellStyle name="Normal 14 56" xfId="311"/>
    <cellStyle name="Normal 14 57" xfId="313"/>
    <cellStyle name="Normal 14 58" xfId="315"/>
    <cellStyle name="Normal 14 59" xfId="317"/>
    <cellStyle name="Normal 14 6" xfId="211"/>
    <cellStyle name="Normal 14 60" xfId="319"/>
    <cellStyle name="Normal 14 61" xfId="321"/>
    <cellStyle name="Normal 14 62" xfId="323"/>
    <cellStyle name="Normal 14 63" xfId="325"/>
    <cellStyle name="Normal 14 64" xfId="327"/>
    <cellStyle name="Normal 14 65" xfId="329"/>
    <cellStyle name="Normal 14 66" xfId="331"/>
    <cellStyle name="Normal 14 67" xfId="333"/>
    <cellStyle name="Normal 14 68" xfId="335"/>
    <cellStyle name="Normal 14 69" xfId="337"/>
    <cellStyle name="Normal 14 7" xfId="213"/>
    <cellStyle name="Normal 14 70" xfId="339"/>
    <cellStyle name="Normal 14 71" xfId="341"/>
    <cellStyle name="Normal 14 72" xfId="343"/>
    <cellStyle name="Normal 14 73" xfId="345"/>
    <cellStyle name="Normal 14 74" xfId="347"/>
    <cellStyle name="Normal 14 75" xfId="349"/>
    <cellStyle name="Normal 14 76" xfId="351"/>
    <cellStyle name="Normal 14 77" xfId="353"/>
    <cellStyle name="Normal 14 78" xfId="355"/>
    <cellStyle name="Normal 14 79" xfId="357"/>
    <cellStyle name="Normal 14 8" xfId="215"/>
    <cellStyle name="Normal 14 80" xfId="359"/>
    <cellStyle name="Normal 14 81" xfId="361"/>
    <cellStyle name="Normal 14 82" xfId="363"/>
    <cellStyle name="Normal 14 83" xfId="365"/>
    <cellStyle name="Normal 14 84" xfId="367"/>
    <cellStyle name="Normal 14 85" xfId="369"/>
    <cellStyle name="Normal 14 86" xfId="371"/>
    <cellStyle name="Normal 14 87" xfId="373"/>
    <cellStyle name="Normal 14 88" xfId="375"/>
    <cellStyle name="Normal 14 89" xfId="377"/>
    <cellStyle name="Normal 14 9" xfId="217"/>
    <cellStyle name="Normal 14 90" xfId="379"/>
    <cellStyle name="Normal 14 91" xfId="381"/>
    <cellStyle name="Normal 14 92" xfId="383"/>
    <cellStyle name="Normal 14 93" xfId="385"/>
    <cellStyle name="Normal 14 94" xfId="387"/>
    <cellStyle name="Normal 14 95" xfId="389"/>
    <cellStyle name="Normal 14 96" xfId="391"/>
    <cellStyle name="Normal 14 97" xfId="393"/>
    <cellStyle name="Normal 14 98" xfId="395"/>
    <cellStyle name="Normal 14 99" xfId="397"/>
    <cellStyle name="Normal 2" xfId="7"/>
    <cellStyle name="Normal 3" xfId="8"/>
    <cellStyle name="Normal 3 10" xfId="26"/>
    <cellStyle name="Normal 3 10 2" xfId="50"/>
    <cellStyle name="Normal 3 10 2 2" xfId="94"/>
    <cellStyle name="Normal 3 10 2 2 2" xfId="184"/>
    <cellStyle name="Normal 3 10 2 3" xfId="140"/>
    <cellStyle name="Normal 3 10 3" xfId="72"/>
    <cellStyle name="Normal 3 10 3 2" xfId="162"/>
    <cellStyle name="Normal 3 10 4" xfId="118"/>
    <cellStyle name="Normal 3 11" xfId="28"/>
    <cellStyle name="Normal 3 11 2" xfId="52"/>
    <cellStyle name="Normal 3 11 2 2" xfId="96"/>
    <cellStyle name="Normal 3 11 2 2 2" xfId="186"/>
    <cellStyle name="Normal 3 11 2 3" xfId="142"/>
    <cellStyle name="Normal 3 11 3" xfId="74"/>
    <cellStyle name="Normal 3 11 3 2" xfId="164"/>
    <cellStyle name="Normal 3 11 4" xfId="120"/>
    <cellStyle name="Normal 3 12" xfId="37"/>
    <cellStyle name="Normal 3 12 2" xfId="81"/>
    <cellStyle name="Normal 3 12 2 2" xfId="171"/>
    <cellStyle name="Normal 3 12 3" xfId="127"/>
    <cellStyle name="Normal 3 13" xfId="59"/>
    <cellStyle name="Normal 3 13 2" xfId="149"/>
    <cellStyle name="Normal 3 14" xfId="105"/>
    <cellStyle name="Normal 3 15" xfId="198"/>
    <cellStyle name="Normal 3 2" xfId="14"/>
    <cellStyle name="Normal 3 2 10" xfId="32"/>
    <cellStyle name="Normal 3 2 10 2" xfId="56"/>
    <cellStyle name="Normal 3 2 10 2 2" xfId="100"/>
    <cellStyle name="Normal 3 2 10 2 2 2" xfId="190"/>
    <cellStyle name="Normal 3 2 10 2 3" xfId="146"/>
    <cellStyle name="Normal 3 2 10 3" xfId="78"/>
    <cellStyle name="Normal 3 2 10 3 2" xfId="168"/>
    <cellStyle name="Normal 3 2 10 4" xfId="124"/>
    <cellStyle name="Normal 3 2 11" xfId="38"/>
    <cellStyle name="Normal 3 2 11 2" xfId="82"/>
    <cellStyle name="Normal 3 2 11 2 2" xfId="172"/>
    <cellStyle name="Normal 3 2 11 3" xfId="128"/>
    <cellStyle name="Normal 3 2 12" xfId="60"/>
    <cellStyle name="Normal 3 2 12 2" xfId="150"/>
    <cellStyle name="Normal 3 2 13" xfId="106"/>
    <cellStyle name="Normal 3 2 14" xfId="199"/>
    <cellStyle name="Normal 3 2 2" xfId="19"/>
    <cellStyle name="Normal 3 2 2 2" xfId="43"/>
    <cellStyle name="Normal 3 2 2 2 2" xfId="87"/>
    <cellStyle name="Normal 3 2 2 2 2 2" xfId="177"/>
    <cellStyle name="Normal 3 2 2 2 3" xfId="133"/>
    <cellStyle name="Normal 3 2 2 3" xfId="65"/>
    <cellStyle name="Normal 3 2 2 3 2" xfId="155"/>
    <cellStyle name="Normal 3 2 2 4" xfId="111"/>
    <cellStyle name="Normal 3 2 3" xfId="21"/>
    <cellStyle name="Normal 3 2 3 2" xfId="45"/>
    <cellStyle name="Normal 3 2 3 2 2" xfId="89"/>
    <cellStyle name="Normal 3 2 3 2 2 2" xfId="179"/>
    <cellStyle name="Normal 3 2 3 2 3" xfId="135"/>
    <cellStyle name="Normal 3 2 3 3" xfId="67"/>
    <cellStyle name="Normal 3 2 3 3 2" xfId="157"/>
    <cellStyle name="Normal 3 2 3 4" xfId="113"/>
    <cellStyle name="Normal 3 2 4" xfId="23"/>
    <cellStyle name="Normal 3 2 4 2" xfId="47"/>
    <cellStyle name="Normal 3 2 4 2 2" xfId="91"/>
    <cellStyle name="Normal 3 2 4 2 2 2" xfId="181"/>
    <cellStyle name="Normal 3 2 4 2 3" xfId="137"/>
    <cellStyle name="Normal 3 2 4 3" xfId="69"/>
    <cellStyle name="Normal 3 2 4 3 2" xfId="159"/>
    <cellStyle name="Normal 3 2 4 4" xfId="115"/>
    <cellStyle name="Normal 3 2 5" xfId="25"/>
    <cellStyle name="Normal 3 2 5 2" xfId="49"/>
    <cellStyle name="Normal 3 2 5 2 2" xfId="93"/>
    <cellStyle name="Normal 3 2 5 2 2 2" xfId="183"/>
    <cellStyle name="Normal 3 2 5 2 3" xfId="139"/>
    <cellStyle name="Normal 3 2 5 3" xfId="71"/>
    <cellStyle name="Normal 3 2 5 3 2" xfId="161"/>
    <cellStyle name="Normal 3 2 5 4" xfId="117"/>
    <cellStyle name="Normal 3 2 6" xfId="27"/>
    <cellStyle name="Normal 3 2 6 2" xfId="51"/>
    <cellStyle name="Normal 3 2 6 2 2" xfId="95"/>
    <cellStyle name="Normal 3 2 6 2 2 2" xfId="185"/>
    <cellStyle name="Normal 3 2 6 2 3" xfId="141"/>
    <cellStyle name="Normal 3 2 6 3" xfId="73"/>
    <cellStyle name="Normal 3 2 6 3 2" xfId="163"/>
    <cellStyle name="Normal 3 2 6 4" xfId="119"/>
    <cellStyle name="Normal 3 2 7" xfId="29"/>
    <cellStyle name="Normal 3 2 7 2" xfId="53"/>
    <cellStyle name="Normal 3 2 7 2 2" xfId="97"/>
    <cellStyle name="Normal 3 2 7 2 2 2" xfId="187"/>
    <cellStyle name="Normal 3 2 7 2 3" xfId="143"/>
    <cellStyle name="Normal 3 2 7 3" xfId="75"/>
    <cellStyle name="Normal 3 2 7 3 2" xfId="165"/>
    <cellStyle name="Normal 3 2 7 4" xfId="121"/>
    <cellStyle name="Normal 3 2 8" xfId="30"/>
    <cellStyle name="Normal 3 2 8 2" xfId="54"/>
    <cellStyle name="Normal 3 2 8 2 2" xfId="98"/>
    <cellStyle name="Normal 3 2 8 2 2 2" xfId="188"/>
    <cellStyle name="Normal 3 2 8 2 3" xfId="144"/>
    <cellStyle name="Normal 3 2 8 3" xfId="76"/>
    <cellStyle name="Normal 3 2 8 3 2" xfId="166"/>
    <cellStyle name="Normal 3 2 8 4" xfId="122"/>
    <cellStyle name="Normal 3 2 9" xfId="31"/>
    <cellStyle name="Normal 3 2 9 2" xfId="55"/>
    <cellStyle name="Normal 3 2 9 2 2" xfId="99"/>
    <cellStyle name="Normal 3 2 9 2 2 2" xfId="189"/>
    <cellStyle name="Normal 3 2 9 2 3" xfId="145"/>
    <cellStyle name="Normal 3 2 9 3" xfId="77"/>
    <cellStyle name="Normal 3 2 9 3 2" xfId="167"/>
    <cellStyle name="Normal 3 2 9 4" xfId="123"/>
    <cellStyle name="Normal 3 3" xfId="16"/>
    <cellStyle name="Normal 3 3 2" xfId="40"/>
    <cellStyle name="Normal 3 3 2 2" xfId="84"/>
    <cellStyle name="Normal 3 3 2 2 2" xfId="174"/>
    <cellStyle name="Normal 3 3 2 3" xfId="130"/>
    <cellStyle name="Normal 3 3 3" xfId="62"/>
    <cellStyle name="Normal 3 3 3 2" xfId="152"/>
    <cellStyle name="Normal 3 3 4" xfId="108"/>
    <cellStyle name="Normal 3 4" xfId="17"/>
    <cellStyle name="Normal 3 4 2" xfId="41"/>
    <cellStyle name="Normal 3 4 2 2" xfId="85"/>
    <cellStyle name="Normal 3 4 2 2 2" xfId="175"/>
    <cellStyle name="Normal 3 4 2 3" xfId="131"/>
    <cellStyle name="Normal 3 4 3" xfId="63"/>
    <cellStyle name="Normal 3 4 3 2" xfId="153"/>
    <cellStyle name="Normal 3 4 4" xfId="109"/>
    <cellStyle name="Normal 3 5" xfId="15"/>
    <cellStyle name="Normal 3 5 2" xfId="39"/>
    <cellStyle name="Normal 3 5 2 2" xfId="83"/>
    <cellStyle name="Normal 3 5 2 2 2" xfId="173"/>
    <cellStyle name="Normal 3 5 2 3" xfId="129"/>
    <cellStyle name="Normal 3 5 3" xfId="61"/>
    <cellStyle name="Normal 3 5 3 2" xfId="151"/>
    <cellStyle name="Normal 3 5 4" xfId="107"/>
    <cellStyle name="Normal 3 6" xfId="18"/>
    <cellStyle name="Normal 3 6 2" xfId="42"/>
    <cellStyle name="Normal 3 6 2 2" xfId="86"/>
    <cellStyle name="Normal 3 6 2 2 2" xfId="176"/>
    <cellStyle name="Normal 3 6 2 3" xfId="132"/>
    <cellStyle name="Normal 3 6 3" xfId="64"/>
    <cellStyle name="Normal 3 6 3 2" xfId="154"/>
    <cellStyle name="Normal 3 6 4" xfId="110"/>
    <cellStyle name="Normal 3 7" xfId="20"/>
    <cellStyle name="Normal 3 7 2" xfId="44"/>
    <cellStyle name="Normal 3 7 2 2" xfId="88"/>
    <cellStyle name="Normal 3 7 2 2 2" xfId="178"/>
    <cellStyle name="Normal 3 7 2 3" xfId="134"/>
    <cellStyle name="Normal 3 7 3" xfId="66"/>
    <cellStyle name="Normal 3 7 3 2" xfId="156"/>
    <cellStyle name="Normal 3 7 4" xfId="112"/>
    <cellStyle name="Normal 3 8" xfId="22"/>
    <cellStyle name="Normal 3 8 2" xfId="46"/>
    <cellStyle name="Normal 3 8 2 2" xfId="90"/>
    <cellStyle name="Normal 3 8 2 2 2" xfId="180"/>
    <cellStyle name="Normal 3 8 2 3" xfId="136"/>
    <cellStyle name="Normal 3 8 3" xfId="68"/>
    <cellStyle name="Normal 3 8 3 2" xfId="158"/>
    <cellStyle name="Normal 3 8 4" xfId="114"/>
    <cellStyle name="Normal 3 9" xfId="24"/>
    <cellStyle name="Normal 3 9 2" xfId="48"/>
    <cellStyle name="Normal 3 9 2 2" xfId="92"/>
    <cellStyle name="Normal 3 9 2 2 2" xfId="182"/>
    <cellStyle name="Normal 3 9 2 3" xfId="138"/>
    <cellStyle name="Normal 3 9 3" xfId="70"/>
    <cellStyle name="Normal 3 9 3 2" xfId="160"/>
    <cellStyle name="Normal 3 9 4" xfId="116"/>
    <cellStyle name="Normal 4" xfId="9"/>
    <cellStyle name="Normal 5" xfId="10"/>
    <cellStyle name="Normal 6" xfId="33"/>
    <cellStyle name="Normal 6 2" xfId="57"/>
    <cellStyle name="Normal 6 2 2" xfId="101"/>
    <cellStyle name="Normal 6 2 2 2" xfId="191"/>
    <cellStyle name="Normal 6 2 3" xfId="147"/>
    <cellStyle name="Normal 6 3" xfId="79"/>
    <cellStyle name="Normal 6 3 2" xfId="169"/>
    <cellStyle name="Normal 6 4" xfId="125"/>
    <cellStyle name="Normal 6 5" xfId="194"/>
    <cellStyle name="Normal 6 6" xfId="200"/>
    <cellStyle name="Normal 7" xfId="35"/>
    <cellStyle name="Normal 8" xfId="34"/>
    <cellStyle name="Normal 8 2" xfId="80"/>
    <cellStyle name="Normal 8 2 2" xfId="170"/>
    <cellStyle name="Normal 8 3" xfId="126"/>
    <cellStyle name="Normal 9" xfId="58"/>
    <cellStyle name="Normal 9 2" xfId="148"/>
    <cellStyle name="Note" xfId="2" builtinId="10"/>
    <cellStyle name="Note 2" xfId="11"/>
    <cellStyle name="Note 3" xfId="12"/>
    <cellStyle name="Note 4" xfId="13"/>
    <cellStyle name="Note 5" xfId="36"/>
    <cellStyle name="Note 6" xfId="104"/>
    <cellStyle name="Note 7" xfId="192"/>
    <cellStyle name="Note 8" xfId="2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workbookViewId="0">
      <selection activeCell="C43" sqref="C43"/>
    </sheetView>
  </sheetViews>
  <sheetFormatPr defaultRowHeight="12.75"/>
  <cols>
    <col min="1" max="1" width="23.42578125" style="83" bestFit="1" customWidth="1"/>
    <col min="2" max="2" width="11.140625" customWidth="1"/>
    <col min="3" max="3" width="15.85546875" customWidth="1"/>
    <col min="4" max="4" width="15.140625" customWidth="1"/>
    <col min="5" max="5" width="17.28515625" customWidth="1"/>
    <col min="6" max="6" width="14.42578125" bestFit="1" customWidth="1"/>
    <col min="7" max="7" width="14.140625" bestFit="1" customWidth="1"/>
    <col min="8" max="8" width="22.5703125" bestFit="1" customWidth="1"/>
    <col min="9" max="9" width="18.42578125" bestFit="1" customWidth="1"/>
    <col min="10" max="10" width="13.28515625" bestFit="1" customWidth="1"/>
    <col min="11" max="11" width="16.28515625" bestFit="1" customWidth="1"/>
    <col min="12" max="12" width="21.85546875" bestFit="1" customWidth="1"/>
    <col min="13" max="13" width="11.5703125" bestFit="1" customWidth="1"/>
    <col min="14" max="14" width="15.85546875" bestFit="1" customWidth="1"/>
    <col min="15" max="15" width="15.42578125" bestFit="1" customWidth="1"/>
    <col min="16" max="16" width="13.28515625" bestFit="1" customWidth="1"/>
    <col min="17" max="17" width="14.5703125" bestFit="1" customWidth="1"/>
    <col min="18" max="18" width="23.42578125" bestFit="1" customWidth="1"/>
    <col min="19" max="19" width="16.7109375" bestFit="1" customWidth="1"/>
    <col min="20" max="20" width="16.42578125" bestFit="1" customWidth="1"/>
    <col min="21" max="21" width="24.5703125" bestFit="1" customWidth="1"/>
    <col min="22" max="22" width="15.42578125" bestFit="1" customWidth="1"/>
    <col min="23" max="23" width="13.5703125" bestFit="1" customWidth="1"/>
    <col min="24" max="24" width="20.85546875" bestFit="1" customWidth="1"/>
    <col min="25" max="25" width="16.5703125" customWidth="1"/>
    <col min="26" max="26" width="11.7109375" customWidth="1"/>
    <col min="27" max="27" width="13.28515625" bestFit="1" customWidth="1"/>
    <col min="28" max="28" width="16.7109375" bestFit="1" customWidth="1"/>
    <col min="29" max="29" width="7.5703125" bestFit="1" customWidth="1"/>
    <col min="31" max="31" width="11.28515625" bestFit="1" customWidth="1"/>
    <col min="32" max="32" width="16.7109375" bestFit="1" customWidth="1"/>
    <col min="33" max="33" width="10.5703125" bestFit="1" customWidth="1"/>
    <col min="34" max="34" width="8.5703125" bestFit="1" customWidth="1"/>
    <col min="36" max="36" width="5.85546875" bestFit="1" customWidth="1"/>
    <col min="37" max="37" width="10.5703125" bestFit="1" customWidth="1"/>
    <col min="43" max="43" width="14.42578125" customWidth="1"/>
    <col min="44" max="44" width="20.28515625" customWidth="1"/>
    <col min="45" max="45" width="16.5703125" customWidth="1"/>
    <col min="46" max="46" width="19.85546875" customWidth="1"/>
    <col min="47" max="47" width="11.7109375" customWidth="1"/>
    <col min="48" max="48" width="12" customWidth="1"/>
    <col min="49" max="49" width="12.140625" customWidth="1"/>
    <col min="50" max="50" width="16.7109375" customWidth="1"/>
    <col min="51" max="51" width="13.85546875" customWidth="1"/>
    <col min="52" max="52" width="21.140625" customWidth="1"/>
    <col min="53" max="53" width="13.140625" customWidth="1"/>
    <col min="54" max="54" width="18.42578125" customWidth="1"/>
    <col min="55" max="55" width="11.28515625" customWidth="1"/>
    <col min="56" max="56" width="16.140625" customWidth="1"/>
    <col min="57" max="57" width="12.42578125" customWidth="1"/>
    <col min="59" max="59" width="12.28515625" customWidth="1"/>
    <col min="60" max="60" width="13.85546875" customWidth="1"/>
    <col min="61" max="61" width="17" customWidth="1"/>
    <col min="62" max="62" width="14.7109375" customWidth="1"/>
  </cols>
  <sheetData>
    <row r="1" spans="1:70" s="83" customFormat="1">
      <c r="A1" s="83" t="s">
        <v>941</v>
      </c>
      <c r="B1" s="83" t="s">
        <v>940</v>
      </c>
    </row>
    <row r="2" spans="1:70" s="83" customFormat="1"/>
    <row r="3" spans="1:70">
      <c r="A3" s="83" t="s">
        <v>939</v>
      </c>
      <c r="B3" t="s">
        <v>938</v>
      </c>
      <c r="C3">
        <v>1</v>
      </c>
      <c r="D3">
        <v>2</v>
      </c>
    </row>
    <row r="4" spans="1:70">
      <c r="A4" s="83" t="s">
        <v>7</v>
      </c>
      <c r="B4" t="s">
        <v>77</v>
      </c>
      <c r="C4" t="s">
        <v>85</v>
      </c>
      <c r="D4" t="s">
        <v>79</v>
      </c>
      <c r="E4" t="s">
        <v>76</v>
      </c>
      <c r="F4" t="s">
        <v>131</v>
      </c>
      <c r="G4" t="s">
        <v>134</v>
      </c>
      <c r="H4" t="s">
        <v>129</v>
      </c>
      <c r="I4" t="s">
        <v>133</v>
      </c>
      <c r="J4" t="s">
        <v>92</v>
      </c>
      <c r="K4" t="s">
        <v>127</v>
      </c>
    </row>
    <row r="5" spans="1:70">
      <c r="A5" s="83" t="s">
        <v>937</v>
      </c>
      <c r="B5" t="s">
        <v>77</v>
      </c>
      <c r="C5" t="s">
        <v>85</v>
      </c>
      <c r="D5" t="s">
        <v>79</v>
      </c>
      <c r="E5" t="s">
        <v>76</v>
      </c>
      <c r="F5" t="s">
        <v>664</v>
      </c>
      <c r="G5" t="s">
        <v>936</v>
      </c>
      <c r="H5" t="s">
        <v>935</v>
      </c>
      <c r="I5" t="s">
        <v>934</v>
      </c>
      <c r="J5" t="s">
        <v>933</v>
      </c>
      <c r="K5" t="s">
        <v>932</v>
      </c>
      <c r="L5" t="s">
        <v>931</v>
      </c>
      <c r="M5" t="s">
        <v>921</v>
      </c>
    </row>
    <row r="6" spans="1:70">
      <c r="A6" s="83" t="s">
        <v>930</v>
      </c>
      <c r="B6" t="s">
        <v>77</v>
      </c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</row>
    <row r="7" spans="1:70">
      <c r="A7" s="83" t="s">
        <v>929</v>
      </c>
      <c r="B7" t="s">
        <v>77</v>
      </c>
      <c r="C7" t="s">
        <v>796</v>
      </c>
      <c r="D7" t="s">
        <v>795</v>
      </c>
      <c r="E7" t="s">
        <v>92</v>
      </c>
      <c r="F7" t="s">
        <v>919</v>
      </c>
      <c r="G7" t="s">
        <v>918</v>
      </c>
      <c r="H7" t="s">
        <v>793</v>
      </c>
      <c r="I7" t="s">
        <v>47</v>
      </c>
      <c r="J7" t="s">
        <v>917</v>
      </c>
      <c r="K7" t="s">
        <v>928</v>
      </c>
      <c r="L7" t="s">
        <v>791</v>
      </c>
      <c r="M7" t="s">
        <v>916</v>
      </c>
      <c r="N7" t="s">
        <v>927</v>
      </c>
      <c r="O7" t="s">
        <v>926</v>
      </c>
      <c r="P7" t="s">
        <v>925</v>
      </c>
      <c r="Q7" t="s">
        <v>914</v>
      </c>
      <c r="R7" t="s">
        <v>913</v>
      </c>
      <c r="S7" t="s">
        <v>790</v>
      </c>
      <c r="T7" t="s">
        <v>789</v>
      </c>
      <c r="U7" t="s">
        <v>788</v>
      </c>
      <c r="V7" t="s">
        <v>787</v>
      </c>
      <c r="W7" t="s">
        <v>786</v>
      </c>
      <c r="X7" t="s">
        <v>912</v>
      </c>
      <c r="Y7" t="s">
        <v>785</v>
      </c>
      <c r="Z7" t="s">
        <v>911</v>
      </c>
      <c r="AA7" t="s">
        <v>910</v>
      </c>
      <c r="AB7" t="s">
        <v>909</v>
      </c>
      <c r="AC7" t="s">
        <v>924</v>
      </c>
      <c r="AD7" t="s">
        <v>923</v>
      </c>
      <c r="AE7" t="s">
        <v>784</v>
      </c>
      <c r="AF7" t="s">
        <v>783</v>
      </c>
      <c r="AG7" t="s">
        <v>908</v>
      </c>
      <c r="AH7" t="s">
        <v>782</v>
      </c>
      <c r="AI7" t="s">
        <v>907</v>
      </c>
      <c r="AJ7" t="s">
        <v>781</v>
      </c>
      <c r="AK7" t="s">
        <v>906</v>
      </c>
      <c r="AL7" t="s">
        <v>905</v>
      </c>
      <c r="AM7" t="s">
        <v>979</v>
      </c>
      <c r="AN7" t="s">
        <v>915</v>
      </c>
      <c r="AO7" t="s">
        <v>922</v>
      </c>
      <c r="AP7" t="s">
        <v>921</v>
      </c>
      <c r="AQ7" t="s">
        <v>920</v>
      </c>
      <c r="AR7" t="s">
        <v>965</v>
      </c>
      <c r="AS7" t="s">
        <v>964</v>
      </c>
      <c r="AT7" t="s">
        <v>963</v>
      </c>
      <c r="AU7" t="s">
        <v>962</v>
      </c>
      <c r="AV7" t="s">
        <v>961</v>
      </c>
      <c r="AW7" t="s">
        <v>960</v>
      </c>
      <c r="AX7" t="s">
        <v>959</v>
      </c>
      <c r="AY7" t="s">
        <v>958</v>
      </c>
      <c r="AZ7" t="s">
        <v>957</v>
      </c>
      <c r="BA7" t="s">
        <v>956</v>
      </c>
      <c r="BB7" t="s">
        <v>955</v>
      </c>
      <c r="BC7" t="s">
        <v>954</v>
      </c>
      <c r="BD7" t="s">
        <v>953</v>
      </c>
      <c r="BE7" t="s">
        <v>952</v>
      </c>
      <c r="BF7" t="s">
        <v>978</v>
      </c>
      <c r="BG7" t="s">
        <v>977</v>
      </c>
      <c r="BH7" t="s">
        <v>976</v>
      </c>
      <c r="BI7" t="s">
        <v>975</v>
      </c>
      <c r="BJ7" t="s">
        <v>949</v>
      </c>
      <c r="BK7" t="s">
        <v>948</v>
      </c>
      <c r="BL7" t="s">
        <v>951</v>
      </c>
      <c r="BM7" t="s">
        <v>947</v>
      </c>
      <c r="BN7" t="s">
        <v>946</v>
      </c>
      <c r="BO7" t="s">
        <v>945</v>
      </c>
      <c r="BP7" t="s">
        <v>999</v>
      </c>
      <c r="BQ7" t="s">
        <v>1004</v>
      </c>
      <c r="BR7" t="s">
        <v>1006</v>
      </c>
    </row>
    <row r="8" spans="1:70">
      <c r="A8" s="83" t="s">
        <v>904</v>
      </c>
      <c r="B8" t="s">
        <v>77</v>
      </c>
      <c r="C8" t="s">
        <v>129</v>
      </c>
      <c r="D8" t="s">
        <v>903</v>
      </c>
      <c r="E8" t="s">
        <v>902</v>
      </c>
      <c r="F8" t="s">
        <v>131</v>
      </c>
      <c r="G8" t="s">
        <v>901</v>
      </c>
      <c r="H8" t="s">
        <v>900</v>
      </c>
      <c r="I8" t="s">
        <v>899</v>
      </c>
      <c r="J8" t="s">
        <v>898</v>
      </c>
      <c r="K8" t="s">
        <v>897</v>
      </c>
      <c r="L8" t="s">
        <v>896</v>
      </c>
      <c r="M8" t="s">
        <v>895</v>
      </c>
      <c r="N8" t="s">
        <v>894</v>
      </c>
      <c r="O8" t="s">
        <v>893</v>
      </c>
      <c r="P8" t="s">
        <v>892</v>
      </c>
    </row>
    <row r="9" spans="1:70">
      <c r="A9" s="83" t="s">
        <v>891</v>
      </c>
      <c r="B9" t="s">
        <v>77</v>
      </c>
      <c r="C9" t="s">
        <v>890</v>
      </c>
      <c r="D9" t="s">
        <v>889</v>
      </c>
      <c r="E9" t="s">
        <v>888</v>
      </c>
      <c r="F9" t="s">
        <v>887</v>
      </c>
    </row>
    <row r="10" spans="1:70">
      <c r="A10" s="83" t="s">
        <v>886</v>
      </c>
      <c r="B10" t="s">
        <v>77</v>
      </c>
      <c r="C10" t="s">
        <v>885</v>
      </c>
      <c r="D10" t="s">
        <v>884</v>
      </c>
      <c r="E10" t="s">
        <v>883</v>
      </c>
      <c r="F10" t="s">
        <v>1010</v>
      </c>
    </row>
    <row r="11" spans="1:70">
      <c r="A11" s="83" t="s">
        <v>1015</v>
      </c>
      <c r="B11" t="s">
        <v>77</v>
      </c>
      <c r="C11" t="s">
        <v>1014</v>
      </c>
    </row>
    <row r="12" spans="1:70">
      <c r="A12" s="83" t="s">
        <v>882</v>
      </c>
      <c r="B12" t="s">
        <v>77</v>
      </c>
      <c r="C12" t="s">
        <v>881</v>
      </c>
    </row>
    <row r="13" spans="1:70">
      <c r="A13" s="83" t="s">
        <v>880</v>
      </c>
      <c r="B13" t="s">
        <v>651</v>
      </c>
      <c r="C13" t="s">
        <v>879</v>
      </c>
      <c r="D13" t="s">
        <v>878</v>
      </c>
      <c r="E13" t="s">
        <v>877</v>
      </c>
      <c r="F13" t="s">
        <v>32</v>
      </c>
      <c r="G13" t="s">
        <v>644</v>
      </c>
      <c r="H13" t="s">
        <v>662</v>
      </c>
      <c r="I13" t="s">
        <v>876</v>
      </c>
      <c r="J13" t="s">
        <v>875</v>
      </c>
      <c r="K13" t="s">
        <v>665</v>
      </c>
      <c r="L13" t="s">
        <v>664</v>
      </c>
      <c r="M13" t="s">
        <v>874</v>
      </c>
      <c r="N13" t="s">
        <v>873</v>
      </c>
      <c r="O13" t="s">
        <v>872</v>
      </c>
    </row>
    <row r="14" spans="1:70">
      <c r="A14" s="83" t="s">
        <v>871</v>
      </c>
      <c r="B14" t="s">
        <v>273</v>
      </c>
      <c r="C14" t="s">
        <v>272</v>
      </c>
    </row>
    <row r="15" spans="1:70">
      <c r="A15" s="83" t="s">
        <v>19</v>
      </c>
      <c r="B15" t="s">
        <v>77</v>
      </c>
      <c r="C15" t="s">
        <v>86</v>
      </c>
      <c r="D15" t="s">
        <v>98</v>
      </c>
      <c r="E15" t="s">
        <v>94</v>
      </c>
      <c r="F15" t="s">
        <v>117</v>
      </c>
      <c r="G15" t="s">
        <v>121</v>
      </c>
      <c r="H15" t="s">
        <v>125</v>
      </c>
      <c r="I15" t="s">
        <v>112</v>
      </c>
      <c r="J15" t="s">
        <v>80</v>
      </c>
      <c r="K15" t="s">
        <v>126</v>
      </c>
      <c r="L15" t="s">
        <v>664</v>
      </c>
    </row>
    <row r="16" spans="1:70">
      <c r="A16" s="83" t="s">
        <v>2</v>
      </c>
      <c r="B16" t="s">
        <v>75</v>
      </c>
      <c r="C16" t="s">
        <v>47</v>
      </c>
      <c r="D16" t="s">
        <v>170</v>
      </c>
      <c r="E16" t="s">
        <v>870</v>
      </c>
      <c r="F16" t="s">
        <v>869</v>
      </c>
      <c r="G16" t="s">
        <v>657</v>
      </c>
    </row>
    <row r="17" spans="1:203">
      <c r="A17" s="83" t="s">
        <v>868</v>
      </c>
      <c r="B17" t="s">
        <v>77</v>
      </c>
      <c r="C17" t="s">
        <v>867</v>
      </c>
      <c r="D17" t="s">
        <v>866</v>
      </c>
      <c r="E17" t="s">
        <v>848</v>
      </c>
      <c r="F17" t="s">
        <v>865</v>
      </c>
      <c r="G17" t="s">
        <v>864</v>
      </c>
      <c r="H17" t="s">
        <v>863</v>
      </c>
    </row>
    <row r="18" spans="1:203">
      <c r="A18" s="83" t="s">
        <v>862</v>
      </c>
      <c r="B18" t="s">
        <v>77</v>
      </c>
      <c r="C18" t="s">
        <v>131</v>
      </c>
      <c r="D18" t="s">
        <v>129</v>
      </c>
      <c r="E18" t="s">
        <v>133</v>
      </c>
      <c r="F18" t="s">
        <v>134</v>
      </c>
      <c r="G18" t="s">
        <v>861</v>
      </c>
    </row>
    <row r="19" spans="1:203">
      <c r="A19" s="83" t="s">
        <v>860</v>
      </c>
      <c r="B19" t="s">
        <v>77</v>
      </c>
      <c r="C19" t="s">
        <v>859</v>
      </c>
      <c r="D19" t="s">
        <v>858</v>
      </c>
      <c r="E19" t="s">
        <v>857</v>
      </c>
      <c r="F19" t="s">
        <v>856</v>
      </c>
      <c r="G19" t="s">
        <v>855</v>
      </c>
    </row>
    <row r="20" spans="1:203">
      <c r="A20" s="83" t="s">
        <v>854</v>
      </c>
      <c r="B20" t="s">
        <v>77</v>
      </c>
      <c r="C20" t="s">
        <v>853</v>
      </c>
      <c r="D20" t="s">
        <v>852</v>
      </c>
      <c r="E20" t="s">
        <v>851</v>
      </c>
      <c r="F20" t="s">
        <v>850</v>
      </c>
      <c r="G20" t="s">
        <v>75</v>
      </c>
      <c r="H20" t="s">
        <v>849</v>
      </c>
      <c r="I20" t="s">
        <v>848</v>
      </c>
      <c r="J20" t="s">
        <v>847</v>
      </c>
      <c r="K20" t="s">
        <v>846</v>
      </c>
      <c r="L20" t="s">
        <v>845</v>
      </c>
      <c r="M20" t="s">
        <v>844</v>
      </c>
      <c r="N20" t="s">
        <v>843</v>
      </c>
      <c r="O20" t="s">
        <v>842</v>
      </c>
      <c r="P20" t="s">
        <v>989</v>
      </c>
      <c r="Q20" t="s">
        <v>1009</v>
      </c>
    </row>
    <row r="21" spans="1:203">
      <c r="A21" s="83" t="s">
        <v>3</v>
      </c>
      <c r="B21">
        <v>1</v>
      </c>
    </row>
    <row r="22" spans="1:203">
      <c r="A22" s="83" t="s">
        <v>841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>
        <v>10</v>
      </c>
      <c r="M22">
        <v>11</v>
      </c>
      <c r="N22">
        <v>12</v>
      </c>
      <c r="O22">
        <v>13</v>
      </c>
      <c r="P22">
        <v>14</v>
      </c>
      <c r="Q22">
        <v>15</v>
      </c>
      <c r="R22">
        <v>16</v>
      </c>
      <c r="S22">
        <v>17</v>
      </c>
      <c r="T22">
        <v>18</v>
      </c>
      <c r="U22">
        <v>19</v>
      </c>
      <c r="V22">
        <v>20</v>
      </c>
    </row>
    <row r="23" spans="1:203">
      <c r="A23" s="83" t="s">
        <v>840</v>
      </c>
      <c r="B23" t="s">
        <v>77</v>
      </c>
      <c r="C23">
        <v>-10</v>
      </c>
      <c r="D23">
        <v>-9.9</v>
      </c>
      <c r="E23">
        <v>-9.8000000000000007</v>
      </c>
      <c r="F23">
        <v>-9.6999999999999993</v>
      </c>
      <c r="G23">
        <v>-9.6</v>
      </c>
      <c r="H23">
        <v>-9.5</v>
      </c>
      <c r="I23">
        <v>-9.4</v>
      </c>
      <c r="J23">
        <v>-9.3000000000000007</v>
      </c>
      <c r="K23">
        <v>-9.1999999999999993</v>
      </c>
      <c r="L23">
        <v>-9.1</v>
      </c>
      <c r="M23">
        <v>-9</v>
      </c>
      <c r="N23">
        <v>-8.9</v>
      </c>
      <c r="O23">
        <v>-8.8000000000000007</v>
      </c>
      <c r="P23">
        <v>-8.6999999999999993</v>
      </c>
      <c r="Q23">
        <v>-8.6</v>
      </c>
      <c r="R23">
        <v>-8.5000000000000107</v>
      </c>
      <c r="S23">
        <v>-8.4000000000000092</v>
      </c>
      <c r="T23">
        <v>-8.3000000000000096</v>
      </c>
      <c r="U23">
        <v>-8.2000000000000099</v>
      </c>
      <c r="V23">
        <v>-8.1000000000000103</v>
      </c>
      <c r="W23">
        <v>-8.0000000000000107</v>
      </c>
      <c r="X23">
        <v>-7.9000000000000101</v>
      </c>
      <c r="Y23">
        <v>-7.8000000000000096</v>
      </c>
      <c r="Z23">
        <v>-7.7000000000000099</v>
      </c>
      <c r="AA23">
        <v>-7.6000000000000103</v>
      </c>
      <c r="AB23">
        <v>-7.5000000000000098</v>
      </c>
      <c r="AC23">
        <v>-7.4000000000000101</v>
      </c>
      <c r="AD23">
        <v>-7.3000000000000096</v>
      </c>
      <c r="AE23">
        <v>-7.2000000000000099</v>
      </c>
      <c r="AF23">
        <v>-7.1000000000000103</v>
      </c>
      <c r="AG23">
        <v>-7.0000000000000098</v>
      </c>
      <c r="AH23">
        <v>-6.9000000000000101</v>
      </c>
      <c r="AI23">
        <v>-6.8000000000000096</v>
      </c>
      <c r="AJ23">
        <v>-6.7000000000000099</v>
      </c>
      <c r="AK23">
        <v>-6.6000000000000103</v>
      </c>
      <c r="AL23">
        <v>-6.5000000000000098</v>
      </c>
      <c r="AM23">
        <v>-6.4000000000000101</v>
      </c>
      <c r="AN23">
        <v>-6.3000000000000096</v>
      </c>
      <c r="AO23">
        <v>-6.2000000000000099</v>
      </c>
      <c r="AP23">
        <v>-6.1000000000000103</v>
      </c>
      <c r="AQ23">
        <v>-6.0000000000000098</v>
      </c>
      <c r="AR23">
        <v>-5.9000000000000101</v>
      </c>
      <c r="AS23">
        <v>-5.8000000000000096</v>
      </c>
      <c r="AT23">
        <v>-5.7000000000000197</v>
      </c>
      <c r="AU23">
        <v>-5.6000000000000201</v>
      </c>
      <c r="AV23">
        <v>-5.5000000000000204</v>
      </c>
      <c r="AW23">
        <v>-5.4000000000000199</v>
      </c>
      <c r="AX23">
        <v>-5.3000000000000203</v>
      </c>
      <c r="AY23">
        <v>-5.2000000000000197</v>
      </c>
      <c r="AZ23">
        <v>-5.1000000000000201</v>
      </c>
      <c r="BA23">
        <v>-5.0000000000000204</v>
      </c>
      <c r="BB23">
        <v>-4.9000000000000199</v>
      </c>
      <c r="BC23">
        <v>-4.8000000000000203</v>
      </c>
      <c r="BD23">
        <v>-4.7000000000000197</v>
      </c>
      <c r="BE23">
        <v>-4.6000000000000201</v>
      </c>
      <c r="BF23">
        <v>-4.5000000000000204</v>
      </c>
      <c r="BG23">
        <v>-4.4000000000000199</v>
      </c>
      <c r="BH23">
        <v>-4.3000000000000203</v>
      </c>
      <c r="BI23">
        <v>-4.2000000000000197</v>
      </c>
      <c r="BJ23">
        <v>-4.1000000000000201</v>
      </c>
      <c r="BK23">
        <v>-4.0000000000000204</v>
      </c>
      <c r="BL23">
        <v>-3.9000000000000199</v>
      </c>
      <c r="BM23">
        <v>-3.8000000000000198</v>
      </c>
      <c r="BN23">
        <v>-3.7000000000000202</v>
      </c>
      <c r="BO23">
        <v>-3.6000000000000201</v>
      </c>
      <c r="BP23">
        <v>-3.50000000000002</v>
      </c>
      <c r="BQ23">
        <v>-3.4000000000000199</v>
      </c>
      <c r="BR23">
        <v>-3.3000000000000198</v>
      </c>
      <c r="BS23">
        <v>-3.2000000000000202</v>
      </c>
      <c r="BT23">
        <v>-3.1000000000000201</v>
      </c>
      <c r="BU23">
        <v>-3.00000000000002</v>
      </c>
      <c r="BV23">
        <v>-2.9000000000000301</v>
      </c>
      <c r="BW23">
        <v>-2.80000000000003</v>
      </c>
      <c r="BX23">
        <v>-2.7000000000000299</v>
      </c>
      <c r="BY23">
        <v>-2.6000000000000298</v>
      </c>
      <c r="BZ23">
        <v>-2.5000000000000302</v>
      </c>
      <c r="CA23">
        <v>-2.4000000000000301</v>
      </c>
      <c r="CB23">
        <v>-2.30000000000003</v>
      </c>
      <c r="CC23">
        <v>-2.2000000000000299</v>
      </c>
      <c r="CD23">
        <v>-2.1000000000000298</v>
      </c>
      <c r="CE23">
        <v>-2.0000000000000302</v>
      </c>
      <c r="CF23">
        <v>-1.9000000000000301</v>
      </c>
      <c r="CG23">
        <v>-1.80000000000003</v>
      </c>
      <c r="CH23">
        <v>-1.7000000000000299</v>
      </c>
      <c r="CI23">
        <v>-1.6000000000000301</v>
      </c>
      <c r="CJ23">
        <v>-1.50000000000003</v>
      </c>
      <c r="CK23">
        <v>-1.4000000000000301</v>
      </c>
      <c r="CL23">
        <v>-1.30000000000003</v>
      </c>
      <c r="CM23">
        <v>-1.2000000000000299</v>
      </c>
      <c r="CN23">
        <v>-1.1000000000000301</v>
      </c>
      <c r="CO23">
        <v>-1.00000000000003</v>
      </c>
      <c r="CP23">
        <v>-0.900000000000031</v>
      </c>
      <c r="CQ23">
        <v>-0.80000000000002902</v>
      </c>
      <c r="CR23">
        <v>-0.70000000000002904</v>
      </c>
      <c r="CS23">
        <v>-0.60000000000002995</v>
      </c>
      <c r="CT23">
        <v>-0.50000000000002998</v>
      </c>
      <c r="CU23">
        <v>-0.400000000000031</v>
      </c>
      <c r="CV23">
        <v>-0.30000000000002902</v>
      </c>
      <c r="CW23">
        <v>-0.20000000000002899</v>
      </c>
      <c r="CX23">
        <v>-0.100000000000041</v>
      </c>
      <c r="CY23">
        <v>0</v>
      </c>
      <c r="CZ23">
        <v>9.9999999999999603E-2</v>
      </c>
      <c r="DA23">
        <v>0.19999999999999901</v>
      </c>
      <c r="DB23">
        <v>0.30000000000000099</v>
      </c>
      <c r="DC23">
        <v>0.4</v>
      </c>
      <c r="DD23">
        <v>0.5</v>
      </c>
      <c r="DE23">
        <v>0.6</v>
      </c>
      <c r="DF23">
        <v>0.69999999999999896</v>
      </c>
      <c r="DG23">
        <v>0.80000000000000104</v>
      </c>
      <c r="DH23">
        <v>0.9</v>
      </c>
      <c r="DI23">
        <v>1</v>
      </c>
      <c r="DJ23">
        <v>1.1000000000000001</v>
      </c>
      <c r="DK23">
        <v>1.2</v>
      </c>
      <c r="DL23">
        <v>1.3</v>
      </c>
      <c r="DM23">
        <v>1.4</v>
      </c>
      <c r="DN23">
        <v>1.5</v>
      </c>
      <c r="DO23">
        <v>1.6</v>
      </c>
      <c r="DP23">
        <v>1.7</v>
      </c>
      <c r="DQ23">
        <v>1.8</v>
      </c>
      <c r="DR23">
        <v>1.9</v>
      </c>
      <c r="DS23">
        <v>2</v>
      </c>
      <c r="DT23">
        <v>2.1</v>
      </c>
      <c r="DU23">
        <v>2.2000000000000002</v>
      </c>
      <c r="DV23">
        <v>2.2999999999999998</v>
      </c>
      <c r="DW23">
        <v>2.4</v>
      </c>
      <c r="DX23">
        <v>2.5</v>
      </c>
      <c r="DY23">
        <v>2.6</v>
      </c>
      <c r="DZ23">
        <v>2.7</v>
      </c>
      <c r="EA23">
        <v>2.8</v>
      </c>
      <c r="EB23">
        <v>2.9</v>
      </c>
      <c r="EC23">
        <v>3</v>
      </c>
      <c r="ED23">
        <v>3.1</v>
      </c>
      <c r="EE23">
        <v>3.2</v>
      </c>
      <c r="EF23">
        <v>3.3</v>
      </c>
      <c r="EG23">
        <v>3.4</v>
      </c>
      <c r="EH23">
        <v>3.5</v>
      </c>
      <c r="EI23">
        <v>3.6</v>
      </c>
      <c r="EJ23">
        <v>3.7</v>
      </c>
      <c r="EK23">
        <v>3.8</v>
      </c>
      <c r="EL23">
        <v>3.9</v>
      </c>
      <c r="EM23">
        <v>4</v>
      </c>
      <c r="EN23">
        <v>4.0999999999999002</v>
      </c>
      <c r="EO23">
        <v>4.1999999999998998</v>
      </c>
      <c r="EP23">
        <v>4.2999999999999003</v>
      </c>
      <c r="EQ23">
        <v>4.3999999999999</v>
      </c>
      <c r="ER23">
        <v>4.4999999999998996</v>
      </c>
      <c r="ES23">
        <v>4.5999999999999002</v>
      </c>
      <c r="ET23">
        <v>4.6999999999998998</v>
      </c>
      <c r="EU23">
        <v>4.7999999999999003</v>
      </c>
      <c r="EV23">
        <v>4.8999999999999</v>
      </c>
      <c r="EW23">
        <v>4.9999999999998996</v>
      </c>
      <c r="EX23">
        <v>5.0999999999999002</v>
      </c>
      <c r="EY23">
        <v>5.1999999999998998</v>
      </c>
      <c r="EZ23">
        <v>5.2999999999999003</v>
      </c>
      <c r="FA23">
        <v>5.3999999999999</v>
      </c>
      <c r="FB23">
        <v>5.4999999999998996</v>
      </c>
      <c r="FC23">
        <v>5.5999999999999002</v>
      </c>
      <c r="FD23">
        <v>5.6999999999998998</v>
      </c>
      <c r="FE23">
        <v>5.7999999999999003</v>
      </c>
      <c r="FF23">
        <v>5.8999999999999</v>
      </c>
      <c r="FG23">
        <v>5.9999999999998996</v>
      </c>
      <c r="FH23">
        <v>6.0999999999999002</v>
      </c>
      <c r="FI23">
        <v>6.1999999999998998</v>
      </c>
      <c r="FJ23">
        <v>6.2999999999999003</v>
      </c>
      <c r="FK23">
        <v>6.3999999999999</v>
      </c>
      <c r="FL23">
        <v>6.4999999999998996</v>
      </c>
      <c r="FM23">
        <v>6.5999999999999002</v>
      </c>
      <c r="FN23">
        <v>6.6999999999998998</v>
      </c>
      <c r="FO23">
        <v>6.7999999999999003</v>
      </c>
      <c r="FP23">
        <v>6.8999999999999</v>
      </c>
      <c r="FQ23">
        <v>6.9999999999998996</v>
      </c>
      <c r="FR23">
        <v>7.0999999999999002</v>
      </c>
      <c r="FS23">
        <v>7.1999999999998998</v>
      </c>
      <c r="FT23">
        <v>7.2999999999999003</v>
      </c>
      <c r="FU23">
        <v>7.3999999999999</v>
      </c>
      <c r="FV23">
        <v>7.4999999999998996</v>
      </c>
      <c r="FW23">
        <v>7.5999999999999002</v>
      </c>
      <c r="FX23">
        <v>7.6999999999998998</v>
      </c>
      <c r="FY23">
        <v>7.7999999999999003</v>
      </c>
      <c r="FZ23">
        <v>7.8999999999999</v>
      </c>
      <c r="GA23">
        <v>7.9999999999998996</v>
      </c>
      <c r="GB23">
        <v>8.0999999999999002</v>
      </c>
      <c r="GC23">
        <v>8.1999999999998998</v>
      </c>
      <c r="GD23">
        <v>8.2999999999998995</v>
      </c>
      <c r="GE23">
        <v>8.3999999999999009</v>
      </c>
      <c r="GF23">
        <v>8.4999999999999005</v>
      </c>
      <c r="GG23">
        <v>8.5999999999999002</v>
      </c>
      <c r="GH23">
        <v>8.6999999999998998</v>
      </c>
      <c r="GI23">
        <v>8.7999999999998995</v>
      </c>
      <c r="GJ23">
        <v>8.8999999999999009</v>
      </c>
      <c r="GK23">
        <v>8.9999999999999005</v>
      </c>
      <c r="GL23">
        <v>9.0999999999999002</v>
      </c>
      <c r="GM23">
        <v>9.1999999999998998</v>
      </c>
      <c r="GN23">
        <v>9.2999999999998995</v>
      </c>
      <c r="GO23">
        <v>9.3999999999999009</v>
      </c>
      <c r="GP23">
        <v>9.4999999999999005</v>
      </c>
      <c r="GQ23">
        <v>9.5999999999999002</v>
      </c>
      <c r="GR23">
        <v>9.6999999999998998</v>
      </c>
      <c r="GS23">
        <v>9.7999999999998995</v>
      </c>
      <c r="GT23">
        <v>9.8999999999999009</v>
      </c>
      <c r="GU23">
        <v>9.9999999999999005</v>
      </c>
    </row>
    <row r="24" spans="1:203">
      <c r="A24" s="83" t="s">
        <v>839</v>
      </c>
      <c r="B24" t="s">
        <v>77</v>
      </c>
      <c r="C24">
        <v>-10</v>
      </c>
      <c r="D24">
        <v>-9</v>
      </c>
      <c r="E24">
        <v>-8</v>
      </c>
      <c r="F24">
        <v>-7</v>
      </c>
      <c r="G24">
        <v>-6</v>
      </c>
      <c r="H24">
        <v>-5</v>
      </c>
      <c r="I24">
        <v>-4</v>
      </c>
      <c r="J24">
        <v>-3</v>
      </c>
      <c r="K24">
        <v>-2</v>
      </c>
      <c r="L24">
        <v>-1</v>
      </c>
      <c r="M24">
        <v>0</v>
      </c>
      <c r="N24">
        <v>1</v>
      </c>
      <c r="O24">
        <v>2</v>
      </c>
      <c r="P24">
        <v>3</v>
      </c>
      <c r="Q24">
        <v>4</v>
      </c>
      <c r="R24">
        <v>5</v>
      </c>
      <c r="S24">
        <v>6</v>
      </c>
      <c r="T24">
        <v>7</v>
      </c>
      <c r="U24">
        <v>8</v>
      </c>
      <c r="V24">
        <v>9</v>
      </c>
      <c r="W24">
        <v>10</v>
      </c>
    </row>
    <row r="25" spans="1:203">
      <c r="A25" s="83" t="s">
        <v>838</v>
      </c>
      <c r="B25" t="s">
        <v>77</v>
      </c>
      <c r="C25">
        <v>1</v>
      </c>
      <c r="D25">
        <v>2</v>
      </c>
      <c r="E25">
        <v>3</v>
      </c>
      <c r="F25">
        <v>4</v>
      </c>
      <c r="G25">
        <v>5</v>
      </c>
      <c r="H25">
        <v>6</v>
      </c>
      <c r="I25">
        <v>7</v>
      </c>
      <c r="J25">
        <v>8</v>
      </c>
      <c r="K25">
        <v>9</v>
      </c>
      <c r="L25">
        <v>10</v>
      </c>
      <c r="M25">
        <v>11</v>
      </c>
      <c r="N25">
        <v>12</v>
      </c>
      <c r="O25">
        <v>13</v>
      </c>
      <c r="P25">
        <v>14</v>
      </c>
      <c r="Q25">
        <v>15</v>
      </c>
      <c r="R25">
        <v>16</v>
      </c>
      <c r="S25">
        <v>17</v>
      </c>
      <c r="T25">
        <v>18</v>
      </c>
      <c r="U25">
        <v>19</v>
      </c>
      <c r="V25">
        <v>20</v>
      </c>
      <c r="W25">
        <v>21</v>
      </c>
      <c r="X25">
        <v>22</v>
      </c>
      <c r="Y25">
        <v>23</v>
      </c>
      <c r="Z25">
        <v>24</v>
      </c>
      <c r="AA25">
        <v>25</v>
      </c>
      <c r="AB25">
        <v>26</v>
      </c>
      <c r="AC25">
        <v>27</v>
      </c>
      <c r="AD25">
        <v>28</v>
      </c>
      <c r="AE25">
        <v>29</v>
      </c>
      <c r="AF25">
        <v>30</v>
      </c>
      <c r="AG25">
        <v>31</v>
      </c>
      <c r="AH25">
        <v>32</v>
      </c>
      <c r="AI25">
        <v>33</v>
      </c>
      <c r="AJ25">
        <v>34</v>
      </c>
      <c r="AK25">
        <v>35</v>
      </c>
      <c r="AL25">
        <v>36</v>
      </c>
      <c r="AM25">
        <v>37</v>
      </c>
      <c r="AN25">
        <v>38</v>
      </c>
      <c r="AO25">
        <v>39</v>
      </c>
      <c r="AP25">
        <v>40</v>
      </c>
      <c r="AQ25">
        <v>41</v>
      </c>
      <c r="AR25">
        <v>42</v>
      </c>
      <c r="AS25">
        <v>43</v>
      </c>
      <c r="AT25">
        <v>44</v>
      </c>
      <c r="AU25">
        <v>45</v>
      </c>
      <c r="AV25">
        <v>46</v>
      </c>
      <c r="AW25">
        <v>47</v>
      </c>
      <c r="AX25">
        <v>48</v>
      </c>
      <c r="AY25">
        <v>49</v>
      </c>
      <c r="AZ25">
        <v>50</v>
      </c>
      <c r="BA25">
        <v>51</v>
      </c>
      <c r="BB25">
        <v>52</v>
      </c>
      <c r="BC25">
        <v>53</v>
      </c>
      <c r="BD25">
        <v>54</v>
      </c>
      <c r="BE25">
        <v>55</v>
      </c>
      <c r="BF25">
        <v>56</v>
      </c>
      <c r="BG25">
        <v>57</v>
      </c>
      <c r="BH25">
        <v>58</v>
      </c>
      <c r="BI25">
        <v>59</v>
      </c>
      <c r="BJ25">
        <v>60</v>
      </c>
      <c r="BK25">
        <v>61</v>
      </c>
      <c r="BL25">
        <v>62</v>
      </c>
      <c r="BM25">
        <v>63</v>
      </c>
      <c r="BN25">
        <v>64</v>
      </c>
      <c r="BO25">
        <v>65</v>
      </c>
      <c r="BP25">
        <v>66</v>
      </c>
      <c r="BQ25">
        <v>67</v>
      </c>
      <c r="BR25">
        <v>68</v>
      </c>
      <c r="BS25">
        <v>69</v>
      </c>
      <c r="BT25">
        <v>70</v>
      </c>
      <c r="BU25">
        <v>71</v>
      </c>
      <c r="BV25">
        <v>72</v>
      </c>
      <c r="BW25">
        <v>73</v>
      </c>
      <c r="BX25">
        <v>74</v>
      </c>
      <c r="BY25">
        <v>75</v>
      </c>
      <c r="BZ25">
        <v>76</v>
      </c>
      <c r="CA25">
        <v>77</v>
      </c>
      <c r="CB25">
        <v>78</v>
      </c>
      <c r="CC25">
        <v>79</v>
      </c>
      <c r="CD25">
        <v>80</v>
      </c>
      <c r="CE25">
        <v>81</v>
      </c>
      <c r="CF25">
        <v>82</v>
      </c>
      <c r="CG25">
        <v>83</v>
      </c>
      <c r="CH25">
        <v>84</v>
      </c>
      <c r="CI25">
        <v>85</v>
      </c>
      <c r="CJ25">
        <v>86</v>
      </c>
      <c r="CK25">
        <v>87</v>
      </c>
      <c r="CL25">
        <v>88</v>
      </c>
      <c r="CM25">
        <v>89</v>
      </c>
      <c r="CN25">
        <v>90</v>
      </c>
      <c r="CO25">
        <v>91</v>
      </c>
      <c r="CP25">
        <v>92</v>
      </c>
      <c r="CQ25">
        <v>93</v>
      </c>
      <c r="CR25">
        <v>94</v>
      </c>
      <c r="CS25">
        <v>95</v>
      </c>
      <c r="CT25">
        <v>96</v>
      </c>
      <c r="CU25">
        <v>97</v>
      </c>
      <c r="CV25">
        <v>98</v>
      </c>
      <c r="CW25">
        <v>99</v>
      </c>
      <c r="CX25">
        <v>100</v>
      </c>
    </row>
    <row r="26" spans="1:203">
      <c r="A26" s="83" t="s">
        <v>837</v>
      </c>
      <c r="B26" t="s">
        <v>77</v>
      </c>
      <c r="C26">
        <v>0</v>
      </c>
      <c r="D26">
        <v>0.1</v>
      </c>
      <c r="E26">
        <v>0.2</v>
      </c>
      <c r="F26">
        <v>0.3</v>
      </c>
      <c r="G26">
        <v>0.4</v>
      </c>
      <c r="H26">
        <v>0.5</v>
      </c>
      <c r="I26">
        <v>0.6</v>
      </c>
      <c r="J26">
        <v>0.7</v>
      </c>
      <c r="K26">
        <v>0.8</v>
      </c>
      <c r="L26">
        <v>0.9</v>
      </c>
      <c r="M26">
        <v>1</v>
      </c>
      <c r="N26">
        <v>1.1000000000000001</v>
      </c>
      <c r="O26">
        <v>1.2</v>
      </c>
      <c r="P26">
        <v>1.3</v>
      </c>
      <c r="Q26">
        <v>1.4</v>
      </c>
      <c r="R26">
        <v>1.5</v>
      </c>
      <c r="S26">
        <v>1.6</v>
      </c>
      <c r="T26">
        <v>1.7</v>
      </c>
      <c r="U26">
        <v>1.8</v>
      </c>
      <c r="V26">
        <v>1.9</v>
      </c>
      <c r="W26">
        <v>2</v>
      </c>
      <c r="X26">
        <v>2.1</v>
      </c>
      <c r="Y26">
        <v>2.2000000000000002</v>
      </c>
      <c r="Z26">
        <v>2.2999999999999998</v>
      </c>
      <c r="AA26">
        <v>2.4</v>
      </c>
      <c r="AB26">
        <v>2.5</v>
      </c>
      <c r="AC26">
        <v>2.6</v>
      </c>
      <c r="AD26">
        <v>2.7</v>
      </c>
      <c r="AE26">
        <v>2.8</v>
      </c>
      <c r="AF26">
        <v>2.9</v>
      </c>
      <c r="AG26">
        <v>3</v>
      </c>
      <c r="AH26">
        <v>3.1</v>
      </c>
      <c r="AI26">
        <v>3.2</v>
      </c>
      <c r="AJ26">
        <v>3.3</v>
      </c>
      <c r="AK26">
        <v>3.4</v>
      </c>
      <c r="AL26">
        <v>3.5</v>
      </c>
      <c r="AM26">
        <v>3.6</v>
      </c>
      <c r="AN26">
        <v>3.7</v>
      </c>
      <c r="AO26">
        <v>3.8</v>
      </c>
      <c r="AP26">
        <v>3.9</v>
      </c>
      <c r="AQ26">
        <v>4</v>
      </c>
      <c r="AR26">
        <v>4.0999999999999996</v>
      </c>
      <c r="AS26">
        <v>4.2</v>
      </c>
      <c r="AT26">
        <v>4.3</v>
      </c>
      <c r="AU26">
        <v>4.4000000000000004</v>
      </c>
      <c r="AV26">
        <v>4.5</v>
      </c>
      <c r="AW26">
        <v>4.5999999999999996</v>
      </c>
      <c r="AX26">
        <v>4.7</v>
      </c>
      <c r="AY26">
        <v>4.8</v>
      </c>
      <c r="AZ26">
        <v>4.9000000000000004</v>
      </c>
      <c r="BA26">
        <v>5</v>
      </c>
      <c r="BB26">
        <v>5.0999999999999996</v>
      </c>
      <c r="BC26">
        <v>5.2</v>
      </c>
      <c r="BD26">
        <v>5.3</v>
      </c>
      <c r="BE26">
        <v>5.4</v>
      </c>
      <c r="BF26">
        <v>5.5</v>
      </c>
      <c r="BG26">
        <v>5.6</v>
      </c>
      <c r="BH26">
        <v>5.7</v>
      </c>
      <c r="BI26">
        <v>5.8</v>
      </c>
      <c r="BJ26">
        <v>5.9</v>
      </c>
      <c r="BK26">
        <v>6</v>
      </c>
      <c r="BL26">
        <v>6.1</v>
      </c>
      <c r="BM26">
        <v>6.2</v>
      </c>
      <c r="BN26">
        <v>6.3</v>
      </c>
      <c r="BO26">
        <v>6.4</v>
      </c>
      <c r="BP26">
        <v>6.5</v>
      </c>
      <c r="BQ26">
        <v>6.6</v>
      </c>
      <c r="BR26">
        <v>6.7</v>
      </c>
      <c r="BS26">
        <v>6.8</v>
      </c>
      <c r="BT26">
        <v>6.9</v>
      </c>
      <c r="BU26">
        <v>7</v>
      </c>
      <c r="BV26">
        <v>7.1</v>
      </c>
      <c r="BW26">
        <v>7.2</v>
      </c>
      <c r="BX26">
        <v>7.3</v>
      </c>
      <c r="BY26">
        <v>7.4</v>
      </c>
      <c r="BZ26">
        <v>7.5</v>
      </c>
      <c r="CA26">
        <v>7.6</v>
      </c>
      <c r="CB26">
        <v>7.7</v>
      </c>
      <c r="CC26">
        <v>7.8</v>
      </c>
      <c r="CD26">
        <v>7.9</v>
      </c>
      <c r="CE26">
        <v>8</v>
      </c>
      <c r="CF26">
        <v>8.1</v>
      </c>
      <c r="CG26">
        <v>8.1999999999999993</v>
      </c>
      <c r="CH26">
        <v>8.3000000000000007</v>
      </c>
      <c r="CI26">
        <v>8.4</v>
      </c>
      <c r="CJ26">
        <v>8.5</v>
      </c>
      <c r="CK26">
        <v>8.6</v>
      </c>
      <c r="CL26">
        <v>8.6999999999999993</v>
      </c>
      <c r="CM26">
        <v>8.8000000000000007</v>
      </c>
      <c r="CN26">
        <v>8.9</v>
      </c>
      <c r="CO26">
        <v>9</v>
      </c>
      <c r="CP26">
        <v>9.1</v>
      </c>
      <c r="CQ26">
        <v>9.1999999999999993</v>
      </c>
      <c r="CR26">
        <v>9.3000000000000007</v>
      </c>
      <c r="CS26">
        <v>9.4</v>
      </c>
      <c r="CT26">
        <v>9.5</v>
      </c>
      <c r="CU26">
        <v>9.6</v>
      </c>
      <c r="CV26">
        <v>9.6999999999999993</v>
      </c>
      <c r="CW26">
        <v>9.8000000000000007</v>
      </c>
      <c r="CX26">
        <v>9.9</v>
      </c>
      <c r="CY26">
        <v>10</v>
      </c>
    </row>
    <row r="27" spans="1:203">
      <c r="A27" s="83" t="s">
        <v>836</v>
      </c>
    </row>
    <row r="28" spans="1:203">
      <c r="A28" s="83" t="s">
        <v>835</v>
      </c>
    </row>
    <row r="29" spans="1:203">
      <c r="A29" s="83" t="s">
        <v>834</v>
      </c>
    </row>
    <row r="30" spans="1:203">
      <c r="A30" s="83" t="s">
        <v>833</v>
      </c>
    </row>
    <row r="31" spans="1:203">
      <c r="A31" s="83" t="s">
        <v>832</v>
      </c>
      <c r="B31" t="s">
        <v>77</v>
      </c>
      <c r="C31" t="s">
        <v>831</v>
      </c>
      <c r="D31" t="s">
        <v>830</v>
      </c>
      <c r="E31" t="s">
        <v>829</v>
      </c>
      <c r="F31" t="s">
        <v>828</v>
      </c>
      <c r="G31" t="s">
        <v>827</v>
      </c>
      <c r="H31" t="s">
        <v>826</v>
      </c>
      <c r="I31" t="s">
        <v>825</v>
      </c>
      <c r="J31" t="s">
        <v>824</v>
      </c>
      <c r="K31" t="s">
        <v>823</v>
      </c>
      <c r="L31" t="s">
        <v>822</v>
      </c>
      <c r="M31" t="s">
        <v>821</v>
      </c>
      <c r="N31" t="s">
        <v>820</v>
      </c>
      <c r="O31" t="s">
        <v>819</v>
      </c>
      <c r="P31" t="s">
        <v>818</v>
      </c>
      <c r="Q31" t="s">
        <v>817</v>
      </c>
      <c r="R31" t="s">
        <v>816</v>
      </c>
      <c r="S31" t="s">
        <v>815</v>
      </c>
      <c r="T31" t="s">
        <v>814</v>
      </c>
      <c r="U31" t="s">
        <v>813</v>
      </c>
      <c r="V31" t="s">
        <v>812</v>
      </c>
      <c r="W31" t="s">
        <v>811</v>
      </c>
      <c r="X31" t="s">
        <v>810</v>
      </c>
      <c r="Y31" t="s">
        <v>809</v>
      </c>
      <c r="Z31" t="s">
        <v>808</v>
      </c>
      <c r="AA31" t="s">
        <v>807</v>
      </c>
      <c r="AB31" t="s">
        <v>806</v>
      </c>
      <c r="AC31" t="s">
        <v>805</v>
      </c>
      <c r="AD31" t="s">
        <v>804</v>
      </c>
      <c r="AE31" t="s">
        <v>664</v>
      </c>
      <c r="AF31" t="s">
        <v>398</v>
      </c>
      <c r="AG31" t="s">
        <v>444</v>
      </c>
      <c r="AH31" t="s">
        <v>803</v>
      </c>
    </row>
    <row r="32" spans="1:203">
      <c r="A32" s="83" t="s">
        <v>802</v>
      </c>
    </row>
    <row r="33" spans="1:37">
      <c r="A33" s="83" t="s">
        <v>801</v>
      </c>
      <c r="B33" t="s">
        <v>77</v>
      </c>
      <c r="C33" t="s">
        <v>800</v>
      </c>
      <c r="D33" t="s">
        <v>799</v>
      </c>
      <c r="E33" t="s">
        <v>798</v>
      </c>
    </row>
    <row r="34" spans="1:37">
      <c r="A34" s="83" t="s">
        <v>5</v>
      </c>
    </row>
    <row r="35" spans="1:37">
      <c r="A35" s="83" t="s">
        <v>797</v>
      </c>
      <c r="B35" t="s">
        <v>77</v>
      </c>
      <c r="C35" t="s">
        <v>796</v>
      </c>
      <c r="D35" t="s">
        <v>795</v>
      </c>
      <c r="E35" t="s">
        <v>92</v>
      </c>
      <c r="F35" t="s">
        <v>794</v>
      </c>
      <c r="G35" t="s">
        <v>793</v>
      </c>
      <c r="H35" t="s">
        <v>792</v>
      </c>
      <c r="I35" t="s">
        <v>791</v>
      </c>
      <c r="J35" t="s">
        <v>47</v>
      </c>
      <c r="K35" t="s">
        <v>790</v>
      </c>
      <c r="L35" t="s">
        <v>789</v>
      </c>
      <c r="M35" t="s">
        <v>788</v>
      </c>
      <c r="N35" t="s">
        <v>787</v>
      </c>
      <c r="O35" t="s">
        <v>786</v>
      </c>
      <c r="P35" t="s">
        <v>785</v>
      </c>
      <c r="Q35" t="s">
        <v>784</v>
      </c>
      <c r="R35" t="s">
        <v>783</v>
      </c>
      <c r="S35" t="s">
        <v>782</v>
      </c>
      <c r="T35" t="s">
        <v>781</v>
      </c>
      <c r="U35" t="s">
        <v>950</v>
      </c>
      <c r="V35" t="s">
        <v>949</v>
      </c>
      <c r="W35" t="s">
        <v>948</v>
      </c>
      <c r="X35" t="s">
        <v>947</v>
      </c>
      <c r="Y35" t="s">
        <v>946</v>
      </c>
      <c r="Z35" t="s">
        <v>945</v>
      </c>
      <c r="AA35" t="s">
        <v>999</v>
      </c>
      <c r="AB35" t="s">
        <v>1004</v>
      </c>
      <c r="AC35" t="s">
        <v>1069</v>
      </c>
      <c r="AD35" t="s">
        <v>1068</v>
      </c>
      <c r="AE35" t="s">
        <v>1067</v>
      </c>
      <c r="AF35" t="s">
        <v>1066</v>
      </c>
    </row>
    <row r="36" spans="1:37">
      <c r="A36" s="83" t="s">
        <v>780</v>
      </c>
      <c r="B36" t="s">
        <v>779</v>
      </c>
      <c r="C36" t="s">
        <v>778</v>
      </c>
      <c r="D36" t="s">
        <v>777</v>
      </c>
      <c r="E36" t="s">
        <v>776</v>
      </c>
      <c r="F36" t="s">
        <v>649</v>
      </c>
      <c r="G36" t="s">
        <v>775</v>
      </c>
      <c r="H36" t="s">
        <v>774</v>
      </c>
      <c r="I36" t="s">
        <v>296</v>
      </c>
    </row>
    <row r="37" spans="1:37">
      <c r="A37" s="83" t="s">
        <v>773</v>
      </c>
      <c r="B37" t="s">
        <v>77</v>
      </c>
      <c r="C37" t="s">
        <v>772</v>
      </c>
      <c r="D37" t="s">
        <v>771</v>
      </c>
    </row>
    <row r="38" spans="1:37">
      <c r="A38" s="83" t="s">
        <v>770</v>
      </c>
      <c r="B38" t="s">
        <v>77</v>
      </c>
      <c r="C38" s="88" t="s">
        <v>769</v>
      </c>
      <c r="D38" t="s">
        <v>768</v>
      </c>
      <c r="E38" t="s">
        <v>767</v>
      </c>
      <c r="F38" t="s">
        <v>766</v>
      </c>
      <c r="G38" t="s">
        <v>643</v>
      </c>
    </row>
    <row r="39" spans="1:37">
      <c r="A39" s="83" t="s">
        <v>509</v>
      </c>
      <c r="B39" s="92" t="s">
        <v>77</v>
      </c>
      <c r="C39" s="88" t="s">
        <v>765</v>
      </c>
      <c r="D39" t="s">
        <v>30</v>
      </c>
      <c r="E39" t="s">
        <v>121</v>
      </c>
      <c r="F39" t="s">
        <v>764</v>
      </c>
      <c r="G39" t="s">
        <v>32</v>
      </c>
      <c r="H39" t="s">
        <v>763</v>
      </c>
      <c r="I39" t="s">
        <v>762</v>
      </c>
      <c r="J39" t="s">
        <v>761</v>
      </c>
      <c r="K39" t="s">
        <v>760</v>
      </c>
      <c r="L39" t="s">
        <v>508</v>
      </c>
      <c r="M39" t="s">
        <v>759</v>
      </c>
      <c r="N39" t="s">
        <v>758</v>
      </c>
      <c r="O39" t="s">
        <v>757</v>
      </c>
      <c r="P39" t="s">
        <v>756</v>
      </c>
      <c r="Q39" t="s">
        <v>755</v>
      </c>
      <c r="R39" t="s">
        <v>754</v>
      </c>
      <c r="S39" t="s">
        <v>753</v>
      </c>
    </row>
    <row r="40" spans="1:37">
      <c r="A40" s="83" t="s">
        <v>752</v>
      </c>
      <c r="B40" s="92" t="s">
        <v>77</v>
      </c>
      <c r="C40" s="88" t="s">
        <v>27</v>
      </c>
      <c r="D40" t="s">
        <v>28</v>
      </c>
      <c r="E40" t="s">
        <v>751</v>
      </c>
      <c r="F40" t="s">
        <v>29</v>
      </c>
      <c r="G40" t="s">
        <v>30</v>
      </c>
      <c r="H40" t="s">
        <v>31</v>
      </c>
      <c r="I40" t="s">
        <v>121</v>
      </c>
      <c r="J40" t="s">
        <v>125</v>
      </c>
      <c r="K40" t="s">
        <v>32</v>
      </c>
      <c r="L40" t="s">
        <v>33</v>
      </c>
      <c r="M40" t="s">
        <v>34</v>
      </c>
      <c r="N40" t="s">
        <v>35</v>
      </c>
      <c r="O40" t="s">
        <v>36</v>
      </c>
      <c r="P40" t="s">
        <v>37</v>
      </c>
      <c r="Q40" t="s">
        <v>38</v>
      </c>
      <c r="R40" t="s">
        <v>39</v>
      </c>
      <c r="S40" t="s">
        <v>40</v>
      </c>
      <c r="T40" t="s">
        <v>41</v>
      </c>
      <c r="U40" t="s">
        <v>42</v>
      </c>
      <c r="V40" t="s">
        <v>43</v>
      </c>
      <c r="W40" t="s">
        <v>750</v>
      </c>
      <c r="X40" t="s">
        <v>749</v>
      </c>
      <c r="Y40" t="s">
        <v>44</v>
      </c>
      <c r="Z40" t="s">
        <v>45</v>
      </c>
      <c r="AA40" t="s">
        <v>46</v>
      </c>
      <c r="AB40" t="s">
        <v>47</v>
      </c>
      <c r="AC40" t="s">
        <v>48</v>
      </c>
      <c r="AD40" t="s">
        <v>49</v>
      </c>
      <c r="AE40" t="s">
        <v>50</v>
      </c>
      <c r="AF40" t="s">
        <v>51</v>
      </c>
      <c r="AG40" t="s">
        <v>52</v>
      </c>
      <c r="AH40" t="s">
        <v>303</v>
      </c>
      <c r="AI40" t="s">
        <v>555</v>
      </c>
      <c r="AJ40" t="s">
        <v>126</v>
      </c>
      <c r="AK40" t="s">
        <v>608</v>
      </c>
    </row>
    <row r="41" spans="1:37">
      <c r="A41" s="83" t="s">
        <v>973</v>
      </c>
      <c r="B41" s="92" t="s">
        <v>77</v>
      </c>
      <c r="C41" s="92" t="s">
        <v>972</v>
      </c>
      <c r="D41" t="s">
        <v>971</v>
      </c>
      <c r="E41" t="s">
        <v>970</v>
      </c>
    </row>
    <row r="42" spans="1:37">
      <c r="A42" s="83" t="s">
        <v>983</v>
      </c>
      <c r="B42" s="92" t="s">
        <v>982</v>
      </c>
      <c r="C42" s="92" t="s">
        <v>608</v>
      </c>
    </row>
    <row r="43" spans="1:37">
      <c r="A43" s="83" t="s">
        <v>1035</v>
      </c>
      <c r="B43" s="92" t="s">
        <v>77</v>
      </c>
      <c r="C43" s="92" t="s">
        <v>1034</v>
      </c>
    </row>
    <row r="45" spans="1:37" ht="15">
      <c r="A45" s="89"/>
      <c r="B45" s="91" t="s">
        <v>748</v>
      </c>
      <c r="C45" s="89"/>
      <c r="D45" s="89"/>
      <c r="E45" s="89"/>
      <c r="F45" s="89"/>
    </row>
    <row r="46" spans="1:37">
      <c r="A46" s="90" t="s">
        <v>747</v>
      </c>
      <c r="B46" t="s">
        <v>745</v>
      </c>
      <c r="C46" t="s">
        <v>744</v>
      </c>
      <c r="D46" t="s">
        <v>743</v>
      </c>
      <c r="E46" t="s">
        <v>739</v>
      </c>
      <c r="F46" t="s">
        <v>746</v>
      </c>
      <c r="M46" s="89"/>
    </row>
    <row r="47" spans="1:37">
      <c r="A47" s="83" t="s">
        <v>742</v>
      </c>
      <c r="B47" s="88" t="s">
        <v>741</v>
      </c>
      <c r="C47" s="92" t="s">
        <v>1042</v>
      </c>
      <c r="D47" t="s">
        <v>740</v>
      </c>
      <c r="E47" t="s">
        <v>1041</v>
      </c>
      <c r="F47" t="s">
        <v>739</v>
      </c>
      <c r="G47" t="s">
        <v>1040</v>
      </c>
      <c r="H47" t="s">
        <v>74</v>
      </c>
    </row>
    <row r="48" spans="1:37">
      <c r="A48" s="83" t="s">
        <v>738</v>
      </c>
      <c r="B48" t="s">
        <v>737</v>
      </c>
      <c r="C48" t="s">
        <v>736</v>
      </c>
      <c r="D48" t="s">
        <v>735</v>
      </c>
      <c r="E48" t="s">
        <v>734</v>
      </c>
      <c r="F48" t="s">
        <v>733</v>
      </c>
      <c r="G48" t="s">
        <v>654</v>
      </c>
      <c r="H48" t="s">
        <v>732</v>
      </c>
      <c r="I48" t="s">
        <v>731</v>
      </c>
      <c r="J48" t="s">
        <v>730</v>
      </c>
      <c r="K48" t="s">
        <v>729</v>
      </c>
      <c r="L48" t="s">
        <v>728</v>
      </c>
      <c r="M48" t="s">
        <v>727</v>
      </c>
      <c r="N48" t="s">
        <v>726</v>
      </c>
      <c r="O48" t="s">
        <v>1039</v>
      </c>
      <c r="P48" s="95" t="s">
        <v>1038</v>
      </c>
      <c r="Q48" s="95" t="s">
        <v>1037</v>
      </c>
    </row>
    <row r="49" spans="1:108" ht="15">
      <c r="A49" s="83" t="s">
        <v>725</v>
      </c>
      <c r="B49" s="86" t="s">
        <v>724</v>
      </c>
      <c r="C49" s="86" t="s">
        <v>723</v>
      </c>
      <c r="D49" t="s">
        <v>722</v>
      </c>
      <c r="E49" t="s">
        <v>721</v>
      </c>
      <c r="F49" t="s">
        <v>720</v>
      </c>
      <c r="G49" t="s">
        <v>719</v>
      </c>
      <c r="H49" t="s">
        <v>718</v>
      </c>
      <c r="I49" s="86" t="s">
        <v>717</v>
      </c>
      <c r="J49" s="86" t="s">
        <v>716</v>
      </c>
      <c r="K49" s="86" t="s">
        <v>715</v>
      </c>
      <c r="L49" s="86" t="s">
        <v>714</v>
      </c>
      <c r="M49" s="86" t="s">
        <v>713</v>
      </c>
      <c r="N49" s="86" t="s">
        <v>712</v>
      </c>
      <c r="O49" t="s">
        <v>711</v>
      </c>
      <c r="P49" t="s">
        <v>710</v>
      </c>
      <c r="Q49" t="s">
        <v>709</v>
      </c>
      <c r="R49" t="s">
        <v>708</v>
      </c>
      <c r="S49" t="s">
        <v>707</v>
      </c>
      <c r="T49" s="86" t="s">
        <v>706</v>
      </c>
      <c r="U49" t="s">
        <v>705</v>
      </c>
      <c r="V49" t="s">
        <v>704</v>
      </c>
      <c r="W49" s="86" t="s">
        <v>703</v>
      </c>
      <c r="X49" t="s">
        <v>702</v>
      </c>
      <c r="Y49" t="s">
        <v>701</v>
      </c>
      <c r="Z49" s="86" t="s">
        <v>700</v>
      </c>
      <c r="AA49" s="98" t="s">
        <v>699</v>
      </c>
      <c r="AB49" t="s">
        <v>698</v>
      </c>
      <c r="AC49" t="s">
        <v>697</v>
      </c>
      <c r="AD49" s="86" t="s">
        <v>696</v>
      </c>
      <c r="AE49" s="86" t="s">
        <v>695</v>
      </c>
      <c r="AF49" t="s">
        <v>694</v>
      </c>
      <c r="AG49" s="86" t="s">
        <v>693</v>
      </c>
      <c r="AH49" s="97" t="s">
        <v>692</v>
      </c>
      <c r="AI49" s="86" t="s">
        <v>691</v>
      </c>
      <c r="AJ49" t="s">
        <v>690</v>
      </c>
      <c r="AK49" s="97" t="s">
        <v>689</v>
      </c>
      <c r="AL49" t="s">
        <v>688</v>
      </c>
      <c r="AM49" t="s">
        <v>687</v>
      </c>
      <c r="AN49" s="86" t="s">
        <v>686</v>
      </c>
      <c r="AO49" t="s">
        <v>685</v>
      </c>
      <c r="AP49" t="s">
        <v>684</v>
      </c>
      <c r="AQ49" t="s">
        <v>683</v>
      </c>
      <c r="AR49" t="s">
        <v>682</v>
      </c>
      <c r="AS49" t="s">
        <v>681</v>
      </c>
      <c r="AT49" s="86" t="s">
        <v>680</v>
      </c>
      <c r="AU49" s="86" t="s">
        <v>679</v>
      </c>
      <c r="AV49" s="86" t="s">
        <v>678</v>
      </c>
      <c r="AW49" s="86" t="s">
        <v>677</v>
      </c>
      <c r="AX49" s="86" t="s">
        <v>676</v>
      </c>
      <c r="AY49" t="s">
        <v>675</v>
      </c>
      <c r="AZ49" t="s">
        <v>674</v>
      </c>
      <c r="BA49" t="s">
        <v>673</v>
      </c>
      <c r="BB49" t="s">
        <v>672</v>
      </c>
      <c r="BC49" s="86" t="s">
        <v>671</v>
      </c>
      <c r="BD49" t="s">
        <v>670</v>
      </c>
      <c r="BE49" t="s">
        <v>669</v>
      </c>
      <c r="BF49" t="s">
        <v>668</v>
      </c>
      <c r="BG49" t="s">
        <v>667</v>
      </c>
      <c r="BH49" t="s">
        <v>666</v>
      </c>
      <c r="BI49" s="85" t="s">
        <v>665</v>
      </c>
      <c r="BJ49" s="86" t="s">
        <v>664</v>
      </c>
      <c r="BK49" s="86" t="s">
        <v>663</v>
      </c>
      <c r="BL49" s="87" t="s">
        <v>94</v>
      </c>
      <c r="BM49" s="85" t="s">
        <v>662</v>
      </c>
      <c r="BN49" s="86" t="s">
        <v>661</v>
      </c>
      <c r="BO49" s="85" t="s">
        <v>121</v>
      </c>
      <c r="BP49" s="85" t="s">
        <v>660</v>
      </c>
      <c r="BQ49" s="85" t="s">
        <v>659</v>
      </c>
      <c r="BR49" s="85" t="s">
        <v>98</v>
      </c>
      <c r="BS49" s="85" t="s">
        <v>125</v>
      </c>
      <c r="BT49" s="86" t="s">
        <v>82</v>
      </c>
      <c r="BU49" s="86" t="s">
        <v>658</v>
      </c>
      <c r="BV49" s="86" t="s">
        <v>657</v>
      </c>
      <c r="BW49" s="85" t="s">
        <v>656</v>
      </c>
      <c r="BX49" s="85" t="s">
        <v>655</v>
      </c>
      <c r="BY49" s="86" t="s">
        <v>654</v>
      </c>
      <c r="BZ49" s="86" t="s">
        <v>653</v>
      </c>
      <c r="CA49" s="86" t="s">
        <v>652</v>
      </c>
      <c r="CB49" s="85" t="s">
        <v>651</v>
      </c>
      <c r="CC49" s="85" t="s">
        <v>650</v>
      </c>
      <c r="CD49" s="86" t="s">
        <v>649</v>
      </c>
      <c r="CE49" s="86" t="s">
        <v>648</v>
      </c>
      <c r="CF49" s="85" t="s">
        <v>647</v>
      </c>
      <c r="CG49" s="85" t="s">
        <v>646</v>
      </c>
      <c r="CH49" s="86" t="s">
        <v>645</v>
      </c>
      <c r="CI49" s="85" t="s">
        <v>644</v>
      </c>
      <c r="CJ49" s="85" t="s">
        <v>643</v>
      </c>
      <c r="CK49" s="86" t="s">
        <v>642</v>
      </c>
      <c r="CL49" s="85" t="s">
        <v>32</v>
      </c>
      <c r="CM49" s="85" t="s">
        <v>641</v>
      </c>
      <c r="CN49" t="s">
        <v>640</v>
      </c>
      <c r="CO49" t="s">
        <v>639</v>
      </c>
      <c r="CP49" t="s">
        <v>638</v>
      </c>
      <c r="CQ49" t="s">
        <v>637</v>
      </c>
      <c r="CR49" t="s">
        <v>636</v>
      </c>
      <c r="CS49" t="s">
        <v>635</v>
      </c>
      <c r="CT49" t="s">
        <v>634</v>
      </c>
      <c r="CU49" t="s">
        <v>633</v>
      </c>
      <c r="CV49" s="85" t="s">
        <v>112</v>
      </c>
      <c r="CW49" s="85" t="s">
        <v>117</v>
      </c>
      <c r="CX49" s="86" t="s">
        <v>632</v>
      </c>
      <c r="CY49" s="86" t="s">
        <v>86</v>
      </c>
      <c r="CZ49" s="85" t="s">
        <v>107</v>
      </c>
      <c r="DA49" s="85" t="s">
        <v>110</v>
      </c>
      <c r="DB49" s="86" t="s">
        <v>631</v>
      </c>
      <c r="DC49" s="85" t="s">
        <v>630</v>
      </c>
      <c r="DD49" s="84" t="s">
        <v>629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F430"/>
  <sheetViews>
    <sheetView tabSelected="1" workbookViewId="0">
      <pane xSplit="1" ySplit="1" topLeftCell="B165" activePane="bottomRight" state="frozen"/>
      <selection pane="topRight" activeCell="B1" sqref="B1"/>
      <selection pane="bottomLeft" activeCell="A2" sqref="A2"/>
      <selection pane="bottomRight" activeCell="I185" sqref="I185"/>
    </sheetView>
  </sheetViews>
  <sheetFormatPr defaultRowHeight="12.75"/>
  <cols>
    <col min="1" max="1" width="44.7109375" style="20" bestFit="1" customWidth="1"/>
    <col min="2" max="2" width="25.28515625" style="20" customWidth="1"/>
    <col min="3" max="3" width="14.140625" style="20" customWidth="1"/>
    <col min="4" max="4" width="4.140625" style="20" customWidth="1"/>
    <col min="5" max="5" width="13.140625" style="20" customWidth="1"/>
    <col min="6" max="6" width="22.140625" style="20" customWidth="1"/>
    <col min="7" max="7" width="13.42578125" style="20" customWidth="1"/>
    <col min="8" max="8" width="13.140625" style="20" customWidth="1"/>
    <col min="9" max="9" width="13.7109375" style="20" customWidth="1"/>
    <col min="10" max="10" width="10" style="20" customWidth="1"/>
    <col min="11" max="12" width="15.140625" style="20" customWidth="1"/>
    <col min="13" max="13" width="18" style="20" bestFit="1" customWidth="1"/>
    <col min="14" max="15" width="15.140625" style="20" customWidth="1"/>
    <col min="16" max="16" width="14.5703125" style="20" customWidth="1"/>
    <col min="17" max="17" width="9.7109375" style="20" customWidth="1"/>
    <col min="18" max="18" width="24.140625" style="20" customWidth="1"/>
    <col min="19" max="20" width="9.140625" style="20"/>
    <col min="21" max="22" width="12" style="20" customWidth="1"/>
    <col min="23" max="23" width="13.140625" style="20" customWidth="1"/>
    <col min="24" max="24" width="16.85546875" style="20" bestFit="1" customWidth="1"/>
    <col min="25" max="25" width="7.85546875" style="20" customWidth="1"/>
    <col min="26" max="26" width="36.140625" style="20" bestFit="1" customWidth="1"/>
    <col min="27" max="27" width="13.85546875" style="20" customWidth="1"/>
    <col min="28" max="28" width="11.7109375" style="20" customWidth="1"/>
    <col min="29" max="29" width="16.85546875" style="20" customWidth="1"/>
    <col min="30" max="30" width="13.5703125" style="20" customWidth="1"/>
    <col min="31" max="65" width="16.85546875" style="20" customWidth="1"/>
    <col min="66" max="66" width="10.28515625" style="20" customWidth="1"/>
    <col min="67" max="67" width="19.5703125" style="20" customWidth="1"/>
    <col min="68" max="68" width="20.7109375" style="20" customWidth="1"/>
    <col min="69" max="69" width="21.5703125" style="20" customWidth="1"/>
    <col min="70" max="70" width="18.5703125" style="20" customWidth="1"/>
    <col min="71" max="71" width="23.5703125" style="20" bestFit="1" customWidth="1"/>
    <col min="72" max="72" width="22.28515625" style="20" customWidth="1"/>
    <col min="73" max="73" width="23.7109375" style="20" customWidth="1"/>
    <col min="74" max="74" width="24" style="20" customWidth="1"/>
    <col min="75" max="75" width="24.140625" style="20" customWidth="1"/>
    <col min="76" max="76" width="23.5703125" style="20" customWidth="1"/>
    <col min="77" max="77" width="10.7109375" style="20" customWidth="1"/>
    <col min="78" max="78" width="13.28515625" style="20" customWidth="1"/>
    <col min="79" max="79" width="10.85546875" style="20" customWidth="1"/>
    <col min="80" max="81" width="14.28515625" style="20" customWidth="1"/>
    <col min="82" max="82" width="12.28515625" style="20" bestFit="1" customWidth="1"/>
    <col min="83" max="84" width="12.28515625" style="20" customWidth="1"/>
    <col min="85" max="85" width="19" style="20" customWidth="1"/>
    <col min="86" max="88" width="19.5703125" style="20" customWidth="1"/>
    <col min="89" max="89" width="24.140625" style="24" customWidth="1"/>
    <col min="90" max="90" width="30.85546875" style="24" customWidth="1"/>
    <col min="91" max="91" width="23.7109375" style="24" bestFit="1" customWidth="1"/>
    <col min="92" max="92" width="30" style="24" bestFit="1" customWidth="1"/>
    <col min="93" max="93" width="16.5703125" style="20" customWidth="1"/>
    <col min="94" max="94" width="19.5703125" style="20" customWidth="1"/>
    <col min="95" max="99" width="5.5703125" style="20" customWidth="1"/>
    <col min="100" max="100" width="43.28515625" style="29" customWidth="1"/>
    <col min="101" max="101" width="35.5703125" style="20" customWidth="1"/>
    <col min="102" max="102" width="1.85546875" style="20" customWidth="1"/>
    <col min="103" max="103" width="1.28515625" style="20" customWidth="1"/>
    <col min="104" max="104" width="33.42578125" style="20" bestFit="1" customWidth="1"/>
    <col min="105" max="105" width="11.28515625" style="20" customWidth="1"/>
    <col min="106" max="106" width="11.85546875" style="20" customWidth="1"/>
    <col min="107" max="16384" width="9.140625" style="20"/>
  </cols>
  <sheetData>
    <row r="1" spans="1:110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585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270</v>
      </c>
      <c r="M1" s="1" t="s">
        <v>395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  <c r="X1" s="1" t="s">
        <v>509</v>
      </c>
      <c r="Y1" s="1" t="s">
        <v>20</v>
      </c>
      <c r="Z1" s="1" t="s">
        <v>586</v>
      </c>
      <c r="AA1" s="2" t="s">
        <v>21</v>
      </c>
      <c r="AB1" s="3" t="s">
        <v>22</v>
      </c>
      <c r="AC1" s="4" t="s">
        <v>23</v>
      </c>
      <c r="AD1" s="5" t="s">
        <v>24</v>
      </c>
      <c r="AE1" s="6" t="s">
        <v>25</v>
      </c>
      <c r="AF1" s="7" t="s">
        <v>26</v>
      </c>
      <c r="AG1" s="45" t="s">
        <v>27</v>
      </c>
      <c r="AH1" s="45" t="s">
        <v>28</v>
      </c>
      <c r="AI1" s="45" t="s">
        <v>29</v>
      </c>
      <c r="AJ1" s="45" t="s">
        <v>30</v>
      </c>
      <c r="AK1" s="45" t="s">
        <v>31</v>
      </c>
      <c r="AL1" s="45" t="s">
        <v>121</v>
      </c>
      <c r="AM1" s="45" t="s">
        <v>125</v>
      </c>
      <c r="AN1" s="45" t="s">
        <v>126</v>
      </c>
      <c r="AO1" s="45" t="s">
        <v>555</v>
      </c>
      <c r="AP1" s="45" t="s">
        <v>32</v>
      </c>
      <c r="AQ1" s="45" t="s">
        <v>608</v>
      </c>
      <c r="AR1" s="45" t="s">
        <v>33</v>
      </c>
      <c r="AS1" s="45" t="s">
        <v>34</v>
      </c>
      <c r="AT1" s="45" t="s">
        <v>303</v>
      </c>
      <c r="AU1" s="46" t="s">
        <v>35</v>
      </c>
      <c r="AV1" s="46" t="s">
        <v>36</v>
      </c>
      <c r="AW1" s="46" t="s">
        <v>37</v>
      </c>
      <c r="AX1" s="46" t="s">
        <v>38</v>
      </c>
      <c r="AY1" s="46" t="s">
        <v>39</v>
      </c>
      <c r="AZ1" s="46" t="s">
        <v>40</v>
      </c>
      <c r="BA1" s="46" t="s">
        <v>41</v>
      </c>
      <c r="BB1" s="47" t="s">
        <v>42</v>
      </c>
      <c r="BC1" s="47" t="s">
        <v>43</v>
      </c>
      <c r="BD1" s="47" t="s">
        <v>386</v>
      </c>
      <c r="BE1" s="47" t="s">
        <v>385</v>
      </c>
      <c r="BF1" s="47" t="s">
        <v>44</v>
      </c>
      <c r="BG1" s="47" t="s">
        <v>45</v>
      </c>
      <c r="BH1" s="48" t="s">
        <v>46</v>
      </c>
      <c r="BI1" s="48" t="s">
        <v>47</v>
      </c>
      <c r="BJ1" s="48" t="s">
        <v>48</v>
      </c>
      <c r="BK1" s="48" t="s">
        <v>49</v>
      </c>
      <c r="BL1" s="48" t="s">
        <v>50</v>
      </c>
      <c r="BM1" s="48" t="s">
        <v>51</v>
      </c>
      <c r="BN1" s="48" t="s">
        <v>52</v>
      </c>
      <c r="BO1" s="8" t="s">
        <v>53</v>
      </c>
      <c r="BP1" s="9" t="s">
        <v>54</v>
      </c>
      <c r="BQ1" s="10" t="s">
        <v>55</v>
      </c>
      <c r="BR1" s="4" t="s">
        <v>56</v>
      </c>
      <c r="BS1" s="11" t="s">
        <v>57</v>
      </c>
      <c r="BT1" s="12" t="s">
        <v>58</v>
      </c>
      <c r="BU1" s="1" t="s">
        <v>59</v>
      </c>
      <c r="BV1" s="1" t="s">
        <v>60</v>
      </c>
      <c r="BW1" s="1" t="s">
        <v>61</v>
      </c>
      <c r="BX1" s="11" t="s">
        <v>57</v>
      </c>
      <c r="BY1" s="1" t="s">
        <v>62</v>
      </c>
      <c r="BZ1" s="1" t="s">
        <v>63</v>
      </c>
      <c r="CA1" s="1" t="s">
        <v>64</v>
      </c>
      <c r="CB1" s="1" t="s">
        <v>65</v>
      </c>
      <c r="CC1" s="1" t="s">
        <v>269</v>
      </c>
      <c r="CD1" s="1" t="s">
        <v>266</v>
      </c>
      <c r="CE1" s="1" t="s">
        <v>267</v>
      </c>
      <c r="CF1" s="1" t="s">
        <v>268</v>
      </c>
      <c r="CG1" s="1" t="s">
        <v>66</v>
      </c>
      <c r="CH1" s="1" t="s">
        <v>67</v>
      </c>
      <c r="CI1" s="1" t="s">
        <v>188</v>
      </c>
      <c r="CJ1" s="1" t="s">
        <v>587</v>
      </c>
      <c r="CK1" s="13" t="s">
        <v>441</v>
      </c>
      <c r="CL1" s="13" t="s">
        <v>68</v>
      </c>
      <c r="CM1" s="13" t="s">
        <v>397</v>
      </c>
      <c r="CN1" s="13" t="s">
        <v>396</v>
      </c>
      <c r="CO1" s="14" t="s">
        <v>297</v>
      </c>
      <c r="CP1" s="1" t="s">
        <v>1000</v>
      </c>
      <c r="CV1" s="15" t="s">
        <v>69</v>
      </c>
      <c r="CZ1" s="1" t="s">
        <v>70</v>
      </c>
      <c r="DA1" s="1" t="s">
        <v>71</v>
      </c>
      <c r="DB1" s="1" t="s">
        <v>72</v>
      </c>
      <c r="DC1" s="1" t="s">
        <v>73</v>
      </c>
      <c r="DD1" s="1" t="s">
        <v>74</v>
      </c>
      <c r="DE1" s="1" t="s">
        <v>435</v>
      </c>
      <c r="DF1" s="1" t="s">
        <v>436</v>
      </c>
    </row>
    <row r="2" spans="1:110" s="49" customFormat="1">
      <c r="A2" s="49" t="s">
        <v>301</v>
      </c>
      <c r="B2" s="49" t="s">
        <v>78</v>
      </c>
      <c r="E2" s="49">
        <v>1</v>
      </c>
      <c r="J2" s="49">
        <v>1</v>
      </c>
      <c r="Q2" s="49">
        <v>2</v>
      </c>
      <c r="S2" s="49">
        <v>1</v>
      </c>
      <c r="BY2" s="51"/>
      <c r="BZ2" s="55"/>
      <c r="CK2" s="50"/>
      <c r="CL2" s="50"/>
      <c r="CM2" s="50"/>
      <c r="CV2" s="25" t="s">
        <v>496</v>
      </c>
    </row>
    <row r="3" spans="1:110" s="57" customFormat="1">
      <c r="A3" s="57" t="s">
        <v>83</v>
      </c>
      <c r="B3" s="57" t="s">
        <v>78</v>
      </c>
      <c r="E3" s="57">
        <v>15</v>
      </c>
      <c r="F3" s="57" t="s">
        <v>514</v>
      </c>
      <c r="J3" s="57">
        <v>3</v>
      </c>
      <c r="K3" s="57">
        <v>1</v>
      </c>
      <c r="L3" s="20">
        <v>-20</v>
      </c>
      <c r="O3" s="57">
        <v>3</v>
      </c>
      <c r="P3" s="57">
        <v>1</v>
      </c>
      <c r="Q3" s="57">
        <v>10</v>
      </c>
      <c r="S3" s="57">
        <v>7</v>
      </c>
      <c r="AE3" s="57">
        <v>1</v>
      </c>
      <c r="AF3" s="57">
        <v>1</v>
      </c>
      <c r="BN3" s="57">
        <v>1</v>
      </c>
      <c r="CA3" s="57">
        <v>5</v>
      </c>
      <c r="CI3" s="57" t="s">
        <v>82</v>
      </c>
      <c r="CK3" s="57" t="s">
        <v>515</v>
      </c>
      <c r="CN3" s="50" t="s">
        <v>495</v>
      </c>
      <c r="CP3" s="49"/>
      <c r="CV3" s="57" t="s">
        <v>195</v>
      </c>
      <c r="DD3" s="57">
        <v>1</v>
      </c>
    </row>
    <row r="4" spans="1:110" s="74" customFormat="1" ht="15">
      <c r="A4" s="74" t="s">
        <v>505</v>
      </c>
      <c r="B4" s="75" t="s">
        <v>84</v>
      </c>
      <c r="E4" s="74">
        <v>1</v>
      </c>
      <c r="F4" s="75" t="s">
        <v>377</v>
      </c>
      <c r="L4" s="76">
        <v>-25</v>
      </c>
      <c r="O4" s="74">
        <v>2</v>
      </c>
      <c r="Q4" s="74">
        <v>8</v>
      </c>
      <c r="S4" s="74">
        <v>7</v>
      </c>
      <c r="AA4" s="74">
        <v>1</v>
      </c>
      <c r="BZ4" s="77"/>
      <c r="CI4" s="74" t="s">
        <v>86</v>
      </c>
      <c r="CK4" s="78"/>
      <c r="CL4" s="78"/>
      <c r="CM4" s="78"/>
      <c r="CN4" s="50"/>
      <c r="CP4" s="49"/>
      <c r="CV4" s="79" t="s">
        <v>506</v>
      </c>
    </row>
    <row r="5" spans="1:110" s="49" customFormat="1">
      <c r="A5" s="49" t="s">
        <v>375</v>
      </c>
      <c r="B5" s="49" t="s">
        <v>84</v>
      </c>
      <c r="E5" s="49">
        <v>8</v>
      </c>
      <c r="F5" s="49" t="s">
        <v>517</v>
      </c>
      <c r="H5" s="49">
        <v>5</v>
      </c>
      <c r="J5" s="49">
        <v>7</v>
      </c>
      <c r="K5" s="49">
        <v>1</v>
      </c>
      <c r="Q5" s="49">
        <v>0</v>
      </c>
      <c r="S5" s="49">
        <v>6.5</v>
      </c>
      <c r="T5" s="49">
        <v>10000</v>
      </c>
      <c r="U5" s="49">
        <v>-1</v>
      </c>
      <c r="CK5" s="50"/>
      <c r="CL5" s="50" t="s">
        <v>376</v>
      </c>
      <c r="CM5" s="50" t="s">
        <v>444</v>
      </c>
      <c r="CN5" s="50"/>
      <c r="CV5" s="49" t="s">
        <v>610</v>
      </c>
      <c r="DD5" s="49">
        <v>1</v>
      </c>
    </row>
    <row r="6" spans="1:110" s="49" customFormat="1">
      <c r="A6" s="49" t="s">
        <v>88</v>
      </c>
      <c r="B6" s="49" t="s">
        <v>84</v>
      </c>
      <c r="E6" s="49">
        <v>13</v>
      </c>
      <c r="F6" s="49" t="s">
        <v>611</v>
      </c>
      <c r="J6" s="49">
        <v>4</v>
      </c>
      <c r="K6" s="49">
        <v>1</v>
      </c>
      <c r="L6" s="20">
        <f>IF(E6=2,-5,IF(E6=3,-10,IF(E6=4,-15,IF(OR(E6=5,E6=6),-20,IF(OR(E6=7,E6=8),-25,IF(E6=9,-30,-35))))))</f>
        <v>-35</v>
      </c>
      <c r="Q6" s="49">
        <v>6</v>
      </c>
      <c r="BY6" s="51"/>
      <c r="BZ6" s="55"/>
      <c r="CI6" s="51" t="s">
        <v>86</v>
      </c>
      <c r="CJ6" s="51"/>
      <c r="CK6" s="50"/>
      <c r="CL6" s="50"/>
      <c r="CM6" s="51"/>
      <c r="CN6" s="50"/>
      <c r="CV6" s="56" t="s">
        <v>89</v>
      </c>
      <c r="CW6" s="51"/>
      <c r="CX6" s="51"/>
      <c r="CY6" s="51"/>
    </row>
    <row r="7" spans="1:110" s="49" customFormat="1">
      <c r="A7" s="49" t="s">
        <v>91</v>
      </c>
      <c r="B7" s="49" t="s">
        <v>84</v>
      </c>
      <c r="E7" s="49">
        <v>18</v>
      </c>
      <c r="F7" s="49" t="s">
        <v>517</v>
      </c>
      <c r="J7" s="49">
        <v>5</v>
      </c>
      <c r="K7" s="49">
        <v>1</v>
      </c>
      <c r="L7" s="20">
        <v>-35</v>
      </c>
      <c r="Q7" s="49">
        <v>10</v>
      </c>
      <c r="S7" s="49">
        <v>8</v>
      </c>
      <c r="V7" s="49">
        <v>2</v>
      </c>
      <c r="AD7" s="49">
        <v>2</v>
      </c>
      <c r="AP7" s="49">
        <v>1</v>
      </c>
      <c r="BX7" s="49">
        <v>7</v>
      </c>
      <c r="BY7" s="51"/>
      <c r="BZ7" s="55"/>
      <c r="CI7" s="51" t="s">
        <v>86</v>
      </c>
      <c r="CJ7" s="51"/>
      <c r="CK7" s="50" t="s">
        <v>518</v>
      </c>
      <c r="CL7" s="50" t="s">
        <v>516</v>
      </c>
      <c r="CM7" s="51"/>
      <c r="CN7" s="50" t="s">
        <v>495</v>
      </c>
      <c r="CV7" s="25" t="s">
        <v>432</v>
      </c>
      <c r="CW7" s="51"/>
      <c r="CX7" s="51"/>
      <c r="CY7" s="51"/>
      <c r="DD7" s="49">
        <v>1</v>
      </c>
    </row>
    <row r="8" spans="1:110" s="57" customFormat="1">
      <c r="A8" s="57" t="s">
        <v>392</v>
      </c>
      <c r="B8" s="57" t="s">
        <v>84</v>
      </c>
      <c r="E8" s="57">
        <v>1</v>
      </c>
      <c r="J8" s="57">
        <v>4</v>
      </c>
      <c r="K8" s="57">
        <v>1</v>
      </c>
      <c r="BZ8" s="58"/>
      <c r="CI8" s="57" t="s">
        <v>86</v>
      </c>
      <c r="CK8" s="59"/>
      <c r="CL8" s="59" t="s">
        <v>422</v>
      </c>
      <c r="CM8" s="59"/>
      <c r="CN8" s="50"/>
      <c r="CP8" s="49"/>
      <c r="CV8" s="60" t="s">
        <v>196</v>
      </c>
      <c r="DD8" s="57">
        <v>1</v>
      </c>
    </row>
    <row r="9" spans="1:110" s="51" customFormat="1">
      <c r="A9" s="51" t="s">
        <v>551</v>
      </c>
      <c r="B9" s="57" t="s">
        <v>84</v>
      </c>
      <c r="E9" s="51">
        <v>5</v>
      </c>
      <c r="F9" s="20" t="s">
        <v>288</v>
      </c>
      <c r="J9" s="51">
        <v>4</v>
      </c>
      <c r="K9" s="51">
        <v>1</v>
      </c>
      <c r="L9" s="51">
        <v>-15</v>
      </c>
      <c r="Q9" s="51">
        <v>10</v>
      </c>
      <c r="S9" s="51">
        <v>9</v>
      </c>
      <c r="T9" s="51">
        <v>1000</v>
      </c>
      <c r="U9" s="51">
        <v>1</v>
      </c>
      <c r="V9" s="51">
        <v>2</v>
      </c>
      <c r="AE9" s="51">
        <v>1</v>
      </c>
      <c r="BZ9" s="55"/>
      <c r="CI9" s="51" t="s">
        <v>86</v>
      </c>
      <c r="CK9" s="80"/>
      <c r="CL9" s="80"/>
      <c r="CM9" s="80" t="s">
        <v>398</v>
      </c>
      <c r="CN9" s="50"/>
      <c r="CP9" s="49"/>
      <c r="CV9" s="56" t="s">
        <v>552</v>
      </c>
      <c r="CZ9" s="51" t="s">
        <v>994</v>
      </c>
      <c r="DA9" s="51">
        <v>1</v>
      </c>
      <c r="DB9" s="51">
        <v>1</v>
      </c>
      <c r="DC9" s="51">
        <v>1</v>
      </c>
      <c r="DD9" s="51">
        <v>1</v>
      </c>
      <c r="DE9" s="51">
        <v>5</v>
      </c>
      <c r="DF9" s="51">
        <v>20</v>
      </c>
    </row>
    <row r="10" spans="1:110" s="57" customFormat="1">
      <c r="A10" s="57" t="s">
        <v>510</v>
      </c>
      <c r="B10" s="57" t="s">
        <v>93</v>
      </c>
      <c r="E10" s="57">
        <v>7</v>
      </c>
      <c r="F10" s="57" t="s">
        <v>288</v>
      </c>
      <c r="J10" s="57">
        <v>3</v>
      </c>
      <c r="K10" s="57">
        <v>3</v>
      </c>
      <c r="L10" s="20">
        <f t="shared" ref="L10" si="0">IF(E10=2,-5,IF(E10=3,-10,IF(E10=4,-15,IF(OR(E10=5,E10=6),-20,IF(OR(E10=7,E10=8),-25,IF(E10=9,-30,-35))))))</f>
        <v>-25</v>
      </c>
      <c r="Q10" s="57">
        <v>10</v>
      </c>
      <c r="S10" s="57">
        <v>7</v>
      </c>
      <c r="T10" s="57">
        <v>2000</v>
      </c>
      <c r="BZ10" s="58"/>
      <c r="CI10" s="57" t="s">
        <v>94</v>
      </c>
      <c r="CK10" s="59"/>
      <c r="CL10" s="59"/>
      <c r="CM10" s="59"/>
      <c r="CN10" s="50"/>
      <c r="CP10" s="49"/>
      <c r="CV10" s="60" t="s">
        <v>334</v>
      </c>
      <c r="DD10" s="57">
        <v>1</v>
      </c>
    </row>
    <row r="11" spans="1:110" s="57" customFormat="1">
      <c r="A11" s="57" t="s">
        <v>96</v>
      </c>
      <c r="B11" s="57" t="s">
        <v>93</v>
      </c>
      <c r="E11" s="57">
        <v>19</v>
      </c>
      <c r="F11" s="57" t="s">
        <v>519</v>
      </c>
      <c r="J11" s="57">
        <v>4</v>
      </c>
      <c r="K11" s="57">
        <v>3</v>
      </c>
      <c r="L11" s="20">
        <v>-25</v>
      </c>
      <c r="O11" s="57">
        <v>2</v>
      </c>
      <c r="Q11" s="57">
        <v>10</v>
      </c>
      <c r="S11" s="57">
        <v>8</v>
      </c>
      <c r="T11" s="57">
        <v>2000</v>
      </c>
      <c r="U11" s="57">
        <v>1</v>
      </c>
      <c r="V11" s="57">
        <v>1</v>
      </c>
      <c r="AE11" s="57">
        <v>1</v>
      </c>
      <c r="AP11" s="57">
        <v>1</v>
      </c>
      <c r="BZ11" s="58"/>
      <c r="CA11" s="57">
        <v>10</v>
      </c>
      <c r="CI11" s="57" t="s">
        <v>94</v>
      </c>
      <c r="CK11" s="59"/>
      <c r="CL11" s="59" t="s">
        <v>520</v>
      </c>
      <c r="CM11" s="59"/>
      <c r="CN11" s="50"/>
      <c r="CP11" s="49"/>
      <c r="CV11" s="25" t="s">
        <v>333</v>
      </c>
      <c r="DD11" s="57">
        <v>1</v>
      </c>
    </row>
    <row r="12" spans="1:110" s="49" customFormat="1">
      <c r="A12" s="49" t="s">
        <v>103</v>
      </c>
      <c r="B12" s="49" t="s">
        <v>97</v>
      </c>
      <c r="E12" s="49">
        <v>5</v>
      </c>
      <c r="F12" s="49" t="s">
        <v>377</v>
      </c>
      <c r="L12" s="49">
        <v>-15</v>
      </c>
      <c r="S12" s="49">
        <v>6</v>
      </c>
      <c r="AA12" s="49">
        <v>1</v>
      </c>
      <c r="AP12" s="49">
        <v>1</v>
      </c>
      <c r="BY12" s="51"/>
      <c r="BZ12" s="55"/>
      <c r="CI12" s="49" t="s">
        <v>98</v>
      </c>
      <c r="CK12" s="50"/>
      <c r="CL12" s="50" t="s">
        <v>295</v>
      </c>
      <c r="CM12" s="50" t="s">
        <v>398</v>
      </c>
      <c r="CN12" s="50"/>
      <c r="CV12" s="56" t="s">
        <v>335</v>
      </c>
      <c r="DD12" s="49">
        <v>1</v>
      </c>
    </row>
    <row r="13" spans="1:110" s="57" customFormat="1">
      <c r="A13" s="57" t="s">
        <v>100</v>
      </c>
      <c r="B13" s="57" t="s">
        <v>97</v>
      </c>
      <c r="E13" s="57">
        <v>15</v>
      </c>
      <c r="F13" s="57" t="s">
        <v>288</v>
      </c>
      <c r="L13" s="20">
        <f t="shared" ref="L13" si="1">IF(E13=2,-5,IF(E13=3,-10,IF(E13=4,-15,IF(OR(E13=5,E13=6),-20,IF(OR(E13=7,E13=8),-25,IF(E13=9,-30,-35))))))</f>
        <v>-35</v>
      </c>
      <c r="BZ13" s="58"/>
      <c r="CK13" s="63"/>
      <c r="CL13" s="63"/>
      <c r="CN13" s="50"/>
      <c r="CP13" s="49"/>
      <c r="CV13" s="60" t="s">
        <v>101</v>
      </c>
    </row>
    <row r="14" spans="1:110" s="49" customFormat="1">
      <c r="A14" s="49" t="s">
        <v>281</v>
      </c>
      <c r="B14" s="49" t="s">
        <v>104</v>
      </c>
      <c r="E14" s="49">
        <v>9</v>
      </c>
      <c r="F14" s="49" t="s">
        <v>611</v>
      </c>
      <c r="L14" s="20">
        <v>-20</v>
      </c>
      <c r="O14" s="49">
        <v>2</v>
      </c>
      <c r="Q14" s="49">
        <v>10</v>
      </c>
      <c r="S14" s="49">
        <v>9</v>
      </c>
      <c r="T14" s="49">
        <v>10000</v>
      </c>
      <c r="U14" s="49">
        <v>-1</v>
      </c>
      <c r="AA14" s="49">
        <v>1</v>
      </c>
      <c r="BO14" s="49">
        <v>2</v>
      </c>
      <c r="BY14" s="51"/>
      <c r="BZ14" s="55"/>
      <c r="CI14" s="49" t="s">
        <v>107</v>
      </c>
      <c r="CK14" s="50"/>
      <c r="CL14" s="50"/>
      <c r="CM14" s="51"/>
      <c r="CN14" s="50"/>
      <c r="CV14" s="52" t="s">
        <v>456</v>
      </c>
      <c r="DD14" s="49">
        <v>1</v>
      </c>
    </row>
    <row r="15" spans="1:110" s="57" customFormat="1">
      <c r="A15" s="57" t="s">
        <v>105</v>
      </c>
      <c r="B15" s="57" t="s">
        <v>104</v>
      </c>
      <c r="E15" s="57">
        <v>13</v>
      </c>
      <c r="F15" s="57" t="s">
        <v>517</v>
      </c>
      <c r="L15" s="20">
        <f t="shared" ref="L15" si="2">IF(E15=2,-5,IF(E15=3,-10,IF(E15=4,-15,IF(OR(E15=5,E15=6),-20,IF(OR(E15=7,E15=8),-25,IF(E15=9,-30,-35))))))</f>
        <v>-35</v>
      </c>
      <c r="BZ15" s="58"/>
      <c r="CI15" s="57" t="s">
        <v>107</v>
      </c>
      <c r="CK15" s="63"/>
      <c r="CL15" s="63"/>
      <c r="CM15" s="63"/>
      <c r="CN15" s="50"/>
      <c r="CP15" s="49"/>
      <c r="CV15" s="60" t="s">
        <v>106</v>
      </c>
    </row>
    <row r="16" spans="1:110" s="49" customFormat="1">
      <c r="A16" s="49" t="s">
        <v>553</v>
      </c>
      <c r="B16" s="49" t="s">
        <v>109</v>
      </c>
      <c r="E16" s="49">
        <v>13</v>
      </c>
      <c r="F16" s="49" t="s">
        <v>517</v>
      </c>
      <c r="J16" s="49">
        <v>6</v>
      </c>
      <c r="K16" s="49">
        <v>2</v>
      </c>
      <c r="L16" s="20">
        <v>-30</v>
      </c>
      <c r="Q16" s="49">
        <v>10</v>
      </c>
      <c r="S16" s="49">
        <v>9</v>
      </c>
      <c r="T16" s="49">
        <v>3000</v>
      </c>
      <c r="U16" s="49">
        <v>1</v>
      </c>
      <c r="AD16" s="49">
        <v>1</v>
      </c>
      <c r="AW16" s="49">
        <v>1</v>
      </c>
      <c r="BO16" s="49">
        <v>4</v>
      </c>
      <c r="CA16" s="49">
        <v>4</v>
      </c>
      <c r="CI16" s="49" t="s">
        <v>110</v>
      </c>
      <c r="CK16" s="50"/>
      <c r="CL16" s="50"/>
      <c r="CM16" s="51"/>
      <c r="CN16" s="50" t="s">
        <v>237</v>
      </c>
      <c r="CV16" s="52" t="s">
        <v>554</v>
      </c>
      <c r="CZ16" s="49" t="s">
        <v>994</v>
      </c>
      <c r="DA16" s="49">
        <v>1</v>
      </c>
      <c r="DB16" s="49">
        <v>1</v>
      </c>
      <c r="DC16" s="49">
        <v>1</v>
      </c>
      <c r="DD16" s="49">
        <v>1</v>
      </c>
      <c r="DE16" s="49">
        <v>12</v>
      </c>
      <c r="DF16" s="49">
        <v>20</v>
      </c>
    </row>
    <row r="17" spans="1:108" s="49" customFormat="1">
      <c r="A17" s="49" t="s">
        <v>275</v>
      </c>
      <c r="B17" s="49" t="s">
        <v>109</v>
      </c>
      <c r="E17" s="49">
        <v>3</v>
      </c>
      <c r="F17" s="49" t="s">
        <v>288</v>
      </c>
      <c r="L17" s="20">
        <f>IF(E17=2,-5,IF(E17=3,-10,IF(E17=4,-15,IF(OR(E17=5,E17=6),-20,IF(OR(E17=7,E17=8),-25,IF(E17=9,-30,-35))))))</f>
        <v>-10</v>
      </c>
      <c r="Q17" s="49">
        <v>6</v>
      </c>
      <c r="S17" s="49">
        <v>6.8</v>
      </c>
      <c r="CI17" s="49" t="s">
        <v>110</v>
      </c>
      <c r="CK17" s="50"/>
      <c r="CL17" s="50"/>
      <c r="CM17" s="51"/>
      <c r="CN17" s="50"/>
      <c r="CV17" s="52" t="s">
        <v>286</v>
      </c>
      <c r="DD17" s="49">
        <v>1</v>
      </c>
    </row>
    <row r="18" spans="1:108" s="61" customFormat="1">
      <c r="A18" s="61" t="s">
        <v>115</v>
      </c>
      <c r="B18" s="61" t="s">
        <v>111</v>
      </c>
      <c r="E18" s="61">
        <v>11</v>
      </c>
      <c r="F18" s="61" t="s">
        <v>378</v>
      </c>
      <c r="J18" s="61">
        <v>5</v>
      </c>
      <c r="K18" s="61">
        <v>3</v>
      </c>
      <c r="L18" s="20">
        <v>-30</v>
      </c>
      <c r="O18" s="61">
        <v>1</v>
      </c>
      <c r="Q18" s="61">
        <v>10</v>
      </c>
      <c r="S18" s="61">
        <v>7</v>
      </c>
      <c r="AE18" s="61">
        <v>1</v>
      </c>
      <c r="AW18" s="61">
        <v>1</v>
      </c>
      <c r="BZ18" s="62"/>
      <c r="CI18" s="61" t="s">
        <v>112</v>
      </c>
      <c r="CK18" s="65"/>
      <c r="CL18" s="65"/>
      <c r="CM18" s="65"/>
      <c r="CN18" s="50" t="s">
        <v>217</v>
      </c>
      <c r="CP18" s="49"/>
      <c r="CV18" s="29" t="s">
        <v>331</v>
      </c>
      <c r="DD18" s="61">
        <v>1</v>
      </c>
    </row>
    <row r="19" spans="1:108" s="49" customFormat="1">
      <c r="A19" s="49" t="s">
        <v>246</v>
      </c>
      <c r="B19" s="49" t="s">
        <v>111</v>
      </c>
      <c r="E19" s="49">
        <v>6</v>
      </c>
      <c r="F19" s="61" t="s">
        <v>288</v>
      </c>
      <c r="L19" s="49">
        <v>-20</v>
      </c>
      <c r="AC19" s="49">
        <v>1</v>
      </c>
      <c r="BY19" s="51"/>
      <c r="BZ19" s="55"/>
      <c r="CI19" s="49" t="s">
        <v>112</v>
      </c>
      <c r="CK19" s="50"/>
      <c r="CL19" s="50"/>
      <c r="CM19" s="50"/>
      <c r="CN19" s="50"/>
      <c r="CV19" s="52" t="s">
        <v>433</v>
      </c>
      <c r="CW19" s="51"/>
      <c r="CX19" s="51"/>
      <c r="CY19" s="51"/>
      <c r="DD19" s="49">
        <v>1</v>
      </c>
    </row>
    <row r="20" spans="1:108" s="57" customFormat="1">
      <c r="A20" s="57" t="s">
        <v>113</v>
      </c>
      <c r="B20" s="57" t="s">
        <v>111</v>
      </c>
      <c r="E20" s="57">
        <v>13</v>
      </c>
      <c r="F20" s="61" t="s">
        <v>517</v>
      </c>
      <c r="L20" s="20">
        <f t="shared" ref="L20" si="3">IF(E20=2,-5,IF(E20=3,-10,IF(E20=4,-15,IF(OR(E20=5,E20=6),-20,IF(OR(E20=7,E20=8),-25,IF(E20=9,-30,-35))))))</f>
        <v>-35</v>
      </c>
      <c r="BZ20" s="58"/>
      <c r="CI20" s="57" t="s">
        <v>112</v>
      </c>
      <c r="CK20" s="63"/>
      <c r="CL20" s="63"/>
      <c r="CM20" s="63"/>
      <c r="CN20" s="63"/>
      <c r="CP20" s="49"/>
      <c r="CV20" s="60" t="s">
        <v>114</v>
      </c>
    </row>
    <row r="21" spans="1:108">
      <c r="A21" s="49" t="s">
        <v>274</v>
      </c>
      <c r="B21" s="20" t="s">
        <v>116</v>
      </c>
      <c r="E21" s="20">
        <v>3</v>
      </c>
      <c r="F21" s="20" t="s">
        <v>612</v>
      </c>
      <c r="I21" s="20" t="s">
        <v>129</v>
      </c>
      <c r="Q21" s="20">
        <v>7</v>
      </c>
      <c r="S21" s="20">
        <v>6</v>
      </c>
      <c r="BQ21" s="20">
        <v>1</v>
      </c>
      <c r="CI21" s="20" t="s">
        <v>117</v>
      </c>
      <c r="CK21" s="20"/>
      <c r="CL21" s="20"/>
      <c r="CM21" s="20"/>
      <c r="CN21" s="20"/>
      <c r="CP21" s="49"/>
      <c r="CV21" s="20" t="s">
        <v>287</v>
      </c>
      <c r="DD21" s="20">
        <v>1</v>
      </c>
    </row>
    <row r="22" spans="1:108">
      <c r="A22" s="49" t="s">
        <v>986</v>
      </c>
      <c r="B22" s="20" t="s">
        <v>116</v>
      </c>
      <c r="E22" s="20">
        <v>20</v>
      </c>
      <c r="F22" s="72" t="s">
        <v>1031</v>
      </c>
      <c r="I22" s="20" t="s">
        <v>129</v>
      </c>
      <c r="L22" s="20">
        <v>-30</v>
      </c>
      <c r="Q22" s="20">
        <v>10</v>
      </c>
      <c r="AC22" s="20">
        <v>2</v>
      </c>
      <c r="AW22" s="20">
        <v>1</v>
      </c>
      <c r="BF22" s="20">
        <v>1</v>
      </c>
      <c r="BG22" s="20">
        <v>1</v>
      </c>
      <c r="BO22" s="20">
        <v>1</v>
      </c>
      <c r="CI22" s="27" t="s">
        <v>117</v>
      </c>
      <c r="CJ22" s="27"/>
      <c r="CK22" s="34" t="s">
        <v>1033</v>
      </c>
      <c r="CL22" s="34" t="s">
        <v>357</v>
      </c>
      <c r="CM22" s="20"/>
      <c r="CN22" s="20"/>
      <c r="CP22" s="49"/>
      <c r="CV22" s="20" t="s">
        <v>985</v>
      </c>
      <c r="DD22" s="20">
        <v>1</v>
      </c>
    </row>
    <row r="23" spans="1:108">
      <c r="A23" s="49" t="s">
        <v>987</v>
      </c>
      <c r="B23" s="20" t="s">
        <v>116</v>
      </c>
      <c r="E23" s="20">
        <v>20</v>
      </c>
      <c r="F23" s="72" t="s">
        <v>1031</v>
      </c>
      <c r="I23" s="20" t="s">
        <v>131</v>
      </c>
      <c r="L23" s="20">
        <v>-30</v>
      </c>
      <c r="Q23" s="20">
        <v>10</v>
      </c>
      <c r="AC23" s="20">
        <v>2</v>
      </c>
      <c r="AT23" s="20">
        <v>1</v>
      </c>
      <c r="BL23" s="20">
        <v>1</v>
      </c>
      <c r="BM23" s="20">
        <v>1</v>
      </c>
      <c r="BQ23" s="20">
        <v>1</v>
      </c>
      <c r="CI23" s="27" t="s">
        <v>117</v>
      </c>
      <c r="CJ23" s="27"/>
      <c r="CK23" s="24" t="s">
        <v>1032</v>
      </c>
      <c r="CL23" s="24" t="s">
        <v>418</v>
      </c>
      <c r="CM23" s="20"/>
      <c r="CN23" s="20"/>
      <c r="CP23" s="49"/>
      <c r="CV23" s="20" t="s">
        <v>984</v>
      </c>
      <c r="DD23" s="20">
        <v>1</v>
      </c>
    </row>
    <row r="24" spans="1:108">
      <c r="A24" s="49" t="s">
        <v>247</v>
      </c>
      <c r="B24" s="20" t="s">
        <v>116</v>
      </c>
      <c r="C24" s="26"/>
      <c r="E24" s="20">
        <v>6</v>
      </c>
      <c r="F24" s="20" t="s">
        <v>614</v>
      </c>
      <c r="I24" s="20" t="s">
        <v>131</v>
      </c>
      <c r="J24" s="20">
        <v>2</v>
      </c>
      <c r="K24" s="20">
        <v>1</v>
      </c>
      <c r="O24" s="20">
        <v>1</v>
      </c>
      <c r="Q24" s="27">
        <v>10</v>
      </c>
      <c r="S24" s="20">
        <v>9</v>
      </c>
      <c r="AD24" s="20">
        <v>1</v>
      </c>
      <c r="BT24" s="20">
        <v>2</v>
      </c>
      <c r="BY24" s="22"/>
      <c r="BZ24" s="27"/>
      <c r="CA24" s="23"/>
      <c r="CI24" s="27" t="s">
        <v>117</v>
      </c>
      <c r="CJ24" s="27"/>
      <c r="CL24" s="24" t="s">
        <v>192</v>
      </c>
      <c r="CP24" s="49"/>
      <c r="CV24" s="25" t="s">
        <v>119</v>
      </c>
      <c r="DD24" s="20">
        <v>1</v>
      </c>
    </row>
    <row r="25" spans="1:108" s="30" customFormat="1">
      <c r="A25" s="66" t="s">
        <v>284</v>
      </c>
      <c r="B25" s="30" t="s">
        <v>116</v>
      </c>
      <c r="C25" s="31"/>
      <c r="E25" s="30">
        <v>12</v>
      </c>
      <c r="F25" s="30" t="s">
        <v>615</v>
      </c>
      <c r="I25" s="30" t="s">
        <v>129</v>
      </c>
      <c r="J25" s="30">
        <v>2</v>
      </c>
      <c r="K25" s="30">
        <v>2</v>
      </c>
      <c r="L25" s="30">
        <v>-25</v>
      </c>
      <c r="Q25" s="30">
        <v>10</v>
      </c>
      <c r="S25" s="30">
        <v>8</v>
      </c>
      <c r="T25" s="30">
        <v>1000</v>
      </c>
      <c r="AC25" s="30">
        <v>1</v>
      </c>
      <c r="AW25" s="30">
        <v>1</v>
      </c>
      <c r="BQ25" s="30">
        <v>2</v>
      </c>
      <c r="BZ25" s="32"/>
      <c r="CA25" s="33">
        <v>8</v>
      </c>
      <c r="CI25" s="32" t="s">
        <v>117</v>
      </c>
      <c r="CJ25" s="32"/>
      <c r="CK25" s="34" t="s">
        <v>489</v>
      </c>
      <c r="CL25" s="34" t="s">
        <v>357</v>
      </c>
      <c r="CM25" s="35"/>
      <c r="CN25" s="35"/>
      <c r="CP25" s="49"/>
      <c r="CV25" s="36" t="s">
        <v>285</v>
      </c>
      <c r="DD25" s="30">
        <v>1</v>
      </c>
    </row>
    <row r="26" spans="1:108" s="30" customFormat="1">
      <c r="A26" s="66" t="s">
        <v>511</v>
      </c>
      <c r="B26" s="30" t="s">
        <v>116</v>
      </c>
      <c r="C26" s="31"/>
      <c r="E26" s="30">
        <v>12</v>
      </c>
      <c r="F26" s="30" t="s">
        <v>615</v>
      </c>
      <c r="I26" s="30" t="s">
        <v>129</v>
      </c>
      <c r="J26" s="30">
        <v>2</v>
      </c>
      <c r="K26" s="30">
        <v>2</v>
      </c>
      <c r="L26" s="30">
        <v>-25</v>
      </c>
      <c r="Q26" s="30">
        <v>10</v>
      </c>
      <c r="S26" s="30">
        <v>8</v>
      </c>
      <c r="T26" s="30">
        <v>1000</v>
      </c>
      <c r="AC26" s="30">
        <v>1</v>
      </c>
      <c r="AW26" s="30">
        <v>1</v>
      </c>
      <c r="BQ26" s="30">
        <v>2</v>
      </c>
      <c r="BZ26" s="32"/>
      <c r="CA26" s="33">
        <v>8</v>
      </c>
      <c r="CI26" s="32" t="s">
        <v>117</v>
      </c>
      <c r="CJ26" s="32"/>
      <c r="CK26" s="34" t="s">
        <v>489</v>
      </c>
      <c r="CL26" s="34" t="s">
        <v>357</v>
      </c>
      <c r="CM26" s="35"/>
      <c r="CN26" s="35"/>
      <c r="CP26" s="49"/>
      <c r="CV26" s="73" t="s">
        <v>512</v>
      </c>
      <c r="DD26" s="30">
        <v>1</v>
      </c>
    </row>
    <row r="27" spans="1:108" s="49" customFormat="1">
      <c r="A27" s="49" t="s">
        <v>280</v>
      </c>
      <c r="B27" s="49" t="s">
        <v>120</v>
      </c>
      <c r="E27" s="49">
        <v>14</v>
      </c>
      <c r="F27" s="49" t="s">
        <v>514</v>
      </c>
      <c r="Q27" s="49">
        <v>9</v>
      </c>
      <c r="S27" s="49">
        <v>7</v>
      </c>
      <c r="AB27" s="49">
        <v>1</v>
      </c>
      <c r="AF27" s="49">
        <v>1</v>
      </c>
      <c r="BY27" s="51"/>
      <c r="BZ27" s="55"/>
      <c r="CB27" s="49">
        <v>10</v>
      </c>
      <c r="CI27" s="51" t="s">
        <v>121</v>
      </c>
      <c r="CJ27" s="51"/>
      <c r="CK27" s="50"/>
      <c r="CL27" s="50"/>
      <c r="CM27" s="50"/>
      <c r="CN27" s="24" t="s">
        <v>484</v>
      </c>
      <c r="CV27" s="56" t="s">
        <v>122</v>
      </c>
      <c r="CW27" s="51"/>
      <c r="CX27" s="51"/>
      <c r="CY27" s="51"/>
      <c r="DD27" s="49">
        <v>1</v>
      </c>
    </row>
    <row r="28" spans="1:108">
      <c r="A28" s="20" t="s">
        <v>400</v>
      </c>
      <c r="B28" s="20" t="s">
        <v>97</v>
      </c>
      <c r="C28" s="37"/>
      <c r="E28" s="20">
        <v>9</v>
      </c>
      <c r="F28" s="20" t="s">
        <v>431</v>
      </c>
      <c r="G28" s="20" t="s">
        <v>273</v>
      </c>
      <c r="I28" s="20" t="s">
        <v>76</v>
      </c>
      <c r="J28" s="20">
        <v>2</v>
      </c>
      <c r="K28" s="20">
        <v>2</v>
      </c>
      <c r="L28" s="20">
        <v>-20</v>
      </c>
      <c r="N28" s="20">
        <v>0</v>
      </c>
      <c r="Q28" s="20">
        <v>1</v>
      </c>
      <c r="R28" s="20">
        <v>10</v>
      </c>
      <c r="S28" s="20">
        <v>0.1</v>
      </c>
      <c r="W28" s="20" t="s">
        <v>98</v>
      </c>
      <c r="CI28" s="27"/>
      <c r="CJ28" s="27"/>
      <c r="CL28" s="24" t="s">
        <v>399</v>
      </c>
      <c r="CM28" s="24" t="s">
        <v>444</v>
      </c>
      <c r="CP28" s="49"/>
      <c r="CV28" s="25" t="s">
        <v>411</v>
      </c>
      <c r="CW28" s="22"/>
      <c r="CX28" s="22"/>
      <c r="CY28" s="22"/>
    </row>
    <row r="29" spans="1:108">
      <c r="A29" s="20" t="s">
        <v>401</v>
      </c>
      <c r="B29" s="20" t="s">
        <v>78</v>
      </c>
      <c r="C29" s="37"/>
      <c r="E29" s="20">
        <v>9</v>
      </c>
      <c r="F29" s="20" t="s">
        <v>372</v>
      </c>
      <c r="G29" s="20" t="s">
        <v>273</v>
      </c>
      <c r="I29" s="20" t="s">
        <v>79</v>
      </c>
      <c r="J29" s="20">
        <v>2</v>
      </c>
      <c r="K29" s="20">
        <v>2</v>
      </c>
      <c r="L29" s="20">
        <v>-20</v>
      </c>
      <c r="Q29" s="20">
        <v>1</v>
      </c>
      <c r="R29" s="20">
        <v>10</v>
      </c>
      <c r="S29" s="20">
        <v>0.1</v>
      </c>
      <c r="W29" s="20" t="s">
        <v>80</v>
      </c>
      <c r="CI29" s="27"/>
      <c r="CJ29" s="27"/>
      <c r="CP29" s="49"/>
      <c r="CV29" s="29" t="s">
        <v>410</v>
      </c>
      <c r="CW29" s="22"/>
      <c r="CX29" s="22"/>
      <c r="CY29" s="22"/>
    </row>
    <row r="30" spans="1:108">
      <c r="A30" s="20" t="s">
        <v>402</v>
      </c>
      <c r="B30" s="20" t="s">
        <v>78</v>
      </c>
      <c r="C30" s="37"/>
      <c r="E30" s="20">
        <v>9</v>
      </c>
      <c r="F30" s="20" t="s">
        <v>372</v>
      </c>
      <c r="G30" s="20" t="s">
        <v>273</v>
      </c>
      <c r="I30" s="20" t="s">
        <v>79</v>
      </c>
      <c r="J30" s="20">
        <v>1</v>
      </c>
      <c r="K30" s="20">
        <v>1</v>
      </c>
      <c r="L30" s="20">
        <v>-20</v>
      </c>
      <c r="N30" s="20">
        <v>0</v>
      </c>
      <c r="Q30" s="20">
        <v>1</v>
      </c>
      <c r="R30" s="20">
        <v>10</v>
      </c>
      <c r="S30" s="20">
        <v>0.1</v>
      </c>
      <c r="W30" s="20" t="s">
        <v>80</v>
      </c>
      <c r="CI30" s="27"/>
      <c r="CJ30" s="27"/>
      <c r="CM30" s="24" t="s">
        <v>444</v>
      </c>
      <c r="CP30" s="49"/>
      <c r="CV30" s="25" t="s">
        <v>412</v>
      </c>
      <c r="CW30" s="22"/>
      <c r="CX30" s="22"/>
      <c r="CY30" s="22"/>
    </row>
    <row r="31" spans="1:108">
      <c r="A31" s="20" t="s">
        <v>403</v>
      </c>
      <c r="B31" s="20" t="s">
        <v>111</v>
      </c>
      <c r="C31" s="37"/>
      <c r="E31" s="20">
        <v>9</v>
      </c>
      <c r="F31" s="20" t="s">
        <v>431</v>
      </c>
      <c r="G31" s="20" t="s">
        <v>272</v>
      </c>
      <c r="I31" s="20" t="s">
        <v>76</v>
      </c>
      <c r="J31" s="20">
        <v>1</v>
      </c>
      <c r="K31" s="20">
        <v>1</v>
      </c>
      <c r="L31" s="20">
        <v>-20</v>
      </c>
      <c r="N31" s="20">
        <v>0</v>
      </c>
      <c r="Q31" s="20">
        <v>1</v>
      </c>
      <c r="R31" s="20">
        <v>10</v>
      </c>
      <c r="S31" s="20">
        <v>0.1</v>
      </c>
      <c r="W31" s="20" t="s">
        <v>112</v>
      </c>
      <c r="CI31" s="27"/>
      <c r="CJ31" s="27"/>
      <c r="CM31" s="24" t="s">
        <v>444</v>
      </c>
      <c r="CP31" s="49"/>
      <c r="CV31" s="25" t="s">
        <v>409</v>
      </c>
      <c r="CW31" s="22"/>
      <c r="CX31" s="22"/>
      <c r="CY31" s="22"/>
    </row>
    <row r="32" spans="1:108">
      <c r="A32" s="20" t="s">
        <v>404</v>
      </c>
      <c r="B32" s="20" t="s">
        <v>97</v>
      </c>
      <c r="C32" s="37"/>
      <c r="E32" s="20">
        <v>9</v>
      </c>
      <c r="F32" s="20" t="s">
        <v>431</v>
      </c>
      <c r="G32" s="20" t="s">
        <v>273</v>
      </c>
      <c r="I32" s="20" t="s">
        <v>76</v>
      </c>
      <c r="J32" s="20">
        <v>1</v>
      </c>
      <c r="K32" s="20">
        <v>1</v>
      </c>
      <c r="L32" s="20">
        <v>-20</v>
      </c>
      <c r="N32" s="20">
        <v>0</v>
      </c>
      <c r="Q32" s="20">
        <v>1</v>
      </c>
      <c r="R32" s="20">
        <v>10</v>
      </c>
      <c r="S32" s="20">
        <v>0.1</v>
      </c>
      <c r="W32" s="20" t="s">
        <v>98</v>
      </c>
      <c r="CI32" s="27"/>
      <c r="CJ32" s="27"/>
      <c r="CM32" s="24" t="s">
        <v>444</v>
      </c>
      <c r="CP32" s="49"/>
      <c r="CV32" s="25" t="s">
        <v>413</v>
      </c>
      <c r="CW32" s="22"/>
      <c r="CX32" s="22"/>
      <c r="CY32" s="22"/>
    </row>
    <row r="33" spans="1:108">
      <c r="A33" s="20" t="s">
        <v>406</v>
      </c>
      <c r="B33" s="20" t="s">
        <v>109</v>
      </c>
      <c r="C33" s="37"/>
      <c r="E33" s="20">
        <v>9</v>
      </c>
      <c r="F33" s="20" t="s">
        <v>377</v>
      </c>
      <c r="G33" s="20" t="s">
        <v>272</v>
      </c>
      <c r="I33" s="20" t="s">
        <v>85</v>
      </c>
      <c r="J33" s="20">
        <v>2</v>
      </c>
      <c r="K33" s="20">
        <v>2</v>
      </c>
      <c r="L33" s="20">
        <v>-20</v>
      </c>
      <c r="Q33" s="20">
        <v>1</v>
      </c>
      <c r="R33" s="20">
        <v>10</v>
      </c>
      <c r="S33" s="20">
        <v>0.1</v>
      </c>
      <c r="W33" s="20" t="s">
        <v>86</v>
      </c>
      <c r="CI33" s="27"/>
      <c r="CJ33" s="27"/>
      <c r="CL33" s="24" t="s">
        <v>407</v>
      </c>
      <c r="CM33" s="24" t="s">
        <v>444</v>
      </c>
      <c r="CP33" s="49"/>
      <c r="CV33" s="25" t="s">
        <v>414</v>
      </c>
      <c r="CW33" s="22"/>
      <c r="CX33" s="22"/>
      <c r="CY33" s="22"/>
    </row>
    <row r="34" spans="1:108">
      <c r="A34" s="20" t="s">
        <v>405</v>
      </c>
      <c r="B34" s="20" t="s">
        <v>109</v>
      </c>
      <c r="C34" s="37"/>
      <c r="E34" s="20">
        <v>9</v>
      </c>
      <c r="F34" s="20" t="s">
        <v>377</v>
      </c>
      <c r="G34" s="20" t="s">
        <v>272</v>
      </c>
      <c r="I34" s="20" t="s">
        <v>76</v>
      </c>
      <c r="J34" s="20">
        <v>2</v>
      </c>
      <c r="K34" s="20">
        <v>2</v>
      </c>
      <c r="L34" s="20">
        <v>-20</v>
      </c>
      <c r="N34" s="20">
        <v>0</v>
      </c>
      <c r="Q34" s="20">
        <v>1</v>
      </c>
      <c r="R34" s="20">
        <v>10</v>
      </c>
      <c r="S34" s="20">
        <v>0.1</v>
      </c>
      <c r="W34" s="20" t="s">
        <v>86</v>
      </c>
      <c r="CI34" s="27"/>
      <c r="CJ34" s="27"/>
      <c r="CL34" s="24" t="s">
        <v>399</v>
      </c>
      <c r="CM34" s="24" t="s">
        <v>444</v>
      </c>
      <c r="CP34" s="49"/>
      <c r="CV34" s="25" t="s">
        <v>408</v>
      </c>
      <c r="CW34" s="22"/>
      <c r="CX34" s="22"/>
      <c r="CY34" s="22"/>
    </row>
    <row r="35" spans="1:108">
      <c r="A35" s="72" t="s">
        <v>995</v>
      </c>
      <c r="B35" s="72" t="s">
        <v>996</v>
      </c>
      <c r="C35" s="37"/>
      <c r="E35" s="20">
        <v>5</v>
      </c>
      <c r="F35" s="72" t="s">
        <v>997</v>
      </c>
      <c r="G35" s="72" t="s">
        <v>273</v>
      </c>
      <c r="H35" s="20">
        <v>4</v>
      </c>
      <c r="I35" s="72" t="s">
        <v>127</v>
      </c>
      <c r="J35" s="20">
        <v>1</v>
      </c>
      <c r="K35" s="20">
        <v>1</v>
      </c>
      <c r="L35" s="20">
        <v>-20</v>
      </c>
      <c r="N35" s="20">
        <v>0</v>
      </c>
      <c r="O35" s="20">
        <v>0</v>
      </c>
      <c r="Q35" s="20">
        <v>10</v>
      </c>
      <c r="R35" s="20">
        <v>0</v>
      </c>
      <c r="S35" s="20">
        <v>5</v>
      </c>
      <c r="T35" s="20">
        <v>1000</v>
      </c>
      <c r="V35" s="20">
        <v>10</v>
      </c>
      <c r="W35" s="20" t="s">
        <v>126</v>
      </c>
      <c r="Z35" s="20" t="s">
        <v>1001</v>
      </c>
      <c r="CI35" s="27"/>
      <c r="CJ35" s="27"/>
      <c r="CM35" s="24" t="s">
        <v>398</v>
      </c>
      <c r="CP35" s="49">
        <v>-1</v>
      </c>
      <c r="CV35" s="25" t="s">
        <v>998</v>
      </c>
      <c r="CW35" s="22"/>
      <c r="CX35" s="22"/>
      <c r="CY35" s="22"/>
      <c r="DD35" s="20">
        <v>1</v>
      </c>
    </row>
    <row r="36" spans="1:108">
      <c r="A36" s="72" t="s">
        <v>1002</v>
      </c>
      <c r="B36" s="72" t="s">
        <v>996</v>
      </c>
      <c r="C36" s="37"/>
      <c r="E36" s="20">
        <v>5</v>
      </c>
      <c r="F36" s="72" t="s">
        <v>997</v>
      </c>
      <c r="G36" s="72" t="s">
        <v>273</v>
      </c>
      <c r="I36" s="72" t="s">
        <v>129</v>
      </c>
      <c r="J36" s="20">
        <v>1</v>
      </c>
      <c r="K36" s="20">
        <v>1</v>
      </c>
      <c r="L36" s="20">
        <v>-20</v>
      </c>
      <c r="N36" s="20">
        <v>0</v>
      </c>
      <c r="O36" s="20">
        <v>0</v>
      </c>
      <c r="Q36" s="20">
        <v>1</v>
      </c>
      <c r="R36" s="20">
        <v>10</v>
      </c>
      <c r="S36" s="20">
        <v>3</v>
      </c>
      <c r="T36" s="20">
        <v>1000</v>
      </c>
      <c r="W36" s="72" t="s">
        <v>126</v>
      </c>
      <c r="Z36" s="20" t="s">
        <v>1065</v>
      </c>
      <c r="CI36" s="27"/>
      <c r="CJ36" s="27"/>
      <c r="CM36" s="24" t="s">
        <v>444</v>
      </c>
      <c r="CP36" s="49">
        <v>0</v>
      </c>
      <c r="CV36" s="25" t="s">
        <v>1003</v>
      </c>
      <c r="CW36" s="22"/>
      <c r="CX36" s="22"/>
      <c r="CY36" s="22"/>
    </row>
    <row r="37" spans="1:108">
      <c r="A37" s="72" t="s">
        <v>1011</v>
      </c>
      <c r="B37" s="72" t="s">
        <v>996</v>
      </c>
      <c r="C37" s="37"/>
      <c r="E37" s="20">
        <v>20</v>
      </c>
      <c r="F37" s="72" t="s">
        <v>613</v>
      </c>
      <c r="G37" s="72" t="s">
        <v>273</v>
      </c>
      <c r="I37" s="72" t="s">
        <v>131</v>
      </c>
      <c r="L37" s="20">
        <v>-30</v>
      </c>
      <c r="S37" s="20">
        <v>8</v>
      </c>
      <c r="W37" s="72" t="s">
        <v>126</v>
      </c>
      <c r="Z37" s="20" t="s">
        <v>1013</v>
      </c>
      <c r="AC37" s="20">
        <v>1</v>
      </c>
      <c r="AW37" s="20">
        <v>1</v>
      </c>
      <c r="BO37" s="20">
        <v>3</v>
      </c>
      <c r="CI37" s="27"/>
      <c r="CJ37" s="27"/>
      <c r="CM37" s="50" t="s">
        <v>398</v>
      </c>
      <c r="CN37" s="50" t="s">
        <v>237</v>
      </c>
      <c r="CP37" s="49"/>
      <c r="CV37" s="25" t="s">
        <v>1012</v>
      </c>
      <c r="CW37" s="22"/>
      <c r="CX37" s="22"/>
      <c r="CY37" s="22"/>
      <c r="DD37" s="20">
        <v>1</v>
      </c>
    </row>
    <row r="38" spans="1:108">
      <c r="A38" s="72" t="s">
        <v>1055</v>
      </c>
      <c r="B38" s="72" t="s">
        <v>996</v>
      </c>
      <c r="C38" s="37"/>
      <c r="E38" s="20">
        <v>1</v>
      </c>
      <c r="F38" s="72" t="s">
        <v>1056</v>
      </c>
      <c r="G38" s="72" t="s">
        <v>273</v>
      </c>
      <c r="I38" s="72" t="s">
        <v>134</v>
      </c>
      <c r="L38" s="20">
        <v>-5</v>
      </c>
      <c r="S38" s="20">
        <v>3</v>
      </c>
      <c r="W38" s="72" t="s">
        <v>126</v>
      </c>
      <c r="Z38" s="94" t="s">
        <v>1062</v>
      </c>
      <c r="BR38" s="20">
        <v>1</v>
      </c>
      <c r="CI38" s="27"/>
      <c r="CJ38" s="27"/>
      <c r="CM38" s="50"/>
      <c r="CN38" s="50"/>
      <c r="CP38" s="49"/>
      <c r="CV38" s="25" t="s">
        <v>1059</v>
      </c>
      <c r="CW38" s="22"/>
      <c r="CX38" s="22"/>
      <c r="CY38" s="22"/>
    </row>
    <row r="39" spans="1:108">
      <c r="A39" s="72" t="s">
        <v>1057</v>
      </c>
      <c r="B39" s="72" t="s">
        <v>996</v>
      </c>
      <c r="C39" s="37"/>
      <c r="E39" s="20">
        <v>1</v>
      </c>
      <c r="F39" s="72" t="s">
        <v>1056</v>
      </c>
      <c r="G39" s="72" t="s">
        <v>273</v>
      </c>
      <c r="I39" s="72" t="s">
        <v>134</v>
      </c>
      <c r="L39" s="20">
        <v>-5</v>
      </c>
      <c r="S39" s="20">
        <v>3</v>
      </c>
      <c r="W39" s="72" t="s">
        <v>126</v>
      </c>
      <c r="Z39" s="94" t="s">
        <v>1062</v>
      </c>
      <c r="BR39" s="20">
        <v>1</v>
      </c>
      <c r="CI39" s="27"/>
      <c r="CJ39" s="27"/>
      <c r="CM39" s="50"/>
      <c r="CN39" s="50"/>
      <c r="CP39" s="49"/>
      <c r="CV39" s="25" t="s">
        <v>1060</v>
      </c>
      <c r="CW39" s="22"/>
      <c r="CX39" s="22"/>
      <c r="CY39" s="22"/>
    </row>
    <row r="40" spans="1:108">
      <c r="A40" s="72" t="s">
        <v>1058</v>
      </c>
      <c r="B40" s="72" t="s">
        <v>996</v>
      </c>
      <c r="C40" s="37"/>
      <c r="E40" s="20">
        <v>1</v>
      </c>
      <c r="F40" s="72" t="s">
        <v>1056</v>
      </c>
      <c r="G40" s="72" t="s">
        <v>273</v>
      </c>
      <c r="I40" s="72" t="s">
        <v>129</v>
      </c>
      <c r="L40" s="20">
        <v>-5</v>
      </c>
      <c r="S40" s="20">
        <v>3</v>
      </c>
      <c r="W40" s="72" t="s">
        <v>126</v>
      </c>
      <c r="Z40" s="94" t="s">
        <v>1063</v>
      </c>
      <c r="BQ40" s="20">
        <v>1</v>
      </c>
      <c r="CI40" s="27"/>
      <c r="CJ40" s="27"/>
      <c r="CM40" s="50"/>
      <c r="CN40" s="50"/>
      <c r="CP40" s="49"/>
      <c r="CV40" s="25" t="s">
        <v>1061</v>
      </c>
      <c r="CW40" s="22"/>
      <c r="CX40" s="22"/>
      <c r="CY40" s="22"/>
    </row>
    <row r="41" spans="1:108">
      <c r="A41" s="72" t="s">
        <v>1071</v>
      </c>
      <c r="B41" s="20" t="s">
        <v>120</v>
      </c>
      <c r="E41" s="20">
        <v>4</v>
      </c>
      <c r="F41" s="20" t="s">
        <v>372</v>
      </c>
      <c r="L41" s="20">
        <f t="shared" ref="L41" si="4">-E41-5</f>
        <v>-9</v>
      </c>
      <c r="S41" s="20">
        <v>4.9000000000000004</v>
      </c>
      <c r="BR41" s="22"/>
      <c r="BS41" s="23"/>
      <c r="CA41" s="27"/>
      <c r="CB41" s="27"/>
      <c r="CC41" s="24"/>
      <c r="CD41" s="24"/>
      <c r="CE41" s="24"/>
      <c r="CF41" s="24"/>
      <c r="CH41" s="27"/>
      <c r="CI41" s="72" t="s">
        <v>121</v>
      </c>
      <c r="CK41" s="20"/>
      <c r="CL41" s="20"/>
      <c r="CM41" s="20"/>
      <c r="CN41" s="20"/>
      <c r="CV41" s="25" t="s">
        <v>1070</v>
      </c>
      <c r="CW41" s="22"/>
      <c r="CX41" s="22"/>
      <c r="CY41" s="22"/>
    </row>
    <row r="42" spans="1:108">
      <c r="A42" s="16" t="s">
        <v>128</v>
      </c>
      <c r="B42" s="16"/>
      <c r="C42" s="17" t="s">
        <v>75</v>
      </c>
      <c r="D42" s="16"/>
      <c r="E42" s="16"/>
      <c r="F42" s="16"/>
      <c r="G42" s="16" t="s">
        <v>273</v>
      </c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8"/>
      <c r="BZ42" s="19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3"/>
      <c r="CL42" s="13"/>
      <c r="CM42" s="13"/>
      <c r="CP42" s="16">
        <v>0</v>
      </c>
      <c r="CQ42" s="16"/>
      <c r="CR42" s="16"/>
      <c r="CS42" s="16"/>
      <c r="CT42" s="16"/>
      <c r="CU42" s="16"/>
      <c r="CV42" s="21"/>
      <c r="CW42" s="16"/>
      <c r="CX42" s="16"/>
      <c r="CY42" s="16"/>
      <c r="CZ42" s="16"/>
      <c r="DA42" s="16"/>
      <c r="DB42" s="16"/>
      <c r="DC42" s="16"/>
      <c r="DD42" s="16"/>
    </row>
    <row r="43" spans="1:108">
      <c r="A43" s="49" t="s">
        <v>491</v>
      </c>
      <c r="B43" s="20" t="s">
        <v>116</v>
      </c>
      <c r="E43" s="20">
        <v>15</v>
      </c>
      <c r="I43" s="20" t="s">
        <v>131</v>
      </c>
      <c r="J43" s="20">
        <v>7</v>
      </c>
      <c r="O43" s="20">
        <v>0</v>
      </c>
      <c r="Q43" s="20">
        <v>10</v>
      </c>
      <c r="W43" s="20" t="s">
        <v>117</v>
      </c>
      <c r="CI43" s="27"/>
      <c r="CJ43" s="27"/>
      <c r="CL43" s="24" t="s">
        <v>418</v>
      </c>
      <c r="CM43" s="24" t="s">
        <v>398</v>
      </c>
      <c r="CN43" s="24" t="s">
        <v>485</v>
      </c>
      <c r="CO43" s="20" t="s">
        <v>296</v>
      </c>
      <c r="CP43" s="27"/>
      <c r="CV43" s="20" t="s">
        <v>434</v>
      </c>
    </row>
    <row r="44" spans="1:108">
      <c r="A44" s="49" t="s">
        <v>492</v>
      </c>
      <c r="B44" s="72" t="s">
        <v>84</v>
      </c>
      <c r="E44" s="20">
        <v>20</v>
      </c>
      <c r="G44" s="20" t="s">
        <v>273</v>
      </c>
      <c r="O44" s="20">
        <v>0</v>
      </c>
      <c r="Q44" s="20">
        <v>10</v>
      </c>
      <c r="W44" s="72" t="s">
        <v>86</v>
      </c>
      <c r="X44" s="72"/>
      <c r="CI44" s="27"/>
      <c r="CJ44" s="27"/>
      <c r="CL44" s="24" t="s">
        <v>988</v>
      </c>
      <c r="CM44" s="24" t="s">
        <v>398</v>
      </c>
      <c r="CN44" s="24" t="s">
        <v>485</v>
      </c>
      <c r="CO44" s="72" t="s">
        <v>296</v>
      </c>
      <c r="CP44" s="27"/>
      <c r="CV44" s="20" t="s">
        <v>493</v>
      </c>
    </row>
    <row r="45" spans="1:108">
      <c r="A45" s="49" t="s">
        <v>490</v>
      </c>
      <c r="B45" s="20" t="s">
        <v>116</v>
      </c>
      <c r="E45" s="20">
        <v>20</v>
      </c>
      <c r="I45" s="20" t="s">
        <v>129</v>
      </c>
      <c r="O45" s="20">
        <v>0</v>
      </c>
      <c r="Q45" s="20">
        <v>10</v>
      </c>
      <c r="W45" s="20" t="s">
        <v>117</v>
      </c>
      <c r="CI45" s="27"/>
      <c r="CJ45" s="27"/>
      <c r="CK45" s="34"/>
      <c r="CL45" s="34" t="s">
        <v>357</v>
      </c>
      <c r="CM45" s="24" t="s">
        <v>398</v>
      </c>
      <c r="CN45" s="24" t="s">
        <v>484</v>
      </c>
      <c r="CO45" s="20" t="s">
        <v>296</v>
      </c>
      <c r="CP45" s="27"/>
      <c r="CV45" s="20" t="s">
        <v>283</v>
      </c>
    </row>
    <row r="46" spans="1:108">
      <c r="A46" s="71" t="s">
        <v>1005</v>
      </c>
      <c r="B46" s="20" t="s">
        <v>78</v>
      </c>
      <c r="C46" s="37"/>
      <c r="E46" s="20">
        <v>20</v>
      </c>
      <c r="G46" s="20" t="s">
        <v>273</v>
      </c>
      <c r="H46" s="20">
        <v>6</v>
      </c>
      <c r="I46" s="20" t="s">
        <v>79</v>
      </c>
      <c r="J46" s="20">
        <v>4</v>
      </c>
      <c r="N46" s="20">
        <v>0</v>
      </c>
      <c r="O46" s="20">
        <v>0</v>
      </c>
      <c r="Q46" s="20">
        <v>10</v>
      </c>
      <c r="W46" s="20" t="s">
        <v>77</v>
      </c>
      <c r="CM46" s="24" t="s">
        <v>398</v>
      </c>
      <c r="CO46" s="20" t="s">
        <v>296</v>
      </c>
      <c r="CV46" s="25" t="s">
        <v>130</v>
      </c>
      <c r="CZ46" s="38"/>
    </row>
    <row r="47" spans="1:108">
      <c r="A47" s="20" t="s">
        <v>373</v>
      </c>
      <c r="B47" s="20" t="s">
        <v>84</v>
      </c>
      <c r="E47" s="20">
        <v>7</v>
      </c>
      <c r="G47" s="20" t="s">
        <v>273</v>
      </c>
      <c r="H47" s="20">
        <v>4</v>
      </c>
      <c r="I47" s="20" t="s">
        <v>76</v>
      </c>
      <c r="J47" s="20">
        <v>4</v>
      </c>
      <c r="K47" s="20">
        <v>1</v>
      </c>
      <c r="L47" s="20">
        <v>-20</v>
      </c>
      <c r="N47" s="20">
        <v>0</v>
      </c>
      <c r="O47" s="20">
        <v>0</v>
      </c>
      <c r="Q47" s="20">
        <v>10</v>
      </c>
      <c r="W47" s="20" t="s">
        <v>86</v>
      </c>
      <c r="CL47" s="24" t="s">
        <v>417</v>
      </c>
      <c r="CM47" s="24" t="s">
        <v>398</v>
      </c>
      <c r="CN47" s="24" t="s">
        <v>486</v>
      </c>
      <c r="CO47" s="20" t="s">
        <v>296</v>
      </c>
      <c r="CV47" s="20" t="s">
        <v>89</v>
      </c>
      <c r="CZ47" s="38"/>
    </row>
    <row r="48" spans="1:108">
      <c r="A48" s="20" t="s">
        <v>374</v>
      </c>
      <c r="B48" s="20" t="s">
        <v>111</v>
      </c>
      <c r="E48" s="20">
        <v>7</v>
      </c>
      <c r="G48" s="20" t="s">
        <v>272</v>
      </c>
      <c r="H48" s="20">
        <v>5</v>
      </c>
      <c r="I48" s="20" t="s">
        <v>76</v>
      </c>
      <c r="J48" s="20">
        <v>4</v>
      </c>
      <c r="K48" s="20">
        <v>2</v>
      </c>
      <c r="L48" s="20">
        <v>-20</v>
      </c>
      <c r="N48" s="20">
        <v>0</v>
      </c>
      <c r="O48" s="20">
        <v>0</v>
      </c>
      <c r="P48" s="20">
        <v>3</v>
      </c>
      <c r="Q48" s="20">
        <v>10</v>
      </c>
      <c r="W48" s="20" t="s">
        <v>112</v>
      </c>
      <c r="BY48" s="22"/>
      <c r="BZ48" s="23"/>
      <c r="CL48" s="24" t="s">
        <v>202</v>
      </c>
      <c r="CM48" s="24" t="s">
        <v>398</v>
      </c>
      <c r="CN48" s="24" t="s">
        <v>486</v>
      </c>
      <c r="CO48" s="20" t="s">
        <v>296</v>
      </c>
      <c r="CV48" s="29" t="s">
        <v>114</v>
      </c>
      <c r="CZ48" s="38"/>
    </row>
    <row r="49" spans="1:104">
      <c r="A49" s="20" t="s">
        <v>205</v>
      </c>
      <c r="B49" s="20" t="s">
        <v>93</v>
      </c>
      <c r="C49" s="37"/>
      <c r="E49" s="20">
        <v>6</v>
      </c>
      <c r="G49" s="20" t="s">
        <v>272</v>
      </c>
      <c r="N49" s="20">
        <v>0</v>
      </c>
      <c r="O49" s="20">
        <v>0</v>
      </c>
      <c r="Q49" s="20">
        <v>10</v>
      </c>
      <c r="W49" s="20" t="s">
        <v>77</v>
      </c>
      <c r="CL49" s="24" t="s">
        <v>305</v>
      </c>
      <c r="CM49" s="24" t="s">
        <v>398</v>
      </c>
      <c r="CO49" s="20" t="s">
        <v>296</v>
      </c>
      <c r="CV49" s="25" t="s">
        <v>130</v>
      </c>
      <c r="CZ49" s="38"/>
    </row>
    <row r="50" spans="1:104">
      <c r="A50" s="20" t="s">
        <v>206</v>
      </c>
      <c r="B50" s="20" t="s">
        <v>93</v>
      </c>
      <c r="C50" s="37"/>
      <c r="E50" s="20">
        <v>6</v>
      </c>
      <c r="G50" s="20" t="s">
        <v>272</v>
      </c>
      <c r="N50" s="20">
        <v>0</v>
      </c>
      <c r="O50" s="20">
        <v>0</v>
      </c>
      <c r="Q50" s="20">
        <v>10</v>
      </c>
      <c r="W50" s="20" t="s">
        <v>77</v>
      </c>
      <c r="CL50" s="24" t="s">
        <v>418</v>
      </c>
      <c r="CM50" s="24" t="s">
        <v>398</v>
      </c>
      <c r="CO50" s="20" t="s">
        <v>296</v>
      </c>
      <c r="CV50" s="25" t="s">
        <v>130</v>
      </c>
      <c r="CZ50" s="38"/>
    </row>
    <row r="51" spans="1:104">
      <c r="A51" s="39" t="s">
        <v>207</v>
      </c>
      <c r="B51" s="20" t="s">
        <v>93</v>
      </c>
      <c r="C51" s="37"/>
      <c r="E51" s="20">
        <v>6</v>
      </c>
      <c r="G51" s="20" t="s">
        <v>272</v>
      </c>
      <c r="N51" s="20">
        <v>0</v>
      </c>
      <c r="O51" s="20">
        <v>0</v>
      </c>
      <c r="Q51" s="20">
        <v>10</v>
      </c>
      <c r="W51" s="20" t="s">
        <v>77</v>
      </c>
      <c r="CL51" s="24" t="s">
        <v>306</v>
      </c>
      <c r="CM51" s="24" t="s">
        <v>398</v>
      </c>
      <c r="CO51" s="20" t="s">
        <v>296</v>
      </c>
      <c r="CV51" s="25" t="s">
        <v>130</v>
      </c>
      <c r="CZ51" s="38"/>
    </row>
    <row r="52" spans="1:104">
      <c r="A52" s="39" t="s">
        <v>208</v>
      </c>
      <c r="B52" s="20" t="s">
        <v>93</v>
      </c>
      <c r="C52" s="37"/>
      <c r="E52" s="20">
        <v>6</v>
      </c>
      <c r="G52" s="20" t="s">
        <v>272</v>
      </c>
      <c r="N52" s="20">
        <v>0</v>
      </c>
      <c r="O52" s="20">
        <v>0</v>
      </c>
      <c r="Q52" s="20">
        <v>10</v>
      </c>
      <c r="W52" s="20" t="s">
        <v>77</v>
      </c>
      <c r="CL52" s="24" t="s">
        <v>294</v>
      </c>
      <c r="CM52" s="24" t="s">
        <v>398</v>
      </c>
      <c r="CO52" s="20" t="s">
        <v>296</v>
      </c>
      <c r="CV52" s="25" t="s">
        <v>130</v>
      </c>
      <c r="CZ52" s="38"/>
    </row>
    <row r="53" spans="1:104">
      <c r="A53" s="39" t="s">
        <v>380</v>
      </c>
      <c r="B53" s="20" t="s">
        <v>97</v>
      </c>
      <c r="C53" s="37"/>
      <c r="E53" s="20">
        <v>7</v>
      </c>
      <c r="G53" s="20" t="s">
        <v>273</v>
      </c>
      <c r="H53" s="20">
        <v>4</v>
      </c>
      <c r="I53" s="20" t="s">
        <v>76</v>
      </c>
      <c r="J53" s="20">
        <v>4</v>
      </c>
      <c r="N53" s="20">
        <v>0</v>
      </c>
      <c r="O53" s="20">
        <v>0</v>
      </c>
      <c r="Q53" s="20">
        <v>10</v>
      </c>
      <c r="W53" s="20" t="s">
        <v>77</v>
      </c>
      <c r="CL53" s="24" t="s">
        <v>942</v>
      </c>
      <c r="CM53" s="24" t="s">
        <v>398</v>
      </c>
      <c r="CN53" s="24" t="s">
        <v>485</v>
      </c>
      <c r="CO53" s="20" t="s">
        <v>296</v>
      </c>
      <c r="CV53" s="25" t="s">
        <v>130</v>
      </c>
      <c r="CZ53" s="38"/>
    </row>
    <row r="54" spans="1:104">
      <c r="A54" s="39" t="s">
        <v>381</v>
      </c>
      <c r="B54" s="20" t="s">
        <v>97</v>
      </c>
      <c r="C54" s="37"/>
      <c r="E54" s="20">
        <v>7</v>
      </c>
      <c r="G54" s="20" t="s">
        <v>273</v>
      </c>
      <c r="H54" s="20">
        <v>4</v>
      </c>
      <c r="I54" s="20" t="s">
        <v>76</v>
      </c>
      <c r="N54" s="20">
        <v>0</v>
      </c>
      <c r="O54" s="20">
        <v>0</v>
      </c>
      <c r="P54" s="20">
        <v>0</v>
      </c>
      <c r="Q54" s="20">
        <v>10</v>
      </c>
      <c r="W54" s="20" t="s">
        <v>86</v>
      </c>
      <c r="CM54" s="24" t="s">
        <v>398</v>
      </c>
      <c r="CN54" s="24" t="s">
        <v>485</v>
      </c>
      <c r="CO54" s="20" t="s">
        <v>296</v>
      </c>
      <c r="CV54" s="25" t="s">
        <v>130</v>
      </c>
      <c r="CZ54" s="38"/>
    </row>
    <row r="55" spans="1:104">
      <c r="A55" s="71" t="s">
        <v>616</v>
      </c>
      <c r="B55" s="20" t="s">
        <v>116</v>
      </c>
      <c r="C55" s="26"/>
      <c r="E55" s="20">
        <v>9</v>
      </c>
      <c r="G55" s="20" t="s">
        <v>272</v>
      </c>
      <c r="H55" s="20">
        <v>4</v>
      </c>
      <c r="I55" s="20" t="s">
        <v>134</v>
      </c>
      <c r="J55" s="20">
        <v>4</v>
      </c>
      <c r="L55" s="20">
        <v>-20</v>
      </c>
      <c r="N55" s="20">
        <v>0</v>
      </c>
      <c r="O55" s="20">
        <v>0</v>
      </c>
      <c r="Q55" s="20">
        <v>10</v>
      </c>
      <c r="W55" s="20" t="s">
        <v>117</v>
      </c>
      <c r="BY55" s="22"/>
      <c r="BZ55" s="27"/>
      <c r="CA55" s="23"/>
      <c r="CI55" s="27"/>
      <c r="CJ55" s="27"/>
      <c r="CM55" s="24" t="s">
        <v>398</v>
      </c>
      <c r="CO55" s="20" t="s">
        <v>296</v>
      </c>
      <c r="CP55" s="27"/>
      <c r="CV55" s="25" t="s">
        <v>430</v>
      </c>
      <c r="CZ55" s="38"/>
    </row>
    <row r="56" spans="1:104">
      <c r="A56" s="71" t="s">
        <v>617</v>
      </c>
      <c r="B56" s="20" t="s">
        <v>97</v>
      </c>
      <c r="C56" s="37"/>
      <c r="E56" s="20">
        <v>9</v>
      </c>
      <c r="G56" s="20" t="s">
        <v>273</v>
      </c>
      <c r="H56" s="20">
        <v>4</v>
      </c>
      <c r="I56" s="20" t="s">
        <v>76</v>
      </c>
      <c r="J56" s="20">
        <v>7</v>
      </c>
      <c r="N56" s="20">
        <v>0</v>
      </c>
      <c r="O56" s="20">
        <v>0</v>
      </c>
      <c r="Q56" s="20">
        <v>10</v>
      </c>
      <c r="W56" s="20" t="s">
        <v>77</v>
      </c>
      <c r="CL56" s="24" t="s">
        <v>618</v>
      </c>
      <c r="CM56" s="24" t="s">
        <v>398</v>
      </c>
      <c r="CO56" s="20" t="s">
        <v>296</v>
      </c>
      <c r="CV56" s="25" t="s">
        <v>130</v>
      </c>
      <c r="CZ56" s="38"/>
    </row>
    <row r="57" spans="1:104">
      <c r="A57" s="71" t="s">
        <v>619</v>
      </c>
      <c r="B57" s="20" t="s">
        <v>93</v>
      </c>
      <c r="E57" s="20">
        <v>9</v>
      </c>
      <c r="G57" s="20" t="s">
        <v>273</v>
      </c>
      <c r="H57" s="20">
        <v>4</v>
      </c>
      <c r="I57" s="20" t="s">
        <v>85</v>
      </c>
      <c r="J57" s="20">
        <v>5</v>
      </c>
      <c r="N57" s="20">
        <v>0</v>
      </c>
      <c r="O57" s="20">
        <v>0</v>
      </c>
      <c r="Q57" s="20">
        <v>10</v>
      </c>
      <c r="W57" s="20" t="s">
        <v>94</v>
      </c>
      <c r="BY57" s="22"/>
      <c r="BZ57" s="23"/>
      <c r="CI57" s="27"/>
      <c r="CJ57" s="27"/>
      <c r="CM57" s="24" t="s">
        <v>398</v>
      </c>
      <c r="CO57" s="20" t="s">
        <v>296</v>
      </c>
      <c r="CP57" s="27"/>
      <c r="CV57" s="25" t="s">
        <v>334</v>
      </c>
      <c r="CW57" s="22"/>
      <c r="CX57" s="22"/>
      <c r="CY57" s="22"/>
      <c r="CZ57" s="38"/>
    </row>
    <row r="58" spans="1:104">
      <c r="A58" s="71" t="s">
        <v>620</v>
      </c>
      <c r="B58" s="20" t="s">
        <v>120</v>
      </c>
      <c r="C58" s="26"/>
      <c r="E58" s="20">
        <v>9</v>
      </c>
      <c r="H58" s="20">
        <v>4</v>
      </c>
      <c r="I58" s="20" t="s">
        <v>79</v>
      </c>
      <c r="J58" s="20">
        <v>5</v>
      </c>
      <c r="N58" s="20">
        <v>0</v>
      </c>
      <c r="O58" s="20">
        <v>0</v>
      </c>
      <c r="Q58" s="20">
        <v>10</v>
      </c>
      <c r="W58" s="20" t="s">
        <v>121</v>
      </c>
      <c r="BY58" s="22"/>
      <c r="BZ58" s="23"/>
      <c r="CI58" s="27"/>
      <c r="CJ58" s="27"/>
      <c r="CM58" s="24" t="s">
        <v>398</v>
      </c>
      <c r="CO58" s="20" t="s">
        <v>296</v>
      </c>
      <c r="CP58" s="27"/>
      <c r="CV58" s="25" t="s">
        <v>337</v>
      </c>
      <c r="CW58" s="22"/>
      <c r="CX58" s="22"/>
      <c r="CY58" s="22"/>
      <c r="CZ58" s="38"/>
    </row>
    <row r="59" spans="1:104">
      <c r="A59" s="71" t="s">
        <v>621</v>
      </c>
      <c r="B59" s="20" t="s">
        <v>116</v>
      </c>
      <c r="C59" s="26"/>
      <c r="E59" s="20">
        <v>9</v>
      </c>
      <c r="G59" s="20" t="s">
        <v>272</v>
      </c>
      <c r="H59" s="20">
        <v>4</v>
      </c>
      <c r="I59" s="20" t="s">
        <v>133</v>
      </c>
      <c r="J59" s="20">
        <v>3</v>
      </c>
      <c r="L59" s="20">
        <v>-20</v>
      </c>
      <c r="N59" s="20">
        <v>0</v>
      </c>
      <c r="O59" s="20">
        <v>0</v>
      </c>
      <c r="Q59" s="20">
        <v>10</v>
      </c>
      <c r="W59" s="20" t="s">
        <v>117</v>
      </c>
      <c r="BY59" s="22"/>
      <c r="BZ59" s="27"/>
      <c r="CA59" s="23"/>
      <c r="CI59" s="27"/>
      <c r="CJ59" s="27"/>
      <c r="CM59" s="24" t="s">
        <v>398</v>
      </c>
      <c r="CO59" s="20" t="s">
        <v>296</v>
      </c>
      <c r="CP59" s="27"/>
      <c r="CV59" s="25" t="s">
        <v>427</v>
      </c>
      <c r="CZ59" s="38"/>
    </row>
    <row r="60" spans="1:104" s="49" customFormat="1">
      <c r="A60" s="49" t="s">
        <v>437</v>
      </c>
      <c r="B60" s="49" t="s">
        <v>104</v>
      </c>
      <c r="E60" s="49">
        <v>9</v>
      </c>
      <c r="N60" s="49">
        <v>0</v>
      </c>
      <c r="O60" s="49">
        <v>0</v>
      </c>
      <c r="Q60" s="49">
        <v>10</v>
      </c>
      <c r="S60" s="49">
        <v>9</v>
      </c>
      <c r="AA60" s="49">
        <v>1</v>
      </c>
      <c r="BO60" s="49">
        <v>1</v>
      </c>
      <c r="BY60" s="51"/>
      <c r="BZ60" s="55"/>
      <c r="CK60" s="50"/>
      <c r="CL60" s="50"/>
      <c r="CM60" s="24" t="s">
        <v>398</v>
      </c>
      <c r="CN60" s="51"/>
      <c r="CO60" s="49" t="s">
        <v>296</v>
      </c>
      <c r="CV60" s="52" t="s">
        <v>282</v>
      </c>
    </row>
    <row r="61" spans="1:104">
      <c r="A61" s="39" t="s">
        <v>384</v>
      </c>
      <c r="B61" s="20" t="s">
        <v>78</v>
      </c>
      <c r="C61" s="37"/>
      <c r="E61" s="20">
        <v>6</v>
      </c>
      <c r="G61" s="20" t="s">
        <v>273</v>
      </c>
      <c r="H61" s="20">
        <v>3</v>
      </c>
      <c r="N61" s="20">
        <v>0</v>
      </c>
      <c r="O61" s="20">
        <v>0</v>
      </c>
      <c r="Q61" s="20">
        <v>10</v>
      </c>
      <c r="W61" s="20" t="s">
        <v>80</v>
      </c>
      <c r="CL61" s="24" t="s">
        <v>341</v>
      </c>
      <c r="CM61" s="24" t="s">
        <v>398</v>
      </c>
      <c r="CO61" s="20" t="s">
        <v>296</v>
      </c>
      <c r="CV61" s="25" t="s">
        <v>195</v>
      </c>
      <c r="CZ61" s="38"/>
    </row>
    <row r="62" spans="1:104">
      <c r="A62" s="39" t="s">
        <v>447</v>
      </c>
      <c r="B62" s="20" t="s">
        <v>109</v>
      </c>
      <c r="C62" s="37"/>
      <c r="E62" s="20">
        <v>1</v>
      </c>
      <c r="G62" s="20" t="s">
        <v>272</v>
      </c>
      <c r="H62" s="20">
        <v>4</v>
      </c>
      <c r="I62" s="20" t="s">
        <v>85</v>
      </c>
      <c r="L62" s="20">
        <v>-30</v>
      </c>
      <c r="N62" s="20">
        <v>0</v>
      </c>
      <c r="O62" s="20">
        <v>0</v>
      </c>
      <c r="Q62" s="20">
        <v>10</v>
      </c>
      <c r="W62" s="20" t="s">
        <v>86</v>
      </c>
      <c r="X62" s="20" t="s">
        <v>508</v>
      </c>
      <c r="CM62" s="24" t="s">
        <v>398</v>
      </c>
      <c r="CO62" s="20" t="s">
        <v>296</v>
      </c>
      <c r="CV62" s="29" t="s">
        <v>199</v>
      </c>
      <c r="CZ62" s="38"/>
    </row>
    <row r="63" spans="1:104">
      <c r="A63" s="39" t="s">
        <v>448</v>
      </c>
      <c r="B63" s="72" t="s">
        <v>116</v>
      </c>
      <c r="C63" s="37"/>
      <c r="E63" s="20">
        <v>1</v>
      </c>
      <c r="I63" s="72" t="s">
        <v>129</v>
      </c>
      <c r="L63" s="20">
        <v>-30</v>
      </c>
      <c r="N63" s="20">
        <v>0</v>
      </c>
      <c r="O63" s="20">
        <v>0</v>
      </c>
      <c r="Q63" s="20">
        <v>10</v>
      </c>
      <c r="W63" s="72" t="s">
        <v>117</v>
      </c>
      <c r="CL63" s="24" t="s">
        <v>449</v>
      </c>
      <c r="CM63" s="24" t="s">
        <v>398</v>
      </c>
      <c r="CO63" s="20" t="s">
        <v>296</v>
      </c>
      <c r="CV63" s="25" t="s">
        <v>200</v>
      </c>
      <c r="CZ63" s="38"/>
    </row>
    <row r="64" spans="1:104">
      <c r="A64" s="39" t="s">
        <v>379</v>
      </c>
      <c r="B64" s="20" t="s">
        <v>78</v>
      </c>
      <c r="C64" s="26"/>
      <c r="E64" s="20">
        <v>15</v>
      </c>
      <c r="H64" s="20">
        <v>4</v>
      </c>
      <c r="I64" s="20" t="s">
        <v>79</v>
      </c>
      <c r="N64" s="20">
        <v>0</v>
      </c>
      <c r="O64" s="20">
        <v>0</v>
      </c>
      <c r="Q64" s="20">
        <v>10</v>
      </c>
      <c r="W64" s="20" t="s">
        <v>80</v>
      </c>
      <c r="BY64" s="22"/>
      <c r="BZ64" s="23"/>
      <c r="CI64" s="27"/>
      <c r="CJ64" s="27"/>
      <c r="CM64" s="24" t="s">
        <v>398</v>
      </c>
      <c r="CO64" s="20" t="s">
        <v>296</v>
      </c>
      <c r="CP64" s="27"/>
      <c r="CV64" s="25" t="s">
        <v>290</v>
      </c>
      <c r="CW64" s="22"/>
      <c r="CX64" s="22"/>
      <c r="CY64" s="22"/>
      <c r="CZ64" s="38"/>
    </row>
    <row r="65" spans="1:104">
      <c r="A65" s="39" t="s">
        <v>382</v>
      </c>
      <c r="B65" s="20" t="s">
        <v>120</v>
      </c>
      <c r="C65" s="26"/>
      <c r="E65" s="20">
        <v>1</v>
      </c>
      <c r="H65" s="20">
        <v>4</v>
      </c>
      <c r="I65" s="20" t="s">
        <v>79</v>
      </c>
      <c r="L65" s="20">
        <v>-20</v>
      </c>
      <c r="N65" s="20">
        <v>0</v>
      </c>
      <c r="O65" s="20">
        <v>0</v>
      </c>
      <c r="Q65" s="20">
        <v>10</v>
      </c>
      <c r="W65" s="20" t="s">
        <v>121</v>
      </c>
      <c r="BY65" s="22"/>
      <c r="BZ65" s="23"/>
      <c r="CI65" s="27"/>
      <c r="CJ65" s="27"/>
      <c r="CM65" s="24" t="s">
        <v>398</v>
      </c>
      <c r="CO65" s="20" t="s">
        <v>296</v>
      </c>
      <c r="CP65" s="27"/>
      <c r="CV65" s="25" t="s">
        <v>337</v>
      </c>
      <c r="CW65" s="22"/>
      <c r="CX65" s="22"/>
      <c r="CY65" s="22"/>
      <c r="CZ65" s="38"/>
    </row>
    <row r="66" spans="1:104">
      <c r="A66" s="71" t="s">
        <v>1046</v>
      </c>
      <c r="B66" s="20" t="s">
        <v>78</v>
      </c>
      <c r="C66" s="37"/>
      <c r="E66" s="20">
        <v>1</v>
      </c>
      <c r="L66" s="20">
        <v>-20</v>
      </c>
      <c r="N66" s="20">
        <v>0</v>
      </c>
      <c r="O66" s="20">
        <v>0</v>
      </c>
      <c r="Q66" s="20">
        <v>10</v>
      </c>
      <c r="W66" s="20" t="s">
        <v>80</v>
      </c>
      <c r="CM66" s="24" t="s">
        <v>398</v>
      </c>
      <c r="CO66" s="20" t="s">
        <v>296</v>
      </c>
      <c r="CV66" s="25" t="s">
        <v>195</v>
      </c>
      <c r="CZ66" s="38"/>
    </row>
    <row r="67" spans="1:104">
      <c r="A67" s="39" t="s">
        <v>383</v>
      </c>
      <c r="B67" s="20" t="s">
        <v>97</v>
      </c>
      <c r="E67" s="20">
        <v>1</v>
      </c>
      <c r="H67" s="20">
        <v>4</v>
      </c>
      <c r="I67" s="20" t="s">
        <v>76</v>
      </c>
      <c r="J67" s="20">
        <v>1</v>
      </c>
      <c r="L67" s="20">
        <v>-20</v>
      </c>
      <c r="N67" s="20">
        <v>0</v>
      </c>
      <c r="O67" s="20">
        <v>0</v>
      </c>
      <c r="Q67" s="20">
        <v>10</v>
      </c>
      <c r="W67" s="20" t="s">
        <v>98</v>
      </c>
      <c r="BY67" s="22"/>
      <c r="BZ67" s="23"/>
      <c r="CM67" s="24" t="s">
        <v>398</v>
      </c>
      <c r="CO67" s="20" t="s">
        <v>296</v>
      </c>
      <c r="CV67" s="25" t="s">
        <v>198</v>
      </c>
      <c r="CZ67" s="38"/>
    </row>
    <row r="68" spans="1:104">
      <c r="A68" s="39" t="s">
        <v>279</v>
      </c>
      <c r="B68" s="20" t="s">
        <v>78</v>
      </c>
      <c r="C68" s="37"/>
      <c r="E68" s="20">
        <v>2</v>
      </c>
      <c r="J68" s="20">
        <v>1</v>
      </c>
      <c r="K68" s="20">
        <v>1</v>
      </c>
      <c r="L68" s="20">
        <v>-20</v>
      </c>
      <c r="N68" s="20">
        <v>0</v>
      </c>
      <c r="O68" s="20">
        <v>0</v>
      </c>
      <c r="Q68" s="20">
        <v>10</v>
      </c>
      <c r="W68" s="20" t="s">
        <v>80</v>
      </c>
      <c r="CL68" s="24" t="s">
        <v>341</v>
      </c>
      <c r="CM68" s="24" t="s">
        <v>398</v>
      </c>
      <c r="CO68" s="20" t="s">
        <v>296</v>
      </c>
      <c r="CV68" s="25" t="s">
        <v>195</v>
      </c>
      <c r="CZ68" s="38"/>
    </row>
    <row r="69" spans="1:104">
      <c r="A69" s="39" t="s">
        <v>277</v>
      </c>
      <c r="B69" s="20" t="s">
        <v>120</v>
      </c>
      <c r="C69" s="37"/>
      <c r="E69" s="20">
        <v>2</v>
      </c>
      <c r="J69" s="20">
        <v>2</v>
      </c>
      <c r="K69" s="20">
        <v>2</v>
      </c>
      <c r="L69" s="20">
        <v>-20</v>
      </c>
      <c r="N69" s="20">
        <v>0</v>
      </c>
      <c r="O69" s="20">
        <v>0</v>
      </c>
      <c r="Q69" s="20">
        <v>10</v>
      </c>
      <c r="W69" s="20" t="s">
        <v>121</v>
      </c>
      <c r="CM69" s="24" t="s">
        <v>398</v>
      </c>
      <c r="CO69" s="20" t="s">
        <v>296</v>
      </c>
      <c r="CV69" s="25" t="s">
        <v>201</v>
      </c>
      <c r="CZ69" s="38"/>
    </row>
    <row r="70" spans="1:104">
      <c r="A70" s="39" t="s">
        <v>278</v>
      </c>
      <c r="B70" s="20" t="s">
        <v>84</v>
      </c>
      <c r="C70" s="37"/>
      <c r="E70" s="20">
        <v>2</v>
      </c>
      <c r="J70" s="20">
        <v>2</v>
      </c>
      <c r="K70" s="20">
        <v>2</v>
      </c>
      <c r="L70" s="20">
        <v>-20</v>
      </c>
      <c r="N70" s="20">
        <v>0</v>
      </c>
      <c r="O70" s="20">
        <v>0</v>
      </c>
      <c r="Q70" s="20">
        <v>10</v>
      </c>
      <c r="W70" s="20" t="s">
        <v>86</v>
      </c>
      <c r="CM70" s="24" t="s">
        <v>398</v>
      </c>
      <c r="CO70" s="20" t="s">
        <v>296</v>
      </c>
      <c r="CV70" s="25" t="s">
        <v>196</v>
      </c>
      <c r="CZ70" s="38"/>
    </row>
    <row r="71" spans="1:104">
      <c r="A71" s="39" t="s">
        <v>332</v>
      </c>
      <c r="B71" s="20" t="s">
        <v>84</v>
      </c>
      <c r="C71" s="37"/>
      <c r="E71" s="20">
        <v>1</v>
      </c>
      <c r="J71" s="20">
        <v>1</v>
      </c>
      <c r="K71" s="20">
        <v>1</v>
      </c>
      <c r="N71" s="20">
        <v>0</v>
      </c>
      <c r="O71" s="20">
        <v>0</v>
      </c>
      <c r="Q71" s="20">
        <v>10</v>
      </c>
      <c r="W71" s="20" t="s">
        <v>86</v>
      </c>
      <c r="CM71" s="24" t="s">
        <v>398</v>
      </c>
      <c r="CO71" s="20" t="s">
        <v>296</v>
      </c>
      <c r="CV71" s="25" t="s">
        <v>196</v>
      </c>
      <c r="CZ71" s="38"/>
    </row>
    <row r="72" spans="1:104">
      <c r="A72" s="20" t="s">
        <v>338</v>
      </c>
      <c r="B72" s="20" t="s">
        <v>78</v>
      </c>
      <c r="E72" s="20">
        <v>2</v>
      </c>
      <c r="G72" s="20" t="s">
        <v>273</v>
      </c>
      <c r="H72" s="20">
        <v>3</v>
      </c>
      <c r="J72" s="20">
        <v>3</v>
      </c>
      <c r="N72" s="20">
        <v>0</v>
      </c>
      <c r="O72" s="20">
        <v>0</v>
      </c>
      <c r="Q72" s="20">
        <v>10</v>
      </c>
      <c r="W72" s="20" t="s">
        <v>80</v>
      </c>
      <c r="CL72" s="24" t="s">
        <v>420</v>
      </c>
      <c r="CM72" s="24" t="s">
        <v>398</v>
      </c>
      <c r="CO72" s="20" t="s">
        <v>296</v>
      </c>
      <c r="CV72" s="25" t="s">
        <v>195</v>
      </c>
      <c r="CZ72" s="38"/>
    </row>
    <row r="73" spans="1:104">
      <c r="A73" s="72" t="s">
        <v>1036</v>
      </c>
      <c r="B73" s="20" t="s">
        <v>78</v>
      </c>
      <c r="C73" s="37"/>
      <c r="E73" s="20">
        <v>4</v>
      </c>
      <c r="G73" s="20" t="s">
        <v>273</v>
      </c>
      <c r="H73" s="20">
        <v>3</v>
      </c>
      <c r="I73" s="20" t="s">
        <v>76</v>
      </c>
      <c r="J73" s="20">
        <v>6</v>
      </c>
      <c r="N73" s="20">
        <v>0</v>
      </c>
      <c r="O73" s="20">
        <v>0</v>
      </c>
      <c r="Q73" s="20">
        <v>10</v>
      </c>
      <c r="W73" s="20" t="s">
        <v>77</v>
      </c>
      <c r="CL73" s="24" t="s">
        <v>295</v>
      </c>
      <c r="CM73" s="24" t="s">
        <v>398</v>
      </c>
      <c r="CO73" s="20" t="s">
        <v>296</v>
      </c>
      <c r="CV73" s="25" t="s">
        <v>130</v>
      </c>
      <c r="CZ73" s="38"/>
    </row>
    <row r="74" spans="1:104">
      <c r="A74" s="20" t="s">
        <v>136</v>
      </c>
      <c r="B74" s="20" t="s">
        <v>78</v>
      </c>
      <c r="E74" s="20">
        <v>2</v>
      </c>
      <c r="G74" s="20" t="s">
        <v>272</v>
      </c>
      <c r="H74" s="20">
        <v>3</v>
      </c>
      <c r="J74" s="20">
        <v>4</v>
      </c>
      <c r="K74" s="20">
        <v>2</v>
      </c>
      <c r="N74" s="20">
        <v>0</v>
      </c>
      <c r="O74" s="20">
        <v>0</v>
      </c>
      <c r="Q74" s="20">
        <v>10</v>
      </c>
      <c r="W74" s="20" t="s">
        <v>77</v>
      </c>
      <c r="CM74" s="24" t="s">
        <v>398</v>
      </c>
      <c r="CO74" s="20" t="s">
        <v>296</v>
      </c>
      <c r="CV74" s="25" t="s">
        <v>130</v>
      </c>
      <c r="CZ74" s="38"/>
    </row>
    <row r="75" spans="1:104">
      <c r="A75" s="20" t="s">
        <v>137</v>
      </c>
      <c r="B75" s="20" t="s">
        <v>78</v>
      </c>
      <c r="E75" s="20">
        <v>5</v>
      </c>
      <c r="G75" s="20" t="s">
        <v>272</v>
      </c>
      <c r="H75" s="20">
        <v>3</v>
      </c>
      <c r="J75" s="20">
        <v>4</v>
      </c>
      <c r="K75" s="20">
        <v>2</v>
      </c>
      <c r="N75" s="20">
        <v>0</v>
      </c>
      <c r="O75" s="20">
        <v>0</v>
      </c>
      <c r="Q75" s="20">
        <v>10</v>
      </c>
      <c r="W75" s="20" t="s">
        <v>77</v>
      </c>
      <c r="CM75" s="24" t="s">
        <v>398</v>
      </c>
      <c r="CO75" s="20" t="s">
        <v>296</v>
      </c>
      <c r="CV75" s="25" t="s">
        <v>130</v>
      </c>
      <c r="CZ75" s="38"/>
    </row>
    <row r="76" spans="1:104">
      <c r="A76" s="20" t="s">
        <v>138</v>
      </c>
      <c r="B76" s="20" t="s">
        <v>97</v>
      </c>
      <c r="E76" s="20">
        <v>2</v>
      </c>
      <c r="G76" s="20" t="s">
        <v>272</v>
      </c>
      <c r="N76" s="20">
        <v>0</v>
      </c>
      <c r="O76" s="20">
        <v>0</v>
      </c>
      <c r="Q76" s="20">
        <v>10</v>
      </c>
      <c r="W76" s="20" t="s">
        <v>98</v>
      </c>
      <c r="CM76" s="24" t="s">
        <v>398</v>
      </c>
      <c r="CO76" s="20" t="s">
        <v>296</v>
      </c>
      <c r="CV76" s="25" t="s">
        <v>99</v>
      </c>
      <c r="CZ76" s="38"/>
    </row>
    <row r="77" spans="1:104">
      <c r="A77" s="20" t="s">
        <v>139</v>
      </c>
      <c r="B77" s="20" t="s">
        <v>97</v>
      </c>
      <c r="E77" s="20">
        <v>5</v>
      </c>
      <c r="G77" s="20" t="s">
        <v>272</v>
      </c>
      <c r="N77" s="20">
        <v>0</v>
      </c>
      <c r="O77" s="20">
        <v>0</v>
      </c>
      <c r="Q77" s="20">
        <v>10</v>
      </c>
      <c r="W77" s="20" t="s">
        <v>77</v>
      </c>
      <c r="CL77" s="24" t="s">
        <v>191</v>
      </c>
      <c r="CM77" s="24" t="s">
        <v>398</v>
      </c>
      <c r="CO77" s="20" t="s">
        <v>296</v>
      </c>
      <c r="CV77" s="25" t="s">
        <v>130</v>
      </c>
      <c r="CZ77" s="38"/>
    </row>
    <row r="78" spans="1:104">
      <c r="A78" s="39" t="s">
        <v>140</v>
      </c>
      <c r="B78" s="20" t="s">
        <v>93</v>
      </c>
      <c r="C78" s="37"/>
      <c r="E78" s="20">
        <v>2</v>
      </c>
      <c r="I78" s="20" t="s">
        <v>127</v>
      </c>
      <c r="N78" s="20">
        <v>0</v>
      </c>
      <c r="O78" s="20">
        <v>0</v>
      </c>
      <c r="Q78" s="20">
        <v>10</v>
      </c>
      <c r="W78" s="20" t="s">
        <v>77</v>
      </c>
      <c r="CM78" s="24" t="s">
        <v>398</v>
      </c>
      <c r="CO78" s="20" t="s">
        <v>296</v>
      </c>
      <c r="CV78" s="25" t="s">
        <v>130</v>
      </c>
      <c r="CZ78" s="38"/>
    </row>
    <row r="79" spans="1:104">
      <c r="A79" s="39" t="s">
        <v>141</v>
      </c>
      <c r="B79" s="20" t="s">
        <v>97</v>
      </c>
      <c r="C79" s="37"/>
      <c r="E79" s="20">
        <v>20</v>
      </c>
      <c r="G79" s="20" t="s">
        <v>273</v>
      </c>
      <c r="H79" s="20">
        <v>5</v>
      </c>
      <c r="I79" s="20" t="s">
        <v>76</v>
      </c>
      <c r="J79" s="20">
        <v>6</v>
      </c>
      <c r="K79" s="20">
        <v>9</v>
      </c>
      <c r="N79" s="20">
        <v>1</v>
      </c>
      <c r="O79" s="20">
        <v>1</v>
      </c>
      <c r="Q79" s="20">
        <v>10</v>
      </c>
      <c r="W79" s="20" t="s">
        <v>77</v>
      </c>
      <c r="CM79" s="24" t="s">
        <v>398</v>
      </c>
      <c r="CO79" s="20" t="s">
        <v>296</v>
      </c>
      <c r="CV79" s="25" t="s">
        <v>130</v>
      </c>
      <c r="CZ79" s="38"/>
    </row>
    <row r="80" spans="1:104">
      <c r="A80" s="39" t="s">
        <v>142</v>
      </c>
      <c r="B80" s="20" t="s">
        <v>78</v>
      </c>
      <c r="C80" s="37"/>
      <c r="E80" s="20">
        <v>6</v>
      </c>
      <c r="H80" s="20">
        <v>3</v>
      </c>
      <c r="J80" s="20">
        <v>3</v>
      </c>
      <c r="N80" s="20">
        <v>0</v>
      </c>
      <c r="O80" s="20">
        <v>0</v>
      </c>
      <c r="Q80" s="20">
        <v>10</v>
      </c>
      <c r="W80" s="20" t="s">
        <v>80</v>
      </c>
      <c r="CL80" s="24" t="s">
        <v>168</v>
      </c>
      <c r="CM80" s="24" t="s">
        <v>398</v>
      </c>
      <c r="CO80" s="20" t="s">
        <v>296</v>
      </c>
      <c r="CV80" s="25" t="s">
        <v>289</v>
      </c>
      <c r="CZ80" s="38"/>
    </row>
    <row r="81" spans="1:104">
      <c r="A81" s="39" t="s">
        <v>143</v>
      </c>
      <c r="B81" s="20" t="s">
        <v>97</v>
      </c>
      <c r="C81" s="37"/>
      <c r="E81" s="20">
        <v>8</v>
      </c>
      <c r="N81" s="20">
        <v>1</v>
      </c>
      <c r="O81" s="20">
        <v>2</v>
      </c>
      <c r="Q81" s="20">
        <v>10</v>
      </c>
      <c r="W81" s="20" t="s">
        <v>77</v>
      </c>
      <c r="CL81" s="24" t="s">
        <v>308</v>
      </c>
      <c r="CM81" s="24" t="s">
        <v>398</v>
      </c>
      <c r="CO81" s="20" t="s">
        <v>296</v>
      </c>
      <c r="CV81" s="25" t="s">
        <v>130</v>
      </c>
      <c r="CZ81" s="38"/>
    </row>
    <row r="82" spans="1:104">
      <c r="A82" s="39" t="s">
        <v>210</v>
      </c>
      <c r="B82" s="20" t="s">
        <v>116</v>
      </c>
      <c r="C82" s="37"/>
      <c r="E82" s="20">
        <v>5</v>
      </c>
      <c r="I82" s="20" t="s">
        <v>76</v>
      </c>
      <c r="N82" s="20">
        <v>1</v>
      </c>
      <c r="O82" s="20">
        <v>2</v>
      </c>
      <c r="Q82" s="20">
        <v>10</v>
      </c>
      <c r="W82" s="20" t="s">
        <v>117</v>
      </c>
      <c r="CM82" s="24" t="s">
        <v>398</v>
      </c>
      <c r="CO82" s="20" t="s">
        <v>296</v>
      </c>
      <c r="CV82" s="25" t="s">
        <v>200</v>
      </c>
      <c r="CZ82" s="38"/>
    </row>
    <row r="83" spans="1:104">
      <c r="A83" s="39" t="s">
        <v>214</v>
      </c>
      <c r="B83" s="20" t="s">
        <v>116</v>
      </c>
      <c r="C83" s="37"/>
      <c r="E83" s="20">
        <v>8</v>
      </c>
      <c r="I83" s="20" t="s">
        <v>129</v>
      </c>
      <c r="N83" s="20">
        <v>1</v>
      </c>
      <c r="O83" s="20">
        <v>2</v>
      </c>
      <c r="Q83" s="20">
        <v>10</v>
      </c>
      <c r="W83" s="20" t="s">
        <v>117</v>
      </c>
      <c r="CM83" s="24" t="s">
        <v>398</v>
      </c>
      <c r="CO83" s="20" t="s">
        <v>296</v>
      </c>
      <c r="CV83" s="25" t="s">
        <v>200</v>
      </c>
      <c r="CZ83" s="38"/>
    </row>
    <row r="84" spans="1:104">
      <c r="A84" s="20" t="s">
        <v>211</v>
      </c>
      <c r="B84" s="20" t="s">
        <v>93</v>
      </c>
      <c r="C84" s="37"/>
      <c r="E84" s="20">
        <v>5</v>
      </c>
      <c r="N84" s="20">
        <v>0</v>
      </c>
      <c r="O84" s="20">
        <v>0</v>
      </c>
      <c r="Q84" s="20">
        <v>10</v>
      </c>
      <c r="W84" s="20" t="s">
        <v>94</v>
      </c>
      <c r="CM84" s="24" t="s">
        <v>398</v>
      </c>
      <c r="CO84" s="20" t="s">
        <v>296</v>
      </c>
      <c r="CV84" s="25" t="s">
        <v>197</v>
      </c>
      <c r="CZ84" s="38"/>
    </row>
    <row r="85" spans="1:104">
      <c r="A85" s="20" t="s">
        <v>212</v>
      </c>
      <c r="B85" s="20" t="s">
        <v>120</v>
      </c>
      <c r="C85" s="37"/>
      <c r="E85" s="20">
        <v>5</v>
      </c>
      <c r="N85" s="20">
        <v>0</v>
      </c>
      <c r="O85" s="20">
        <v>0</v>
      </c>
      <c r="Q85" s="20">
        <v>10</v>
      </c>
      <c r="W85" s="20" t="s">
        <v>121</v>
      </c>
      <c r="CM85" s="24" t="s">
        <v>398</v>
      </c>
      <c r="CO85" s="20" t="s">
        <v>296</v>
      </c>
      <c r="CV85" s="25" t="s">
        <v>201</v>
      </c>
      <c r="CZ85" s="38"/>
    </row>
    <row r="86" spans="1:104">
      <c r="A86" s="20" t="s">
        <v>215</v>
      </c>
      <c r="B86" s="20" t="s">
        <v>78</v>
      </c>
      <c r="E86" s="20">
        <v>5</v>
      </c>
      <c r="G86" s="20" t="s">
        <v>273</v>
      </c>
      <c r="H86" s="20">
        <v>3</v>
      </c>
      <c r="N86" s="20">
        <v>0</v>
      </c>
      <c r="O86" s="20">
        <v>0</v>
      </c>
      <c r="Q86" s="20">
        <v>10</v>
      </c>
      <c r="W86" s="20" t="s">
        <v>80</v>
      </c>
      <c r="CL86" s="24" t="s">
        <v>304</v>
      </c>
      <c r="CM86" s="24" t="s">
        <v>398</v>
      </c>
      <c r="CO86" s="20" t="s">
        <v>296</v>
      </c>
      <c r="CV86" s="25" t="s">
        <v>195</v>
      </c>
      <c r="CZ86" s="38"/>
    </row>
    <row r="87" spans="1:104">
      <c r="A87" s="39" t="s">
        <v>213</v>
      </c>
      <c r="B87" s="20" t="s">
        <v>116</v>
      </c>
      <c r="C87" s="37"/>
      <c r="E87" s="20">
        <v>5</v>
      </c>
      <c r="I87" s="20" t="s">
        <v>133</v>
      </c>
      <c r="N87" s="20">
        <v>0</v>
      </c>
      <c r="O87" s="20">
        <v>0</v>
      </c>
      <c r="Q87" s="20">
        <v>10</v>
      </c>
      <c r="W87" s="20" t="s">
        <v>117</v>
      </c>
      <c r="CM87" s="24" t="s">
        <v>398</v>
      </c>
      <c r="CO87" s="20" t="s">
        <v>296</v>
      </c>
      <c r="CV87" s="25" t="s">
        <v>200</v>
      </c>
      <c r="CZ87" s="38"/>
    </row>
    <row r="88" spans="1:104">
      <c r="A88" s="39" t="s">
        <v>438</v>
      </c>
      <c r="B88" s="20" t="s">
        <v>78</v>
      </c>
      <c r="C88" s="37"/>
      <c r="E88" s="20">
        <v>5</v>
      </c>
      <c r="G88" s="20" t="s">
        <v>273</v>
      </c>
      <c r="H88" s="20">
        <v>3</v>
      </c>
      <c r="J88" s="20">
        <v>3</v>
      </c>
      <c r="L88" s="20">
        <v>-15</v>
      </c>
      <c r="N88" s="20">
        <v>0</v>
      </c>
      <c r="O88" s="20">
        <v>0</v>
      </c>
      <c r="Q88" s="20">
        <v>10</v>
      </c>
      <c r="W88" s="20" t="s">
        <v>77</v>
      </c>
      <c r="CL88" s="24" t="s">
        <v>322</v>
      </c>
      <c r="CM88" s="24" t="s">
        <v>398</v>
      </c>
      <c r="CO88" s="20" t="s">
        <v>296</v>
      </c>
      <c r="CV88" s="25" t="s">
        <v>130</v>
      </c>
      <c r="CZ88" s="38"/>
    </row>
    <row r="89" spans="1:104">
      <c r="A89" s="39" t="s">
        <v>442</v>
      </c>
      <c r="B89" s="20" t="s">
        <v>78</v>
      </c>
      <c r="C89" s="37"/>
      <c r="E89" s="20">
        <v>5</v>
      </c>
      <c r="G89" s="20" t="s">
        <v>273</v>
      </c>
      <c r="H89" s="20">
        <v>3</v>
      </c>
      <c r="I89" s="20" t="s">
        <v>131</v>
      </c>
      <c r="N89" s="20">
        <v>0</v>
      </c>
      <c r="O89" s="20">
        <v>0</v>
      </c>
      <c r="Q89" s="20">
        <v>10</v>
      </c>
      <c r="W89" s="20" t="s">
        <v>77</v>
      </c>
      <c r="CL89" s="24" t="s">
        <v>443</v>
      </c>
      <c r="CM89" s="24" t="s">
        <v>398</v>
      </c>
      <c r="CO89" s="20" t="s">
        <v>296</v>
      </c>
      <c r="CV89" s="25" t="s">
        <v>130</v>
      </c>
      <c r="CZ89" s="38"/>
    </row>
    <row r="90" spans="1:104">
      <c r="A90" s="39" t="s">
        <v>144</v>
      </c>
      <c r="B90" s="20" t="s">
        <v>111</v>
      </c>
      <c r="C90" s="37"/>
      <c r="E90" s="20">
        <v>5</v>
      </c>
      <c r="I90" s="20" t="s">
        <v>134</v>
      </c>
      <c r="N90" s="20">
        <v>0</v>
      </c>
      <c r="O90" s="20">
        <v>0</v>
      </c>
      <c r="Q90" s="20">
        <v>10</v>
      </c>
      <c r="W90" s="20" t="s">
        <v>112</v>
      </c>
      <c r="CL90" s="24" t="s">
        <v>439</v>
      </c>
      <c r="CM90" s="24" t="s">
        <v>398</v>
      </c>
      <c r="CO90" s="20" t="s">
        <v>296</v>
      </c>
      <c r="CV90" s="20" t="s">
        <v>387</v>
      </c>
      <c r="CZ90" s="38"/>
    </row>
    <row r="91" spans="1:104">
      <c r="A91" s="39" t="s">
        <v>145</v>
      </c>
      <c r="B91" s="20" t="s">
        <v>84</v>
      </c>
      <c r="C91" s="37"/>
      <c r="E91" s="20">
        <v>5</v>
      </c>
      <c r="N91" s="20">
        <v>0</v>
      </c>
      <c r="O91" s="20">
        <v>0</v>
      </c>
      <c r="Q91" s="20">
        <v>10</v>
      </c>
      <c r="W91" s="20" t="s">
        <v>86</v>
      </c>
      <c r="CM91" s="24" t="s">
        <v>398</v>
      </c>
      <c r="CO91" s="20" t="s">
        <v>296</v>
      </c>
      <c r="CV91" s="25" t="s">
        <v>196</v>
      </c>
      <c r="CZ91" s="38"/>
    </row>
    <row r="92" spans="1:104">
      <c r="A92" s="39" t="s">
        <v>203</v>
      </c>
      <c r="B92" s="20" t="s">
        <v>124</v>
      </c>
      <c r="C92" s="37"/>
      <c r="E92" s="20">
        <v>5</v>
      </c>
      <c r="J92" s="20">
        <v>4</v>
      </c>
      <c r="K92" s="20">
        <v>2</v>
      </c>
      <c r="N92" s="20">
        <v>0</v>
      </c>
      <c r="O92" s="20">
        <v>0</v>
      </c>
      <c r="Q92" s="20">
        <v>10</v>
      </c>
      <c r="W92" s="20" t="s">
        <v>125</v>
      </c>
      <c r="CM92" s="24" t="s">
        <v>398</v>
      </c>
      <c r="CO92" s="20" t="s">
        <v>296</v>
      </c>
      <c r="CV92" s="25" t="s">
        <v>194</v>
      </c>
      <c r="CZ92" s="38"/>
    </row>
    <row r="93" spans="1:104">
      <c r="A93" s="39" t="s">
        <v>204</v>
      </c>
      <c r="B93" s="20" t="s">
        <v>78</v>
      </c>
      <c r="C93" s="37"/>
      <c r="E93" s="20">
        <v>5</v>
      </c>
      <c r="H93" s="20">
        <v>3</v>
      </c>
      <c r="J93" s="20">
        <v>3</v>
      </c>
      <c r="N93" s="20">
        <v>0</v>
      </c>
      <c r="O93" s="20">
        <v>0</v>
      </c>
      <c r="Q93" s="20">
        <v>10</v>
      </c>
      <c r="W93" s="20" t="s">
        <v>80</v>
      </c>
      <c r="CM93" s="24" t="s">
        <v>398</v>
      </c>
      <c r="CO93" s="20" t="s">
        <v>296</v>
      </c>
      <c r="CV93" s="25" t="s">
        <v>195</v>
      </c>
      <c r="CZ93" s="38"/>
    </row>
    <row r="94" spans="1:104">
      <c r="A94" s="39" t="s">
        <v>146</v>
      </c>
      <c r="B94" s="20" t="s">
        <v>78</v>
      </c>
      <c r="C94" s="37"/>
      <c r="E94" s="20">
        <v>3</v>
      </c>
      <c r="G94" s="20" t="s">
        <v>272</v>
      </c>
      <c r="H94" s="20">
        <v>3</v>
      </c>
      <c r="N94" s="20">
        <v>0</v>
      </c>
      <c r="O94" s="20">
        <v>0</v>
      </c>
      <c r="Q94" s="20">
        <v>10</v>
      </c>
      <c r="W94" s="20" t="s">
        <v>86</v>
      </c>
      <c r="CM94" s="24" t="s">
        <v>398</v>
      </c>
      <c r="CO94" s="20" t="s">
        <v>296</v>
      </c>
      <c r="CV94" s="25" t="s">
        <v>130</v>
      </c>
      <c r="CZ94" s="38"/>
    </row>
    <row r="95" spans="1:104">
      <c r="A95" s="39" t="s">
        <v>276</v>
      </c>
      <c r="B95" s="20" t="s">
        <v>84</v>
      </c>
      <c r="C95" s="37"/>
      <c r="E95" s="20">
        <v>2</v>
      </c>
      <c r="N95" s="20">
        <v>0</v>
      </c>
      <c r="O95" s="20">
        <v>0</v>
      </c>
      <c r="Q95" s="20">
        <v>10</v>
      </c>
      <c r="W95" s="20" t="s">
        <v>86</v>
      </c>
      <c r="CM95" s="24" t="s">
        <v>398</v>
      </c>
      <c r="CO95" s="20" t="s">
        <v>296</v>
      </c>
      <c r="CV95" s="25" t="s">
        <v>196</v>
      </c>
      <c r="CZ95" s="38"/>
    </row>
    <row r="96" spans="1:104">
      <c r="A96" s="39" t="s">
        <v>147</v>
      </c>
      <c r="B96" s="20" t="s">
        <v>84</v>
      </c>
      <c r="C96" s="37"/>
      <c r="E96" s="20">
        <v>4</v>
      </c>
      <c r="N96" s="20">
        <v>0</v>
      </c>
      <c r="O96" s="20">
        <v>0</v>
      </c>
      <c r="Q96" s="20">
        <v>10</v>
      </c>
      <c r="W96" s="20" t="s">
        <v>86</v>
      </c>
      <c r="CM96" s="24" t="s">
        <v>398</v>
      </c>
      <c r="CO96" s="20" t="s">
        <v>296</v>
      </c>
      <c r="CV96" s="25" t="s">
        <v>196</v>
      </c>
      <c r="CZ96" s="38"/>
    </row>
    <row r="97" spans="1:104">
      <c r="A97" s="39" t="s">
        <v>148</v>
      </c>
      <c r="B97" s="20" t="s">
        <v>120</v>
      </c>
      <c r="C97" s="37"/>
      <c r="E97" s="20">
        <v>4</v>
      </c>
      <c r="N97" s="20">
        <v>0</v>
      </c>
      <c r="O97" s="20">
        <v>0</v>
      </c>
      <c r="Q97" s="20">
        <v>10</v>
      </c>
      <c r="W97" s="20" t="s">
        <v>121</v>
      </c>
      <c r="CM97" s="24" t="s">
        <v>398</v>
      </c>
      <c r="CO97" s="20" t="s">
        <v>296</v>
      </c>
      <c r="CV97" s="25" t="s">
        <v>201</v>
      </c>
      <c r="CZ97" s="38"/>
    </row>
    <row r="98" spans="1:104">
      <c r="A98" s="39" t="s">
        <v>149</v>
      </c>
      <c r="B98" s="20" t="s">
        <v>116</v>
      </c>
      <c r="C98" s="37"/>
      <c r="E98" s="20">
        <v>6</v>
      </c>
      <c r="I98" s="20" t="s">
        <v>134</v>
      </c>
      <c r="N98" s="20">
        <v>1</v>
      </c>
      <c r="O98" s="20">
        <v>2</v>
      </c>
      <c r="Q98" s="20">
        <v>10</v>
      </c>
      <c r="W98" s="20" t="s">
        <v>117</v>
      </c>
      <c r="CM98" s="24" t="s">
        <v>398</v>
      </c>
      <c r="CO98" s="20" t="s">
        <v>296</v>
      </c>
      <c r="CV98" s="25" t="s">
        <v>118</v>
      </c>
      <c r="CZ98" s="38"/>
    </row>
    <row r="99" spans="1:104">
      <c r="A99" s="20" t="s">
        <v>150</v>
      </c>
      <c r="B99" s="20" t="s">
        <v>104</v>
      </c>
      <c r="C99" s="37"/>
      <c r="E99" s="20">
        <v>4</v>
      </c>
      <c r="G99" s="20" t="s">
        <v>272</v>
      </c>
      <c r="N99" s="20">
        <v>0</v>
      </c>
      <c r="O99" s="20">
        <v>0</v>
      </c>
      <c r="Q99" s="20">
        <v>10</v>
      </c>
      <c r="W99" s="20" t="s">
        <v>94</v>
      </c>
      <c r="CM99" s="24" t="s">
        <v>398</v>
      </c>
      <c r="CO99" s="20" t="s">
        <v>296</v>
      </c>
      <c r="CV99" s="29" t="s">
        <v>108</v>
      </c>
      <c r="CZ99" s="38"/>
    </row>
    <row r="100" spans="1:104">
      <c r="A100" s="20" t="s">
        <v>151</v>
      </c>
      <c r="B100" s="20" t="s">
        <v>109</v>
      </c>
      <c r="C100" s="37"/>
      <c r="E100" s="20">
        <v>4</v>
      </c>
      <c r="G100" s="20" t="s">
        <v>272</v>
      </c>
      <c r="N100" s="20">
        <v>0</v>
      </c>
      <c r="O100" s="20">
        <v>0</v>
      </c>
      <c r="Q100" s="20">
        <v>10</v>
      </c>
      <c r="W100" s="20" t="s">
        <v>86</v>
      </c>
      <c r="CM100" s="24" t="s">
        <v>398</v>
      </c>
      <c r="CO100" s="20" t="s">
        <v>296</v>
      </c>
      <c r="CV100" s="29" t="s">
        <v>199</v>
      </c>
      <c r="CZ100" s="38"/>
    </row>
    <row r="101" spans="1:104">
      <c r="A101" s="20" t="s">
        <v>152</v>
      </c>
      <c r="B101" s="20" t="s">
        <v>78</v>
      </c>
      <c r="C101" s="37"/>
      <c r="E101" s="20">
        <v>4</v>
      </c>
      <c r="N101" s="20">
        <v>0</v>
      </c>
      <c r="O101" s="20">
        <v>0</v>
      </c>
      <c r="Q101" s="20">
        <v>10</v>
      </c>
      <c r="W101" s="20" t="s">
        <v>80</v>
      </c>
      <c r="CM101" s="24" t="s">
        <v>398</v>
      </c>
      <c r="CO101" s="20" t="s">
        <v>296</v>
      </c>
      <c r="CV101" s="25" t="s">
        <v>81</v>
      </c>
      <c r="CZ101" s="38"/>
    </row>
    <row r="102" spans="1:104">
      <c r="A102" s="20" t="s">
        <v>153</v>
      </c>
      <c r="B102" s="20" t="s">
        <v>93</v>
      </c>
      <c r="C102" s="37"/>
      <c r="E102" s="20">
        <v>5</v>
      </c>
      <c r="N102" s="20">
        <v>1</v>
      </c>
      <c r="O102" s="20">
        <v>2</v>
      </c>
      <c r="Q102" s="20">
        <v>10</v>
      </c>
      <c r="W102" s="20" t="s">
        <v>94</v>
      </c>
      <c r="CM102" s="24" t="s">
        <v>398</v>
      </c>
      <c r="CO102" s="20" t="s">
        <v>296</v>
      </c>
      <c r="CV102" s="25" t="s">
        <v>197</v>
      </c>
      <c r="CZ102" s="38"/>
    </row>
    <row r="103" spans="1:104">
      <c r="A103" s="20" t="s">
        <v>154</v>
      </c>
      <c r="B103" s="20" t="s">
        <v>78</v>
      </c>
      <c r="C103" s="37"/>
      <c r="E103" s="20">
        <v>3</v>
      </c>
      <c r="J103" s="20">
        <v>3</v>
      </c>
      <c r="N103" s="20">
        <v>0</v>
      </c>
      <c r="O103" s="20">
        <v>0</v>
      </c>
      <c r="Q103" s="20">
        <v>10</v>
      </c>
      <c r="W103" s="20" t="s">
        <v>80</v>
      </c>
      <c r="CL103" s="24" t="s">
        <v>168</v>
      </c>
      <c r="CM103" s="24" t="s">
        <v>398</v>
      </c>
      <c r="CO103" s="20" t="s">
        <v>296</v>
      </c>
      <c r="CV103" s="25" t="s">
        <v>289</v>
      </c>
      <c r="CZ103" s="38"/>
    </row>
    <row r="104" spans="1:104">
      <c r="A104" s="20" t="s">
        <v>155</v>
      </c>
      <c r="B104" s="39" t="s">
        <v>97</v>
      </c>
      <c r="C104" s="37"/>
      <c r="E104" s="20">
        <v>3</v>
      </c>
      <c r="N104" s="20">
        <v>0</v>
      </c>
      <c r="O104" s="20">
        <v>0</v>
      </c>
      <c r="Q104" s="20">
        <v>10</v>
      </c>
      <c r="W104" s="20" t="s">
        <v>98</v>
      </c>
      <c r="CM104" s="24" t="s">
        <v>398</v>
      </c>
      <c r="CO104" s="20" t="s">
        <v>296</v>
      </c>
      <c r="CV104" s="25" t="s">
        <v>198</v>
      </c>
      <c r="CZ104" s="38"/>
    </row>
    <row r="105" spans="1:104">
      <c r="A105" s="20" t="s">
        <v>156</v>
      </c>
      <c r="B105" s="39" t="s">
        <v>93</v>
      </c>
      <c r="C105" s="37"/>
      <c r="E105" s="20">
        <v>3</v>
      </c>
      <c r="N105" s="20">
        <v>0</v>
      </c>
      <c r="O105" s="20">
        <v>0</v>
      </c>
      <c r="Q105" s="20">
        <v>10</v>
      </c>
      <c r="W105" s="20" t="s">
        <v>94</v>
      </c>
      <c r="CM105" s="24" t="s">
        <v>398</v>
      </c>
      <c r="CO105" s="20" t="s">
        <v>296</v>
      </c>
      <c r="CV105" s="25" t="s">
        <v>197</v>
      </c>
      <c r="CZ105" s="38"/>
    </row>
    <row r="106" spans="1:104">
      <c r="A106" s="20" t="s">
        <v>157</v>
      </c>
      <c r="B106" s="39" t="s">
        <v>109</v>
      </c>
      <c r="C106" s="37"/>
      <c r="E106" s="20">
        <v>6</v>
      </c>
      <c r="G106" s="20" t="s">
        <v>272</v>
      </c>
      <c r="N106" s="20">
        <v>0</v>
      </c>
      <c r="O106" s="20">
        <v>0</v>
      </c>
      <c r="Q106" s="20">
        <v>10</v>
      </c>
      <c r="W106" s="20" t="s">
        <v>86</v>
      </c>
      <c r="CL106" s="24" t="s">
        <v>191</v>
      </c>
      <c r="CM106" s="24" t="s">
        <v>398</v>
      </c>
      <c r="CO106" s="20" t="s">
        <v>296</v>
      </c>
      <c r="CV106" s="29" t="s">
        <v>199</v>
      </c>
      <c r="CZ106" s="38"/>
    </row>
    <row r="107" spans="1:104">
      <c r="A107" s="72" t="s">
        <v>943</v>
      </c>
      <c r="B107" s="71" t="s">
        <v>93</v>
      </c>
      <c r="C107" s="37"/>
      <c r="E107" s="20">
        <v>5</v>
      </c>
      <c r="N107" s="20">
        <v>0</v>
      </c>
      <c r="O107" s="20">
        <v>0</v>
      </c>
      <c r="Q107" s="20">
        <v>10</v>
      </c>
      <c r="W107" s="72" t="s">
        <v>94</v>
      </c>
      <c r="CM107" s="24" t="s">
        <v>398</v>
      </c>
      <c r="CO107" s="20" t="s">
        <v>296</v>
      </c>
      <c r="CV107" s="29" t="s">
        <v>944</v>
      </c>
      <c r="CZ107" s="38"/>
    </row>
    <row r="108" spans="1:104">
      <c r="A108" s="20" t="s">
        <v>158</v>
      </c>
      <c r="B108" s="39" t="s">
        <v>116</v>
      </c>
      <c r="C108" s="37"/>
      <c r="E108" s="20">
        <v>5</v>
      </c>
      <c r="I108" s="20" t="s">
        <v>134</v>
      </c>
      <c r="N108" s="20">
        <v>0</v>
      </c>
      <c r="O108" s="20">
        <v>0</v>
      </c>
      <c r="Q108" s="20">
        <v>10</v>
      </c>
      <c r="CL108" s="24" t="s">
        <v>299</v>
      </c>
      <c r="CM108" s="24" t="s">
        <v>398</v>
      </c>
      <c r="CO108" s="20" t="s">
        <v>296</v>
      </c>
      <c r="CV108" s="25" t="s">
        <v>130</v>
      </c>
      <c r="CZ108" s="38"/>
    </row>
    <row r="109" spans="1:104">
      <c r="A109" s="20" t="s">
        <v>159</v>
      </c>
      <c r="B109" s="39" t="s">
        <v>84</v>
      </c>
      <c r="C109" s="37"/>
      <c r="E109" s="20">
        <v>6</v>
      </c>
      <c r="N109" s="20">
        <v>1</v>
      </c>
      <c r="O109" s="20">
        <v>2</v>
      </c>
      <c r="Q109" s="20">
        <v>10</v>
      </c>
      <c r="W109" s="20" t="s">
        <v>86</v>
      </c>
      <c r="CM109" s="24" t="s">
        <v>398</v>
      </c>
      <c r="CO109" s="20" t="s">
        <v>296</v>
      </c>
      <c r="CV109" s="25" t="s">
        <v>292</v>
      </c>
      <c r="CZ109" s="38"/>
    </row>
    <row r="110" spans="1:104">
      <c r="A110" s="71" t="s">
        <v>265</v>
      </c>
      <c r="B110" s="39" t="s">
        <v>97</v>
      </c>
      <c r="C110" s="37"/>
      <c r="E110" s="20">
        <v>6</v>
      </c>
      <c r="G110" s="20" t="s">
        <v>273</v>
      </c>
      <c r="I110" s="20" t="s">
        <v>76</v>
      </c>
      <c r="J110" s="20">
        <v>8</v>
      </c>
      <c r="K110" s="20">
        <v>2</v>
      </c>
      <c r="N110" s="20">
        <v>0</v>
      </c>
      <c r="O110" s="20">
        <v>0</v>
      </c>
      <c r="P110" s="20">
        <v>3</v>
      </c>
      <c r="Q110" s="20">
        <v>10</v>
      </c>
      <c r="W110" s="20" t="s">
        <v>77</v>
      </c>
      <c r="CL110" s="24" t="s">
        <v>421</v>
      </c>
      <c r="CM110" s="24" t="s">
        <v>398</v>
      </c>
      <c r="CO110" s="20" t="s">
        <v>296</v>
      </c>
      <c r="CV110" s="25" t="s">
        <v>130</v>
      </c>
      <c r="CZ110" s="38"/>
    </row>
    <row r="111" spans="1:104">
      <c r="A111" s="71" t="s">
        <v>966</v>
      </c>
      <c r="B111" s="20" t="s">
        <v>84</v>
      </c>
      <c r="C111" s="37"/>
      <c r="E111" s="20">
        <v>5</v>
      </c>
      <c r="H111" s="20">
        <v>4</v>
      </c>
      <c r="J111" s="20">
        <v>1</v>
      </c>
      <c r="N111" s="20">
        <v>0</v>
      </c>
      <c r="O111" s="20">
        <v>0</v>
      </c>
      <c r="Q111" s="20">
        <v>10</v>
      </c>
      <c r="W111" s="20" t="s">
        <v>86</v>
      </c>
      <c r="CM111" s="24" t="s">
        <v>398</v>
      </c>
      <c r="CO111" s="20" t="s">
        <v>296</v>
      </c>
      <c r="CV111" s="25" t="s">
        <v>196</v>
      </c>
      <c r="CZ111" s="38"/>
    </row>
    <row r="112" spans="1:104">
      <c r="A112" s="71" t="s">
        <v>980</v>
      </c>
      <c r="B112" s="39" t="s">
        <v>97</v>
      </c>
      <c r="C112" s="37"/>
      <c r="E112" s="20">
        <v>20</v>
      </c>
      <c r="G112" s="20" t="s">
        <v>273</v>
      </c>
      <c r="I112" s="20" t="s">
        <v>76</v>
      </c>
      <c r="J112" s="20">
        <v>1</v>
      </c>
      <c r="K112" s="20">
        <v>2</v>
      </c>
      <c r="N112" s="20">
        <v>0</v>
      </c>
      <c r="O112" s="20">
        <v>0</v>
      </c>
      <c r="P112" s="20">
        <v>3</v>
      </c>
      <c r="Q112" s="20">
        <v>10</v>
      </c>
      <c r="W112" s="20" t="s">
        <v>77</v>
      </c>
      <c r="CL112" s="24" t="s">
        <v>981</v>
      </c>
      <c r="CM112" s="24" t="s">
        <v>398</v>
      </c>
      <c r="CO112" s="20" t="s">
        <v>296</v>
      </c>
      <c r="CV112" s="25" t="s">
        <v>130</v>
      </c>
      <c r="CZ112" s="38"/>
    </row>
    <row r="113" spans="1:108">
      <c r="A113" s="20" t="s">
        <v>160</v>
      </c>
      <c r="B113" s="39" t="s">
        <v>97</v>
      </c>
      <c r="C113" s="37"/>
      <c r="N113" s="20">
        <v>0</v>
      </c>
      <c r="O113" s="20">
        <v>0</v>
      </c>
      <c r="Q113" s="20">
        <v>10</v>
      </c>
      <c r="W113" s="20" t="s">
        <v>77</v>
      </c>
      <c r="CL113" s="24" t="s">
        <v>295</v>
      </c>
      <c r="CM113" s="24" t="s">
        <v>398</v>
      </c>
      <c r="CO113" s="20" t="s">
        <v>296</v>
      </c>
      <c r="CV113" s="25" t="s">
        <v>130</v>
      </c>
      <c r="CZ113" s="38"/>
    </row>
    <row r="114" spans="1:108">
      <c r="A114" s="71" t="s">
        <v>580</v>
      </c>
      <c r="B114" s="20" t="s">
        <v>97</v>
      </c>
      <c r="C114" s="37"/>
      <c r="E114" s="20">
        <v>15</v>
      </c>
      <c r="G114" s="20" t="s">
        <v>273</v>
      </c>
      <c r="I114" s="20" t="s">
        <v>77</v>
      </c>
      <c r="J114" s="20">
        <v>4</v>
      </c>
      <c r="N114" s="20">
        <v>0</v>
      </c>
      <c r="O114" s="20">
        <v>0</v>
      </c>
      <c r="Q114" s="20">
        <v>10</v>
      </c>
      <c r="W114" s="20" t="s">
        <v>77</v>
      </c>
      <c r="CL114" s="24" t="s">
        <v>168</v>
      </c>
      <c r="CM114" s="24" t="s">
        <v>398</v>
      </c>
      <c r="CO114" s="20" t="s">
        <v>296</v>
      </c>
      <c r="CV114" s="25" t="s">
        <v>130</v>
      </c>
      <c r="CZ114" s="38"/>
    </row>
    <row r="115" spans="1:108">
      <c r="A115" s="71" t="s">
        <v>579</v>
      </c>
      <c r="B115" s="20" t="s">
        <v>97</v>
      </c>
      <c r="C115" s="37"/>
      <c r="E115" s="20">
        <v>15</v>
      </c>
      <c r="G115" s="20" t="s">
        <v>273</v>
      </c>
      <c r="I115" s="20" t="s">
        <v>77</v>
      </c>
      <c r="J115" s="20">
        <v>5</v>
      </c>
      <c r="N115" s="20">
        <v>0</v>
      </c>
      <c r="O115" s="20">
        <v>0</v>
      </c>
      <c r="Q115" s="20">
        <v>10</v>
      </c>
      <c r="W115" s="20" t="s">
        <v>77</v>
      </c>
      <c r="CL115" s="24" t="s">
        <v>168</v>
      </c>
      <c r="CM115" s="24" t="s">
        <v>398</v>
      </c>
      <c r="CO115" s="20" t="s">
        <v>296</v>
      </c>
      <c r="CV115" s="25" t="s">
        <v>130</v>
      </c>
      <c r="CZ115" s="38"/>
    </row>
    <row r="116" spans="1:108">
      <c r="A116" s="71" t="s">
        <v>581</v>
      </c>
      <c r="B116" s="20" t="s">
        <v>78</v>
      </c>
      <c r="C116" s="37"/>
      <c r="E116" s="20">
        <v>15</v>
      </c>
      <c r="G116" s="20" t="s">
        <v>273</v>
      </c>
      <c r="J116" s="20">
        <v>7</v>
      </c>
      <c r="N116" s="20">
        <v>0</v>
      </c>
      <c r="O116" s="20">
        <v>0</v>
      </c>
      <c r="Q116" s="20">
        <v>10</v>
      </c>
      <c r="W116" s="20" t="s">
        <v>77</v>
      </c>
      <c r="CL116" s="24" t="s">
        <v>298</v>
      </c>
      <c r="CM116" s="24" t="s">
        <v>398</v>
      </c>
      <c r="CO116" s="20" t="s">
        <v>296</v>
      </c>
      <c r="CV116" s="25" t="s">
        <v>130</v>
      </c>
      <c r="CZ116" s="38"/>
    </row>
    <row r="117" spans="1:108">
      <c r="A117" s="71" t="s">
        <v>582</v>
      </c>
      <c r="B117" s="20" t="s">
        <v>97</v>
      </c>
      <c r="C117" s="37"/>
      <c r="E117" s="20">
        <v>16</v>
      </c>
      <c r="G117" s="20" t="s">
        <v>273</v>
      </c>
      <c r="I117" s="20" t="s">
        <v>76</v>
      </c>
      <c r="J117" s="20">
        <v>5</v>
      </c>
      <c r="N117" s="20">
        <v>0</v>
      </c>
      <c r="O117" s="20">
        <v>0</v>
      </c>
      <c r="Q117" s="20">
        <v>10</v>
      </c>
      <c r="W117" s="20" t="s">
        <v>77</v>
      </c>
      <c r="CL117" s="24" t="s">
        <v>168</v>
      </c>
      <c r="CM117" s="24" t="s">
        <v>398</v>
      </c>
      <c r="CO117" s="20" t="s">
        <v>296</v>
      </c>
      <c r="CV117" s="25" t="s">
        <v>130</v>
      </c>
      <c r="CZ117" s="38"/>
    </row>
    <row r="118" spans="1:108">
      <c r="A118" s="71" t="s">
        <v>583</v>
      </c>
      <c r="B118" s="20" t="s">
        <v>97</v>
      </c>
      <c r="C118" s="37"/>
      <c r="E118" s="20">
        <v>16</v>
      </c>
      <c r="G118" s="20" t="s">
        <v>273</v>
      </c>
      <c r="I118" s="20" t="s">
        <v>76</v>
      </c>
      <c r="J118" s="20">
        <v>5</v>
      </c>
      <c r="N118" s="20">
        <v>0</v>
      </c>
      <c r="O118" s="20">
        <v>0</v>
      </c>
      <c r="Q118" s="20">
        <v>10</v>
      </c>
      <c r="W118" s="20" t="s">
        <v>77</v>
      </c>
      <c r="CL118" s="24" t="s">
        <v>202</v>
      </c>
      <c r="CM118" s="24" t="s">
        <v>398</v>
      </c>
      <c r="CO118" s="20" t="s">
        <v>296</v>
      </c>
      <c r="CV118" s="25" t="s">
        <v>130</v>
      </c>
      <c r="CZ118" s="38"/>
    </row>
    <row r="119" spans="1:108">
      <c r="A119" s="71" t="s">
        <v>584</v>
      </c>
      <c r="B119" s="20" t="s">
        <v>78</v>
      </c>
      <c r="C119" s="37"/>
      <c r="E119" s="20">
        <v>16</v>
      </c>
      <c r="G119" s="20" t="s">
        <v>273</v>
      </c>
      <c r="H119" s="20">
        <v>3</v>
      </c>
      <c r="I119" s="20" t="s">
        <v>79</v>
      </c>
      <c r="J119" s="20">
        <v>6</v>
      </c>
      <c r="N119" s="20">
        <v>0</v>
      </c>
      <c r="O119" s="20">
        <v>0</v>
      </c>
      <c r="Q119" s="20">
        <v>10</v>
      </c>
      <c r="W119" s="20" t="s">
        <v>77</v>
      </c>
      <c r="CL119" s="24" t="s">
        <v>450</v>
      </c>
      <c r="CM119" s="24" t="s">
        <v>398</v>
      </c>
      <c r="CO119" s="20" t="s">
        <v>296</v>
      </c>
      <c r="CV119" s="25" t="s">
        <v>130</v>
      </c>
      <c r="CZ119" s="38"/>
    </row>
    <row r="120" spans="1:108">
      <c r="A120" s="71" t="s">
        <v>161</v>
      </c>
      <c r="B120" s="39" t="s">
        <v>78</v>
      </c>
      <c r="C120" s="37"/>
      <c r="E120" s="20">
        <v>16</v>
      </c>
      <c r="G120" s="20" t="s">
        <v>273</v>
      </c>
      <c r="H120" s="20">
        <v>3</v>
      </c>
      <c r="I120" s="20" t="s">
        <v>85</v>
      </c>
      <c r="J120" s="20">
        <v>7</v>
      </c>
      <c r="L120" s="20">
        <v>20</v>
      </c>
      <c r="N120" s="20">
        <v>0</v>
      </c>
      <c r="O120" s="20">
        <v>0</v>
      </c>
      <c r="Q120" s="20">
        <v>10</v>
      </c>
      <c r="W120" s="20" t="s">
        <v>77</v>
      </c>
      <c r="CL120" s="24" t="s">
        <v>416</v>
      </c>
      <c r="CM120" s="24" t="s">
        <v>398</v>
      </c>
      <c r="CO120" s="20" t="s">
        <v>296</v>
      </c>
      <c r="CV120" s="25" t="s">
        <v>130</v>
      </c>
      <c r="CZ120" s="38"/>
    </row>
    <row r="121" spans="1:108">
      <c r="A121" s="71" t="s">
        <v>576</v>
      </c>
      <c r="B121" s="39" t="s">
        <v>78</v>
      </c>
      <c r="C121" s="37"/>
      <c r="E121" s="20">
        <v>16</v>
      </c>
      <c r="G121" s="20" t="s">
        <v>273</v>
      </c>
      <c r="H121" s="20">
        <v>3</v>
      </c>
      <c r="I121" s="20" t="s">
        <v>85</v>
      </c>
      <c r="J121" s="20">
        <v>9</v>
      </c>
      <c r="L121" s="20">
        <v>20</v>
      </c>
      <c r="N121" s="20">
        <v>0</v>
      </c>
      <c r="O121" s="20">
        <v>0</v>
      </c>
      <c r="Q121" s="20">
        <v>10</v>
      </c>
      <c r="W121" s="20" t="s">
        <v>77</v>
      </c>
      <c r="CL121" s="24" t="s">
        <v>416</v>
      </c>
      <c r="CM121" s="24" t="s">
        <v>398</v>
      </c>
      <c r="CO121" s="20" t="s">
        <v>296</v>
      </c>
      <c r="CV121" s="25" t="s">
        <v>130</v>
      </c>
      <c r="CZ121" s="38"/>
    </row>
    <row r="122" spans="1:108">
      <c r="A122" s="39" t="s">
        <v>162</v>
      </c>
      <c r="B122" s="39" t="s">
        <v>97</v>
      </c>
      <c r="C122" s="37"/>
      <c r="N122" s="20">
        <v>0</v>
      </c>
      <c r="O122" s="20">
        <v>0</v>
      </c>
      <c r="Q122" s="20">
        <v>10</v>
      </c>
      <c r="CL122" s="24" t="s">
        <v>135</v>
      </c>
      <c r="CM122" s="24" t="s">
        <v>398</v>
      </c>
      <c r="CO122" s="20" t="s">
        <v>296</v>
      </c>
      <c r="CV122" s="25" t="s">
        <v>130</v>
      </c>
      <c r="CZ122" s="38"/>
    </row>
    <row r="123" spans="1:108" s="16" customFormat="1">
      <c r="A123" s="39" t="s">
        <v>163</v>
      </c>
      <c r="B123" s="39" t="s">
        <v>84</v>
      </c>
      <c r="C123" s="37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>
        <v>0</v>
      </c>
      <c r="O123" s="20">
        <v>0</v>
      </c>
      <c r="P123" s="20"/>
      <c r="Q123" s="20">
        <v>10</v>
      </c>
      <c r="R123" s="20"/>
      <c r="S123" s="20"/>
      <c r="T123" s="20"/>
      <c r="U123" s="20"/>
      <c r="V123" s="20"/>
      <c r="W123" s="20" t="s">
        <v>86</v>
      </c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4"/>
      <c r="CL123" s="24"/>
      <c r="CM123" s="24" t="s">
        <v>398</v>
      </c>
      <c r="CN123" s="24"/>
      <c r="CO123" s="20" t="s">
        <v>296</v>
      </c>
      <c r="CP123" s="20"/>
      <c r="CQ123" s="20"/>
      <c r="CR123" s="20"/>
      <c r="CS123" s="20"/>
      <c r="CT123" s="20"/>
      <c r="CU123" s="20"/>
      <c r="CV123" s="25" t="s">
        <v>196</v>
      </c>
      <c r="CW123" s="20"/>
      <c r="CX123" s="20"/>
      <c r="CY123" s="20"/>
      <c r="CZ123" s="38"/>
      <c r="DA123" s="20"/>
      <c r="DB123" s="20"/>
      <c r="DC123" s="20"/>
      <c r="DD123" s="20"/>
    </row>
    <row r="124" spans="1:108">
      <c r="A124" s="39" t="s">
        <v>164</v>
      </c>
      <c r="B124" s="39" t="s">
        <v>84</v>
      </c>
      <c r="C124" s="37"/>
      <c r="N124" s="20">
        <v>0</v>
      </c>
      <c r="O124" s="20">
        <v>0</v>
      </c>
      <c r="Q124" s="20">
        <v>10</v>
      </c>
      <c r="W124" s="20" t="s">
        <v>86</v>
      </c>
      <c r="CM124" s="24" t="s">
        <v>398</v>
      </c>
      <c r="CN124" s="13"/>
      <c r="CO124" s="20" t="s">
        <v>296</v>
      </c>
      <c r="CV124" s="25" t="s">
        <v>196</v>
      </c>
      <c r="CZ124" s="38"/>
    </row>
    <row r="125" spans="1:108">
      <c r="A125" s="71" t="s">
        <v>455</v>
      </c>
      <c r="B125" s="39" t="s">
        <v>104</v>
      </c>
      <c r="C125" s="37"/>
      <c r="E125" s="20">
        <v>17</v>
      </c>
      <c r="I125" s="20" t="s">
        <v>129</v>
      </c>
      <c r="J125" s="20">
        <v>8</v>
      </c>
      <c r="L125" s="20">
        <v>-20</v>
      </c>
      <c r="N125" s="20">
        <v>0</v>
      </c>
      <c r="O125" s="20">
        <v>0</v>
      </c>
      <c r="Q125" s="20">
        <v>10</v>
      </c>
      <c r="W125" s="20" t="s">
        <v>94</v>
      </c>
      <c r="CL125" s="24" t="s">
        <v>439</v>
      </c>
      <c r="CM125" s="24" t="s">
        <v>398</v>
      </c>
      <c r="CN125" s="13"/>
      <c r="CO125" s="20" t="s">
        <v>296</v>
      </c>
      <c r="CV125" s="25" t="s">
        <v>456</v>
      </c>
      <c r="CZ125" s="38"/>
    </row>
    <row r="126" spans="1:108">
      <c r="A126" s="71" t="s">
        <v>454</v>
      </c>
      <c r="B126" s="39" t="s">
        <v>120</v>
      </c>
      <c r="C126" s="37"/>
      <c r="E126" s="20">
        <v>16</v>
      </c>
      <c r="N126" s="20">
        <v>0</v>
      </c>
      <c r="O126" s="20">
        <v>0</v>
      </c>
      <c r="Q126" s="20">
        <v>10</v>
      </c>
      <c r="W126" s="20" t="s">
        <v>121</v>
      </c>
      <c r="CM126" s="24" t="s">
        <v>398</v>
      </c>
      <c r="CN126" s="13" t="s">
        <v>494</v>
      </c>
      <c r="CO126" s="20" t="s">
        <v>296</v>
      </c>
      <c r="CV126" s="25" t="s">
        <v>499</v>
      </c>
      <c r="CZ126" s="38"/>
    </row>
    <row r="127" spans="1:108">
      <c r="A127" s="71" t="s">
        <v>1047</v>
      </c>
      <c r="B127" s="20" t="s">
        <v>78</v>
      </c>
      <c r="E127" s="20">
        <v>16</v>
      </c>
      <c r="G127" s="20" t="s">
        <v>273</v>
      </c>
      <c r="L127" s="20">
        <v>-20</v>
      </c>
      <c r="N127" s="20">
        <v>0</v>
      </c>
      <c r="O127" s="20">
        <v>0</v>
      </c>
      <c r="Q127" s="20">
        <v>10</v>
      </c>
      <c r="W127" s="20" t="s">
        <v>80</v>
      </c>
      <c r="CM127" s="24" t="s">
        <v>398</v>
      </c>
      <c r="CN127" s="13" t="s">
        <v>494</v>
      </c>
      <c r="CO127" s="20" t="s">
        <v>296</v>
      </c>
      <c r="CV127" s="25" t="s">
        <v>195</v>
      </c>
      <c r="CZ127" s="38"/>
    </row>
    <row r="128" spans="1:108">
      <c r="A128" s="71" t="s">
        <v>453</v>
      </c>
      <c r="B128" s="39" t="s">
        <v>104</v>
      </c>
      <c r="C128" s="37"/>
      <c r="E128" s="20">
        <v>16</v>
      </c>
      <c r="N128" s="20">
        <v>0</v>
      </c>
      <c r="O128" s="20">
        <v>0</v>
      </c>
      <c r="Q128" s="20">
        <v>10</v>
      </c>
      <c r="W128" s="20" t="s">
        <v>94</v>
      </c>
      <c r="CM128" s="24" t="s">
        <v>398</v>
      </c>
      <c r="CN128" s="13" t="s">
        <v>494</v>
      </c>
      <c r="CO128" s="20" t="s">
        <v>296</v>
      </c>
      <c r="CV128" s="25" t="s">
        <v>498</v>
      </c>
      <c r="CZ128" s="38"/>
    </row>
    <row r="129" spans="1:104">
      <c r="A129" s="39" t="s">
        <v>452</v>
      </c>
      <c r="B129" s="39" t="s">
        <v>84</v>
      </c>
      <c r="C129" s="37"/>
      <c r="E129" s="20">
        <v>16</v>
      </c>
      <c r="N129" s="20">
        <v>0</v>
      </c>
      <c r="O129" s="20">
        <v>0</v>
      </c>
      <c r="Q129" s="20">
        <v>10</v>
      </c>
      <c r="W129" s="20" t="s">
        <v>86</v>
      </c>
      <c r="CM129" s="24" t="s">
        <v>398</v>
      </c>
      <c r="CN129" s="13" t="s">
        <v>494</v>
      </c>
      <c r="CO129" s="20" t="s">
        <v>296</v>
      </c>
      <c r="CV129" s="25" t="s">
        <v>497</v>
      </c>
      <c r="CZ129" s="38"/>
    </row>
    <row r="130" spans="1:104">
      <c r="A130" s="71" t="s">
        <v>457</v>
      </c>
      <c r="B130" s="39" t="s">
        <v>104</v>
      </c>
      <c r="C130" s="37"/>
      <c r="E130" s="20">
        <v>16</v>
      </c>
      <c r="J130" s="20">
        <v>5</v>
      </c>
      <c r="N130" s="20">
        <v>0</v>
      </c>
      <c r="O130" s="20">
        <v>0</v>
      </c>
      <c r="Q130" s="20">
        <v>10</v>
      </c>
      <c r="W130" s="20" t="s">
        <v>94</v>
      </c>
      <c r="CM130" s="24" t="s">
        <v>398</v>
      </c>
      <c r="CN130" s="13" t="s">
        <v>494</v>
      </c>
      <c r="CO130" s="20" t="s">
        <v>296</v>
      </c>
      <c r="CV130" s="25" t="s">
        <v>501</v>
      </c>
      <c r="CZ130" s="38"/>
    </row>
    <row r="131" spans="1:104">
      <c r="A131" s="71" t="s">
        <v>458</v>
      </c>
      <c r="B131" s="39" t="s">
        <v>124</v>
      </c>
      <c r="C131" s="37"/>
      <c r="E131" s="20">
        <v>16</v>
      </c>
      <c r="J131" s="20">
        <v>6</v>
      </c>
      <c r="N131" s="20">
        <v>0</v>
      </c>
      <c r="O131" s="20">
        <v>0</v>
      </c>
      <c r="Q131" s="20">
        <v>10</v>
      </c>
      <c r="W131" s="20" t="s">
        <v>125</v>
      </c>
      <c r="CM131" s="24" t="s">
        <v>398</v>
      </c>
      <c r="CN131" s="13" t="s">
        <v>494</v>
      </c>
      <c r="CO131" s="20" t="s">
        <v>296</v>
      </c>
      <c r="CV131" s="25" t="s">
        <v>500</v>
      </c>
      <c r="CZ131" s="38"/>
    </row>
    <row r="132" spans="1:104">
      <c r="A132" s="71" t="s">
        <v>459</v>
      </c>
      <c r="B132" s="20" t="s">
        <v>93</v>
      </c>
      <c r="C132" s="37"/>
      <c r="E132" s="20">
        <v>17</v>
      </c>
      <c r="J132" s="20">
        <v>5</v>
      </c>
      <c r="N132" s="20">
        <v>0</v>
      </c>
      <c r="O132" s="20">
        <v>0</v>
      </c>
      <c r="Q132" s="20">
        <v>10</v>
      </c>
      <c r="W132" s="20" t="s">
        <v>94</v>
      </c>
      <c r="CM132" s="24" t="s">
        <v>398</v>
      </c>
      <c r="CO132" s="20" t="s">
        <v>296</v>
      </c>
      <c r="CV132" s="25" t="s">
        <v>460</v>
      </c>
      <c r="CZ132" s="38"/>
    </row>
    <row r="133" spans="1:104">
      <c r="A133" s="39" t="s">
        <v>461</v>
      </c>
      <c r="B133" s="39" t="s">
        <v>124</v>
      </c>
      <c r="C133" s="37"/>
      <c r="E133" s="20">
        <v>17</v>
      </c>
      <c r="J133" s="20">
        <v>6</v>
      </c>
      <c r="N133" s="20">
        <v>0</v>
      </c>
      <c r="O133" s="20">
        <v>0</v>
      </c>
      <c r="Q133" s="20">
        <v>10</v>
      </c>
      <c r="W133" s="20" t="s">
        <v>125</v>
      </c>
      <c r="CM133" s="24" t="s">
        <v>398</v>
      </c>
      <c r="CO133" s="20" t="s">
        <v>296</v>
      </c>
      <c r="CV133" s="25" t="s">
        <v>293</v>
      </c>
      <c r="CZ133" s="38"/>
    </row>
    <row r="134" spans="1:104">
      <c r="A134" s="71" t="s">
        <v>440</v>
      </c>
      <c r="B134" s="20" t="s">
        <v>78</v>
      </c>
      <c r="C134" s="37"/>
      <c r="E134" s="20">
        <v>16</v>
      </c>
      <c r="G134" s="20" t="s">
        <v>273</v>
      </c>
      <c r="H134" s="20">
        <v>4</v>
      </c>
      <c r="I134" s="20" t="s">
        <v>134</v>
      </c>
      <c r="J134" s="20">
        <v>4</v>
      </c>
      <c r="L134" s="20">
        <v>-30</v>
      </c>
      <c r="N134" s="20">
        <v>0</v>
      </c>
      <c r="O134" s="20">
        <v>0</v>
      </c>
      <c r="Q134" s="20">
        <v>10</v>
      </c>
      <c r="W134" s="20" t="s">
        <v>77</v>
      </c>
      <c r="CL134" s="24" t="s">
        <v>345</v>
      </c>
      <c r="CM134" s="24" t="s">
        <v>398</v>
      </c>
      <c r="CO134" s="20" t="s">
        <v>296</v>
      </c>
      <c r="CV134" s="25" t="s">
        <v>130</v>
      </c>
      <c r="CZ134" s="38"/>
    </row>
    <row r="135" spans="1:104">
      <c r="A135" s="71" t="s">
        <v>556</v>
      </c>
      <c r="B135" s="20" t="s">
        <v>84</v>
      </c>
      <c r="E135" s="20">
        <v>18</v>
      </c>
      <c r="G135" s="20" t="s">
        <v>273</v>
      </c>
      <c r="H135" s="20">
        <v>4</v>
      </c>
      <c r="I135" s="20" t="s">
        <v>85</v>
      </c>
      <c r="J135" s="20">
        <v>6</v>
      </c>
      <c r="N135" s="20">
        <v>0</v>
      </c>
      <c r="O135" s="20">
        <v>0</v>
      </c>
      <c r="Q135" s="20">
        <v>10</v>
      </c>
      <c r="W135" s="20" t="s">
        <v>86</v>
      </c>
      <c r="BY135" s="22"/>
      <c r="BZ135" s="23"/>
      <c r="CI135" s="27"/>
      <c r="CJ135" s="27"/>
      <c r="CM135" s="24" t="s">
        <v>398</v>
      </c>
      <c r="CO135" s="20" t="s">
        <v>296</v>
      </c>
      <c r="CP135" s="27"/>
      <c r="CV135" s="25" t="s">
        <v>289</v>
      </c>
      <c r="CW135" s="22"/>
      <c r="CX135" s="22"/>
      <c r="CY135" s="22"/>
      <c r="CZ135" s="38"/>
    </row>
    <row r="136" spans="1:104">
      <c r="A136" s="71" t="s">
        <v>574</v>
      </c>
      <c r="B136" s="20" t="s">
        <v>93</v>
      </c>
      <c r="C136" s="37"/>
      <c r="E136" s="20">
        <v>17</v>
      </c>
      <c r="H136" s="20">
        <v>5</v>
      </c>
      <c r="J136" s="20">
        <v>7</v>
      </c>
      <c r="N136" s="20">
        <v>0</v>
      </c>
      <c r="O136" s="20">
        <v>0</v>
      </c>
      <c r="Q136" s="20">
        <v>10</v>
      </c>
      <c r="W136" s="20" t="s">
        <v>94</v>
      </c>
      <c r="CM136" s="24" t="s">
        <v>398</v>
      </c>
      <c r="CO136" s="20" t="s">
        <v>296</v>
      </c>
      <c r="CV136" s="25" t="s">
        <v>460</v>
      </c>
      <c r="CZ136" s="38"/>
    </row>
    <row r="137" spans="1:104">
      <c r="A137" s="71" t="s">
        <v>575</v>
      </c>
      <c r="B137" s="39" t="s">
        <v>124</v>
      </c>
      <c r="C137" s="37"/>
      <c r="E137" s="20">
        <v>16</v>
      </c>
      <c r="H137" s="20">
        <v>5</v>
      </c>
      <c r="J137" s="20">
        <v>8</v>
      </c>
      <c r="N137" s="20">
        <v>0</v>
      </c>
      <c r="O137" s="20">
        <v>0</v>
      </c>
      <c r="Q137" s="20">
        <v>10</v>
      </c>
      <c r="W137" s="20" t="s">
        <v>125</v>
      </c>
      <c r="CM137" s="24" t="s">
        <v>398</v>
      </c>
      <c r="CN137" s="13" t="s">
        <v>494</v>
      </c>
      <c r="CO137" s="20" t="s">
        <v>296</v>
      </c>
      <c r="CV137" s="25" t="s">
        <v>500</v>
      </c>
      <c r="CZ137" s="38"/>
    </row>
    <row r="138" spans="1:104">
      <c r="A138" s="71" t="s">
        <v>1051</v>
      </c>
      <c r="B138" s="20" t="s">
        <v>78</v>
      </c>
      <c r="E138" s="20">
        <v>16</v>
      </c>
      <c r="G138" s="20" t="s">
        <v>273</v>
      </c>
      <c r="N138" s="20">
        <v>0</v>
      </c>
      <c r="O138" s="20">
        <v>0</v>
      </c>
      <c r="Q138" s="20">
        <v>10</v>
      </c>
      <c r="W138" s="20" t="s">
        <v>80</v>
      </c>
      <c r="CM138" s="24" t="s">
        <v>398</v>
      </c>
      <c r="CN138" s="13" t="s">
        <v>494</v>
      </c>
      <c r="CO138" s="20" t="s">
        <v>296</v>
      </c>
      <c r="CV138" s="25" t="s">
        <v>1052</v>
      </c>
      <c r="CZ138" s="38"/>
    </row>
    <row r="139" spans="1:104">
      <c r="A139" s="40" t="s">
        <v>577</v>
      </c>
      <c r="B139" s="20" t="s">
        <v>116</v>
      </c>
      <c r="C139" s="37"/>
      <c r="E139" s="20">
        <v>13</v>
      </c>
      <c r="H139" s="20">
        <v>4</v>
      </c>
      <c r="J139" s="20">
        <v>4</v>
      </c>
      <c r="N139" s="20">
        <v>0</v>
      </c>
      <c r="O139" s="20">
        <v>0</v>
      </c>
      <c r="Q139" s="20">
        <v>10</v>
      </c>
      <c r="W139" s="20" t="s">
        <v>77</v>
      </c>
      <c r="CM139" s="24" t="s">
        <v>398</v>
      </c>
      <c r="CO139" s="20" t="s">
        <v>296</v>
      </c>
      <c r="CV139" s="25" t="s">
        <v>130</v>
      </c>
      <c r="CZ139" s="38"/>
    </row>
    <row r="140" spans="1:104">
      <c r="A140" s="40" t="s">
        <v>578</v>
      </c>
      <c r="B140" s="20" t="s">
        <v>116</v>
      </c>
      <c r="C140" s="37"/>
      <c r="E140" s="20">
        <v>12</v>
      </c>
      <c r="H140" s="20">
        <v>5</v>
      </c>
      <c r="J140" s="20">
        <v>4</v>
      </c>
      <c r="L140" s="20">
        <v>-20</v>
      </c>
      <c r="N140" s="20">
        <v>0</v>
      </c>
      <c r="O140" s="20">
        <v>0</v>
      </c>
      <c r="Q140" s="20">
        <v>10</v>
      </c>
      <c r="W140" s="20" t="s">
        <v>77</v>
      </c>
      <c r="CM140" s="24" t="s">
        <v>398</v>
      </c>
      <c r="CO140" s="20" t="s">
        <v>296</v>
      </c>
      <c r="CV140" s="25" t="s">
        <v>130</v>
      </c>
      <c r="CZ140" s="38"/>
    </row>
    <row r="141" spans="1:104">
      <c r="A141" s="71" t="s">
        <v>475</v>
      </c>
      <c r="B141" s="20" t="s">
        <v>84</v>
      </c>
      <c r="E141" s="20">
        <v>18</v>
      </c>
      <c r="G141" s="20" t="s">
        <v>273</v>
      </c>
      <c r="H141" s="20">
        <v>4</v>
      </c>
      <c r="I141" s="20" t="s">
        <v>85</v>
      </c>
      <c r="L141" s="20">
        <v>-30</v>
      </c>
      <c r="N141" s="20">
        <v>0</v>
      </c>
      <c r="O141" s="20">
        <v>0</v>
      </c>
      <c r="Q141" s="20">
        <v>10</v>
      </c>
      <c r="W141" s="20" t="s">
        <v>86</v>
      </c>
      <c r="BY141" s="22"/>
      <c r="BZ141" s="23"/>
      <c r="CI141" s="27"/>
      <c r="CJ141" s="27"/>
      <c r="CL141" s="24" t="s">
        <v>443</v>
      </c>
      <c r="CM141" s="24" t="s">
        <v>398</v>
      </c>
      <c r="CN141" s="24" t="s">
        <v>624</v>
      </c>
      <c r="CO141" s="20" t="s">
        <v>296</v>
      </c>
      <c r="CP141" s="27"/>
      <c r="CV141" s="25" t="s">
        <v>289</v>
      </c>
      <c r="CW141" s="22"/>
      <c r="CX141" s="22"/>
      <c r="CY141" s="22"/>
      <c r="CZ141" s="38"/>
    </row>
    <row r="142" spans="1:104">
      <c r="A142" s="71" t="s">
        <v>476</v>
      </c>
      <c r="B142" s="20" t="s">
        <v>84</v>
      </c>
      <c r="E142" s="20">
        <v>18</v>
      </c>
      <c r="G142" s="20" t="s">
        <v>273</v>
      </c>
      <c r="H142" s="20">
        <v>4</v>
      </c>
      <c r="I142" s="20" t="s">
        <v>85</v>
      </c>
      <c r="L142" s="20">
        <v>-30</v>
      </c>
      <c r="N142" s="20">
        <v>0</v>
      </c>
      <c r="O142" s="20">
        <v>0</v>
      </c>
      <c r="Q142" s="20">
        <v>10</v>
      </c>
      <c r="W142" s="20" t="s">
        <v>86</v>
      </c>
      <c r="BY142" s="22"/>
      <c r="BZ142" s="23"/>
      <c r="CI142" s="27"/>
      <c r="CJ142" s="27"/>
      <c r="CL142" s="24" t="s">
        <v>394</v>
      </c>
      <c r="CM142" s="24" t="s">
        <v>398</v>
      </c>
      <c r="CN142" s="24" t="s">
        <v>623</v>
      </c>
      <c r="CO142" s="20" t="s">
        <v>296</v>
      </c>
      <c r="CP142" s="27"/>
      <c r="CV142" s="25" t="s">
        <v>289</v>
      </c>
      <c r="CW142" s="22"/>
      <c r="CX142" s="22"/>
      <c r="CY142" s="22"/>
      <c r="CZ142" s="38"/>
    </row>
    <row r="143" spans="1:104">
      <c r="A143" s="71" t="s">
        <v>478</v>
      </c>
      <c r="B143" s="20" t="s">
        <v>84</v>
      </c>
      <c r="E143" s="20">
        <v>18</v>
      </c>
      <c r="G143" s="20" t="s">
        <v>273</v>
      </c>
      <c r="H143" s="20">
        <v>4</v>
      </c>
      <c r="I143" s="20" t="s">
        <v>85</v>
      </c>
      <c r="L143" s="20">
        <v>-30</v>
      </c>
      <c r="N143" s="20">
        <v>0</v>
      </c>
      <c r="O143" s="20">
        <v>0</v>
      </c>
      <c r="Q143" s="20">
        <v>10</v>
      </c>
      <c r="W143" s="20" t="s">
        <v>86</v>
      </c>
      <c r="BY143" s="22"/>
      <c r="BZ143" s="23"/>
      <c r="CI143" s="27"/>
      <c r="CJ143" s="27"/>
      <c r="CL143" s="24" t="s">
        <v>449</v>
      </c>
      <c r="CM143" s="24" t="s">
        <v>398</v>
      </c>
      <c r="CN143" s="24" t="s">
        <v>626</v>
      </c>
      <c r="CO143" s="20" t="s">
        <v>296</v>
      </c>
      <c r="CP143" s="27"/>
      <c r="CV143" s="25" t="s">
        <v>289</v>
      </c>
      <c r="CW143" s="22"/>
      <c r="CX143" s="22"/>
      <c r="CY143" s="22"/>
      <c r="CZ143" s="38"/>
    </row>
    <row r="144" spans="1:104">
      <c r="A144" s="71" t="s">
        <v>477</v>
      </c>
      <c r="B144" s="20" t="s">
        <v>84</v>
      </c>
      <c r="E144" s="20">
        <v>18</v>
      </c>
      <c r="G144" s="20" t="s">
        <v>273</v>
      </c>
      <c r="H144" s="20">
        <v>4</v>
      </c>
      <c r="I144" s="20" t="s">
        <v>85</v>
      </c>
      <c r="L144" s="20">
        <v>-30</v>
      </c>
      <c r="N144" s="20">
        <v>0</v>
      </c>
      <c r="O144" s="20">
        <v>0</v>
      </c>
      <c r="Q144" s="20">
        <v>10</v>
      </c>
      <c r="W144" s="20" t="s">
        <v>86</v>
      </c>
      <c r="BY144" s="22"/>
      <c r="BZ144" s="23"/>
      <c r="CI144" s="27"/>
      <c r="CJ144" s="27"/>
      <c r="CL144" s="24" t="s">
        <v>479</v>
      </c>
      <c r="CM144" s="24" t="s">
        <v>398</v>
      </c>
      <c r="CN144" s="24" t="s">
        <v>625</v>
      </c>
      <c r="CO144" s="20" t="s">
        <v>296</v>
      </c>
      <c r="CP144" s="27"/>
      <c r="CV144" s="25" t="s">
        <v>289</v>
      </c>
      <c r="CW144" s="22"/>
      <c r="CX144" s="22"/>
      <c r="CY144" s="22"/>
      <c r="CZ144" s="38"/>
    </row>
    <row r="145" spans="1:104">
      <c r="A145" s="71" t="s">
        <v>565</v>
      </c>
      <c r="B145" s="20" t="s">
        <v>120</v>
      </c>
      <c r="C145" s="26"/>
      <c r="E145" s="20">
        <v>18</v>
      </c>
      <c r="H145" s="20">
        <v>5</v>
      </c>
      <c r="I145" s="20" t="s">
        <v>79</v>
      </c>
      <c r="J145" s="20">
        <v>4</v>
      </c>
      <c r="N145" s="20">
        <v>0</v>
      </c>
      <c r="O145" s="20">
        <v>0</v>
      </c>
      <c r="Q145" s="20">
        <v>10</v>
      </c>
      <c r="W145" s="20" t="s">
        <v>121</v>
      </c>
      <c r="BY145" s="22"/>
      <c r="BZ145" s="23"/>
      <c r="CI145" s="27"/>
      <c r="CJ145" s="27"/>
      <c r="CM145" s="24" t="s">
        <v>398</v>
      </c>
      <c r="CO145" s="20" t="s">
        <v>296</v>
      </c>
      <c r="CP145" s="27"/>
      <c r="CV145" s="25" t="s">
        <v>337</v>
      </c>
      <c r="CW145" s="22"/>
      <c r="CX145" s="22"/>
      <c r="CY145" s="22"/>
      <c r="CZ145" s="38"/>
    </row>
    <row r="146" spans="1:104">
      <c r="A146" s="71" t="s">
        <v>566</v>
      </c>
      <c r="B146" s="20" t="s">
        <v>78</v>
      </c>
      <c r="C146" s="26"/>
      <c r="E146" s="20">
        <v>18</v>
      </c>
      <c r="G146" s="20" t="s">
        <v>273</v>
      </c>
      <c r="H146" s="20">
        <v>5</v>
      </c>
      <c r="I146" s="20" t="s">
        <v>79</v>
      </c>
      <c r="J146" s="20">
        <v>5</v>
      </c>
      <c r="N146" s="20">
        <v>0</v>
      </c>
      <c r="O146" s="20">
        <v>0</v>
      </c>
      <c r="Q146" s="20">
        <v>10</v>
      </c>
      <c r="W146" s="20" t="s">
        <v>80</v>
      </c>
      <c r="BY146" s="22"/>
      <c r="BZ146" s="23"/>
      <c r="CI146" s="27"/>
      <c r="CJ146" s="27"/>
      <c r="CL146" s="24" t="s">
        <v>321</v>
      </c>
      <c r="CM146" s="24" t="s">
        <v>398</v>
      </c>
      <c r="CO146" s="20" t="s">
        <v>296</v>
      </c>
      <c r="CP146" s="27"/>
      <c r="CV146" s="25" t="s">
        <v>290</v>
      </c>
      <c r="CW146" s="22"/>
      <c r="CX146" s="22"/>
      <c r="CY146" s="22"/>
      <c r="CZ146" s="38"/>
    </row>
    <row r="147" spans="1:104">
      <c r="A147" s="71" t="s">
        <v>567</v>
      </c>
      <c r="B147" s="20" t="s">
        <v>97</v>
      </c>
      <c r="E147" s="20">
        <v>18</v>
      </c>
      <c r="G147" s="20" t="s">
        <v>273</v>
      </c>
      <c r="H147" s="20">
        <v>4</v>
      </c>
      <c r="I147" s="20" t="s">
        <v>76</v>
      </c>
      <c r="J147" s="20">
        <v>4</v>
      </c>
      <c r="N147" s="20">
        <v>0</v>
      </c>
      <c r="O147" s="20">
        <v>0</v>
      </c>
      <c r="Q147" s="20">
        <v>10</v>
      </c>
      <c r="W147" s="20" t="s">
        <v>98</v>
      </c>
      <c r="BY147" s="22"/>
      <c r="BZ147" s="23"/>
      <c r="CM147" s="24" t="s">
        <v>398</v>
      </c>
      <c r="CO147" s="20" t="s">
        <v>296</v>
      </c>
      <c r="CV147" s="25" t="s">
        <v>323</v>
      </c>
      <c r="CZ147" s="38"/>
    </row>
    <row r="148" spans="1:104" s="39" customFormat="1">
      <c r="A148" s="39" t="s">
        <v>466</v>
      </c>
      <c r="B148" s="39" t="s">
        <v>84</v>
      </c>
      <c r="E148" s="39">
        <v>17</v>
      </c>
      <c r="H148" s="39">
        <v>5</v>
      </c>
      <c r="I148" s="39" t="s">
        <v>76</v>
      </c>
      <c r="J148" s="39">
        <v>4</v>
      </c>
      <c r="K148" s="39">
        <v>2</v>
      </c>
      <c r="N148" s="20">
        <v>0</v>
      </c>
      <c r="O148" s="39">
        <v>0</v>
      </c>
      <c r="Q148" s="39">
        <v>10</v>
      </c>
      <c r="W148" s="39" t="s">
        <v>77</v>
      </c>
      <c r="CK148" s="24"/>
      <c r="CL148" s="24" t="s">
        <v>298</v>
      </c>
      <c r="CM148" s="24" t="s">
        <v>398</v>
      </c>
      <c r="CN148" s="24"/>
      <c r="CO148" s="39" t="s">
        <v>296</v>
      </c>
      <c r="CV148" s="39" t="s">
        <v>130</v>
      </c>
      <c r="CZ148" s="38"/>
    </row>
    <row r="149" spans="1:104">
      <c r="A149" s="39" t="s">
        <v>467</v>
      </c>
      <c r="B149" s="20" t="s">
        <v>116</v>
      </c>
      <c r="C149" s="37"/>
      <c r="E149" s="20">
        <v>17</v>
      </c>
      <c r="H149" s="20">
        <v>4</v>
      </c>
      <c r="J149" s="20">
        <v>4</v>
      </c>
      <c r="K149" s="20">
        <v>2</v>
      </c>
      <c r="N149" s="20">
        <v>0</v>
      </c>
      <c r="O149" s="20">
        <v>0</v>
      </c>
      <c r="P149" s="20">
        <v>1</v>
      </c>
      <c r="Q149" s="20">
        <v>10</v>
      </c>
      <c r="W149" s="20" t="s">
        <v>117</v>
      </c>
      <c r="CL149" s="24" t="s">
        <v>298</v>
      </c>
      <c r="CM149" s="24" t="s">
        <v>398</v>
      </c>
      <c r="CO149" s="20" t="s">
        <v>296</v>
      </c>
      <c r="CV149" s="25" t="s">
        <v>130</v>
      </c>
      <c r="CZ149" s="38"/>
    </row>
    <row r="150" spans="1:104">
      <c r="A150" s="39" t="s">
        <v>468</v>
      </c>
      <c r="B150" s="20" t="s">
        <v>120</v>
      </c>
      <c r="C150" s="37"/>
      <c r="E150" s="20">
        <v>17</v>
      </c>
      <c r="I150" s="20" t="s">
        <v>79</v>
      </c>
      <c r="N150" s="20">
        <v>0</v>
      </c>
      <c r="O150" s="20">
        <v>0</v>
      </c>
      <c r="P150" s="20">
        <v>7</v>
      </c>
      <c r="Q150" s="20">
        <v>10</v>
      </c>
      <c r="W150" s="20" t="s">
        <v>121</v>
      </c>
      <c r="CM150" s="24" t="s">
        <v>398</v>
      </c>
      <c r="CO150" s="20" t="s">
        <v>296</v>
      </c>
      <c r="CV150" s="25" t="s">
        <v>201</v>
      </c>
      <c r="CZ150" s="38"/>
    </row>
    <row r="151" spans="1:104">
      <c r="A151" s="71" t="s">
        <v>1048</v>
      </c>
      <c r="B151" s="20" t="s">
        <v>78</v>
      </c>
      <c r="C151" s="37"/>
      <c r="E151" s="20">
        <v>17</v>
      </c>
      <c r="G151" s="20" t="s">
        <v>273</v>
      </c>
      <c r="N151" s="20">
        <v>0</v>
      </c>
      <c r="O151" s="20">
        <v>0</v>
      </c>
      <c r="Q151" s="20">
        <v>10</v>
      </c>
      <c r="W151" s="20" t="s">
        <v>80</v>
      </c>
      <c r="CM151" s="24" t="s">
        <v>398</v>
      </c>
      <c r="CO151" s="20" t="s">
        <v>296</v>
      </c>
      <c r="CV151" s="53" t="s">
        <v>289</v>
      </c>
      <c r="CZ151" s="38"/>
    </row>
    <row r="152" spans="1:104">
      <c r="A152" s="39" t="s">
        <v>165</v>
      </c>
      <c r="B152" s="39" t="s">
        <v>97</v>
      </c>
      <c r="C152" s="37"/>
      <c r="E152" s="20">
        <v>10</v>
      </c>
      <c r="L152" s="20">
        <v>15</v>
      </c>
      <c r="N152" s="20">
        <v>1</v>
      </c>
      <c r="O152" s="20">
        <v>2</v>
      </c>
      <c r="Q152" s="20">
        <v>10</v>
      </c>
      <c r="W152" s="20" t="s">
        <v>77</v>
      </c>
      <c r="CL152" s="24" t="s">
        <v>166</v>
      </c>
      <c r="CM152" s="24" t="s">
        <v>398</v>
      </c>
      <c r="CO152" s="20" t="s">
        <v>296</v>
      </c>
      <c r="CV152" s="25" t="s">
        <v>130</v>
      </c>
      <c r="CZ152" s="38"/>
    </row>
    <row r="153" spans="1:104">
      <c r="A153" s="39" t="s">
        <v>167</v>
      </c>
      <c r="B153" s="71" t="s">
        <v>104</v>
      </c>
      <c r="C153" s="37"/>
      <c r="E153" s="20">
        <v>10</v>
      </c>
      <c r="N153" s="20">
        <v>0</v>
      </c>
      <c r="O153" s="20">
        <v>0</v>
      </c>
      <c r="Q153" s="20">
        <v>10</v>
      </c>
      <c r="W153" s="20" t="s">
        <v>77</v>
      </c>
      <c r="CL153" s="24" t="s">
        <v>168</v>
      </c>
      <c r="CM153" s="24" t="s">
        <v>398</v>
      </c>
      <c r="CO153" s="20" t="s">
        <v>296</v>
      </c>
      <c r="CV153" s="25" t="s">
        <v>130</v>
      </c>
      <c r="CZ153" s="38"/>
    </row>
    <row r="154" spans="1:104">
      <c r="A154" s="71" t="s">
        <v>472</v>
      </c>
      <c r="B154" s="20" t="s">
        <v>97</v>
      </c>
      <c r="C154" s="37"/>
      <c r="E154" s="20">
        <v>17</v>
      </c>
      <c r="G154" s="20" t="s">
        <v>273</v>
      </c>
      <c r="H154" s="20">
        <v>6</v>
      </c>
      <c r="I154" s="20" t="s">
        <v>76</v>
      </c>
      <c r="J154" s="20">
        <v>7</v>
      </c>
      <c r="N154" s="20">
        <v>0</v>
      </c>
      <c r="O154" s="20">
        <v>0</v>
      </c>
      <c r="Q154" s="20">
        <v>10</v>
      </c>
      <c r="W154" s="20" t="s">
        <v>77</v>
      </c>
      <c r="CL154" s="24" t="s">
        <v>469</v>
      </c>
      <c r="CM154" s="24" t="s">
        <v>398</v>
      </c>
      <c r="CO154" s="20" t="s">
        <v>296</v>
      </c>
      <c r="CV154" s="25" t="s">
        <v>130</v>
      </c>
      <c r="CZ154" s="38"/>
    </row>
    <row r="155" spans="1:104">
      <c r="A155" s="39" t="s">
        <v>463</v>
      </c>
      <c r="B155" s="39" t="s">
        <v>97</v>
      </c>
      <c r="C155" s="37"/>
      <c r="E155" s="20">
        <v>18</v>
      </c>
      <c r="H155" s="20">
        <v>5</v>
      </c>
      <c r="I155" s="20" t="s">
        <v>76</v>
      </c>
      <c r="J155" s="20">
        <v>4</v>
      </c>
      <c r="N155" s="20">
        <v>0</v>
      </c>
      <c r="O155" s="20">
        <v>0</v>
      </c>
      <c r="Q155" s="20">
        <v>10</v>
      </c>
      <c r="W155" s="20" t="s">
        <v>77</v>
      </c>
      <c r="CM155" s="24" t="s">
        <v>398</v>
      </c>
      <c r="CO155" s="20" t="s">
        <v>296</v>
      </c>
      <c r="CV155" s="25" t="s">
        <v>130</v>
      </c>
      <c r="CZ155" s="38"/>
    </row>
    <row r="156" spans="1:104">
      <c r="A156" s="39" t="s">
        <v>464</v>
      </c>
      <c r="B156" s="39" t="s">
        <v>97</v>
      </c>
      <c r="C156" s="37"/>
      <c r="E156" s="20">
        <v>17</v>
      </c>
      <c r="H156" s="20">
        <v>5</v>
      </c>
      <c r="I156" s="20" t="s">
        <v>76</v>
      </c>
      <c r="J156" s="20">
        <v>4</v>
      </c>
      <c r="N156" s="20">
        <v>0</v>
      </c>
      <c r="O156" s="20">
        <v>0</v>
      </c>
      <c r="Q156" s="20">
        <v>10</v>
      </c>
      <c r="W156" s="20" t="s">
        <v>77</v>
      </c>
      <c r="CL156" s="24" t="s">
        <v>415</v>
      </c>
      <c r="CM156" s="24" t="s">
        <v>398</v>
      </c>
      <c r="CO156" s="20" t="s">
        <v>296</v>
      </c>
      <c r="CV156" s="25" t="s">
        <v>130</v>
      </c>
      <c r="CZ156" s="38"/>
    </row>
    <row r="157" spans="1:104">
      <c r="A157" s="39" t="s">
        <v>462</v>
      </c>
      <c r="B157" s="39" t="s">
        <v>97</v>
      </c>
      <c r="C157" s="37"/>
      <c r="E157" s="20">
        <v>18</v>
      </c>
      <c r="H157" s="20">
        <v>4</v>
      </c>
      <c r="I157" s="72" t="s">
        <v>76</v>
      </c>
      <c r="J157" s="20">
        <v>8</v>
      </c>
      <c r="N157" s="20">
        <v>0</v>
      </c>
      <c r="O157" s="20">
        <v>0</v>
      </c>
      <c r="Q157" s="20">
        <v>10</v>
      </c>
      <c r="W157" s="20" t="s">
        <v>77</v>
      </c>
      <c r="CL157" s="24" t="s">
        <v>132</v>
      </c>
      <c r="CM157" s="24" t="s">
        <v>398</v>
      </c>
      <c r="CO157" s="20" t="s">
        <v>296</v>
      </c>
      <c r="CV157" s="25" t="s">
        <v>130</v>
      </c>
      <c r="CZ157" s="38"/>
    </row>
    <row r="158" spans="1:104">
      <c r="A158" s="71" t="s">
        <v>559</v>
      </c>
      <c r="B158" s="39" t="s">
        <v>84</v>
      </c>
      <c r="C158" s="37"/>
      <c r="E158" s="20">
        <v>17</v>
      </c>
      <c r="H158" s="20">
        <v>5</v>
      </c>
      <c r="I158" s="20" t="s">
        <v>77</v>
      </c>
      <c r="J158" s="20">
        <v>6</v>
      </c>
      <c r="N158" s="20">
        <v>0</v>
      </c>
      <c r="O158" s="20">
        <v>0</v>
      </c>
      <c r="Q158" s="20">
        <v>10</v>
      </c>
      <c r="W158" s="20" t="s">
        <v>98</v>
      </c>
      <c r="CK158" s="42"/>
      <c r="CL158" s="42"/>
      <c r="CM158" s="24" t="s">
        <v>398</v>
      </c>
      <c r="CN158" s="43"/>
      <c r="CO158" s="20" t="s">
        <v>296</v>
      </c>
      <c r="CV158" s="25" t="s">
        <v>130</v>
      </c>
      <c r="CZ158" s="38"/>
    </row>
    <row r="159" spans="1:104">
      <c r="A159" s="71" t="s">
        <v>558</v>
      </c>
      <c r="B159" s="39" t="s">
        <v>97</v>
      </c>
      <c r="C159" s="37"/>
      <c r="E159" s="20">
        <v>17</v>
      </c>
      <c r="H159" s="20">
        <v>5</v>
      </c>
      <c r="I159" s="20" t="s">
        <v>76</v>
      </c>
      <c r="J159" s="20">
        <v>5</v>
      </c>
      <c r="K159" s="20">
        <v>2</v>
      </c>
      <c r="N159" s="20">
        <v>0</v>
      </c>
      <c r="O159" s="20">
        <v>0</v>
      </c>
      <c r="Q159" s="20">
        <v>10</v>
      </c>
      <c r="W159" s="20" t="s">
        <v>77</v>
      </c>
      <c r="CL159" s="24" t="s">
        <v>298</v>
      </c>
      <c r="CM159" s="24" t="s">
        <v>398</v>
      </c>
      <c r="CO159" s="20" t="s">
        <v>296</v>
      </c>
      <c r="CV159" s="25" t="s">
        <v>130</v>
      </c>
      <c r="CZ159" s="38"/>
    </row>
    <row r="160" spans="1:104">
      <c r="A160" s="71" t="s">
        <v>560</v>
      </c>
      <c r="B160" s="39" t="s">
        <v>97</v>
      </c>
      <c r="C160" s="37"/>
      <c r="E160" s="20">
        <v>17</v>
      </c>
      <c r="H160" s="20">
        <v>6</v>
      </c>
      <c r="I160" s="20" t="s">
        <v>76</v>
      </c>
      <c r="J160" s="20">
        <v>9</v>
      </c>
      <c r="K160" s="20">
        <v>2</v>
      </c>
      <c r="N160" s="20">
        <v>0</v>
      </c>
      <c r="O160" s="20">
        <v>0</v>
      </c>
      <c r="Q160" s="20">
        <v>10</v>
      </c>
      <c r="W160" s="20" t="s">
        <v>77</v>
      </c>
      <c r="CL160" s="24" t="s">
        <v>298</v>
      </c>
      <c r="CM160" s="24" t="s">
        <v>398</v>
      </c>
      <c r="CO160" s="20" t="s">
        <v>296</v>
      </c>
      <c r="CV160" s="25" t="s">
        <v>130</v>
      </c>
      <c r="CZ160" s="38"/>
    </row>
    <row r="161" spans="1:104">
      <c r="A161" s="71" t="s">
        <v>557</v>
      </c>
      <c r="B161" s="72" t="s">
        <v>78</v>
      </c>
      <c r="C161" s="37"/>
      <c r="E161" s="20">
        <v>18</v>
      </c>
      <c r="H161" s="20">
        <v>4</v>
      </c>
      <c r="I161" s="20" t="s">
        <v>77</v>
      </c>
      <c r="J161" s="20">
        <v>4</v>
      </c>
      <c r="N161" s="20">
        <v>0</v>
      </c>
      <c r="O161" s="20">
        <v>0</v>
      </c>
      <c r="Q161" s="20">
        <v>10</v>
      </c>
      <c r="W161" s="20" t="s">
        <v>77</v>
      </c>
      <c r="CL161" s="24" t="s">
        <v>329</v>
      </c>
      <c r="CM161" s="24" t="s">
        <v>398</v>
      </c>
      <c r="CO161" s="20" t="s">
        <v>296</v>
      </c>
      <c r="CV161" s="25" t="s">
        <v>130</v>
      </c>
      <c r="CZ161" s="38"/>
    </row>
    <row r="162" spans="1:104">
      <c r="A162" s="71" t="s">
        <v>562</v>
      </c>
      <c r="B162" s="20" t="s">
        <v>84</v>
      </c>
      <c r="E162" s="20">
        <v>17</v>
      </c>
      <c r="G162" s="20" t="s">
        <v>273</v>
      </c>
      <c r="H162" s="20">
        <v>4</v>
      </c>
      <c r="I162" s="20" t="s">
        <v>85</v>
      </c>
      <c r="J162" s="20">
        <v>6</v>
      </c>
      <c r="N162" s="20">
        <v>0</v>
      </c>
      <c r="O162" s="20">
        <v>0</v>
      </c>
      <c r="Q162" s="20">
        <v>10</v>
      </c>
      <c r="W162" s="20" t="s">
        <v>86</v>
      </c>
      <c r="BY162" s="22"/>
      <c r="BZ162" s="23"/>
      <c r="CI162" s="27"/>
      <c r="CJ162" s="27"/>
      <c r="CM162" s="24" t="s">
        <v>398</v>
      </c>
      <c r="CO162" s="20" t="s">
        <v>296</v>
      </c>
      <c r="CP162" s="27"/>
      <c r="CV162" s="25" t="s">
        <v>289</v>
      </c>
      <c r="CW162" s="22"/>
      <c r="CX162" s="22"/>
      <c r="CY162" s="22"/>
      <c r="CZ162" s="38"/>
    </row>
    <row r="163" spans="1:104">
      <c r="A163" s="71" t="s">
        <v>561</v>
      </c>
      <c r="B163" s="20" t="s">
        <v>120</v>
      </c>
      <c r="C163" s="26"/>
      <c r="E163" s="20">
        <v>17</v>
      </c>
      <c r="H163" s="20">
        <v>5</v>
      </c>
      <c r="I163" s="20" t="s">
        <v>79</v>
      </c>
      <c r="J163" s="20">
        <v>5</v>
      </c>
      <c r="N163" s="20">
        <v>0</v>
      </c>
      <c r="O163" s="20">
        <v>0</v>
      </c>
      <c r="Q163" s="20">
        <v>10</v>
      </c>
      <c r="W163" s="20" t="s">
        <v>121</v>
      </c>
      <c r="BY163" s="22"/>
      <c r="BZ163" s="23"/>
      <c r="CI163" s="27"/>
      <c r="CJ163" s="27"/>
      <c r="CM163" s="24" t="s">
        <v>398</v>
      </c>
      <c r="CO163" s="20" t="s">
        <v>296</v>
      </c>
      <c r="CP163" s="27"/>
      <c r="CV163" s="25" t="s">
        <v>337</v>
      </c>
      <c r="CW163" s="22"/>
      <c r="CX163" s="22"/>
      <c r="CY163" s="22"/>
      <c r="CZ163" s="38"/>
    </row>
    <row r="164" spans="1:104">
      <c r="A164" s="71" t="s">
        <v>1049</v>
      </c>
      <c r="B164" s="20" t="s">
        <v>78</v>
      </c>
      <c r="C164" s="37"/>
      <c r="E164" s="20">
        <v>17</v>
      </c>
      <c r="G164" s="20" t="s">
        <v>273</v>
      </c>
      <c r="N164" s="20">
        <v>0</v>
      </c>
      <c r="O164" s="20">
        <v>0</v>
      </c>
      <c r="Q164" s="20">
        <v>10</v>
      </c>
      <c r="W164" s="20" t="s">
        <v>80</v>
      </c>
      <c r="CM164" s="24" t="s">
        <v>398</v>
      </c>
      <c r="CO164" s="20" t="s">
        <v>296</v>
      </c>
      <c r="CV164" s="53" t="s">
        <v>289</v>
      </c>
      <c r="CZ164" s="38"/>
    </row>
    <row r="165" spans="1:104">
      <c r="A165" s="71" t="s">
        <v>563</v>
      </c>
      <c r="B165" s="20" t="s">
        <v>84</v>
      </c>
      <c r="E165" s="20">
        <v>17</v>
      </c>
      <c r="G165" s="20" t="s">
        <v>273</v>
      </c>
      <c r="H165" s="20">
        <v>5</v>
      </c>
      <c r="I165" s="20" t="s">
        <v>85</v>
      </c>
      <c r="J165" s="20">
        <v>7</v>
      </c>
      <c r="N165" s="20">
        <v>0</v>
      </c>
      <c r="O165" s="20">
        <v>0</v>
      </c>
      <c r="Q165" s="20">
        <v>10</v>
      </c>
      <c r="W165" s="20" t="s">
        <v>86</v>
      </c>
      <c r="BY165" s="22"/>
      <c r="BZ165" s="23"/>
      <c r="CI165" s="27"/>
      <c r="CJ165" s="27"/>
      <c r="CM165" s="24" t="s">
        <v>398</v>
      </c>
      <c r="CO165" s="20" t="s">
        <v>296</v>
      </c>
      <c r="CP165" s="27"/>
      <c r="CV165" s="25" t="s">
        <v>289</v>
      </c>
      <c r="CW165" s="22"/>
      <c r="CX165" s="22"/>
      <c r="CY165" s="22"/>
      <c r="CZ165" s="38"/>
    </row>
    <row r="166" spans="1:104">
      <c r="A166" s="40" t="s">
        <v>564</v>
      </c>
      <c r="B166" s="20" t="s">
        <v>109</v>
      </c>
      <c r="C166" s="37"/>
      <c r="E166" s="20">
        <v>18</v>
      </c>
      <c r="G166" s="20" t="s">
        <v>272</v>
      </c>
      <c r="H166" s="20">
        <v>6</v>
      </c>
      <c r="J166" s="20">
        <v>7</v>
      </c>
      <c r="L166" s="20">
        <v>20</v>
      </c>
      <c r="N166" s="20">
        <v>0</v>
      </c>
      <c r="O166" s="20">
        <v>0</v>
      </c>
      <c r="Q166" s="20">
        <v>10</v>
      </c>
      <c r="W166" s="20" t="s">
        <v>86</v>
      </c>
      <c r="CM166" s="24" t="s">
        <v>398</v>
      </c>
      <c r="CN166" s="24" t="s">
        <v>494</v>
      </c>
      <c r="CO166" s="20" t="s">
        <v>296</v>
      </c>
      <c r="CV166" s="25" t="s">
        <v>90</v>
      </c>
      <c r="CZ166" s="38"/>
    </row>
    <row r="167" spans="1:104">
      <c r="A167" s="71" t="s">
        <v>473</v>
      </c>
      <c r="B167" s="39" t="s">
        <v>97</v>
      </c>
      <c r="C167" s="37"/>
      <c r="E167" s="20">
        <v>16</v>
      </c>
      <c r="H167" s="20">
        <v>6</v>
      </c>
      <c r="I167" s="20" t="s">
        <v>76</v>
      </c>
      <c r="J167" s="20">
        <v>9</v>
      </c>
      <c r="N167" s="20">
        <v>0</v>
      </c>
      <c r="O167" s="20">
        <v>0</v>
      </c>
      <c r="Q167" s="20">
        <v>10</v>
      </c>
      <c r="W167" s="20" t="s">
        <v>77</v>
      </c>
      <c r="CL167" s="24" t="s">
        <v>419</v>
      </c>
      <c r="CM167" s="24" t="s">
        <v>398</v>
      </c>
      <c r="CO167" s="20" t="s">
        <v>296</v>
      </c>
      <c r="CV167" s="25" t="s">
        <v>609</v>
      </c>
      <c r="CZ167" s="38"/>
    </row>
    <row r="168" spans="1:104">
      <c r="A168" s="71" t="s">
        <v>502</v>
      </c>
      <c r="B168" s="20" t="s">
        <v>84</v>
      </c>
      <c r="C168" s="37"/>
      <c r="E168" s="20">
        <v>18</v>
      </c>
      <c r="H168" s="20">
        <v>6</v>
      </c>
      <c r="I168" s="20" t="s">
        <v>85</v>
      </c>
      <c r="J168" s="20">
        <v>6</v>
      </c>
      <c r="K168" s="20">
        <v>2</v>
      </c>
      <c r="N168" s="20">
        <v>0</v>
      </c>
      <c r="O168" s="20">
        <v>0</v>
      </c>
      <c r="Q168" s="20">
        <v>10</v>
      </c>
      <c r="W168" s="20" t="s">
        <v>77</v>
      </c>
      <c r="CL168" s="24" t="s">
        <v>503</v>
      </c>
      <c r="CM168" s="24" t="s">
        <v>398</v>
      </c>
      <c r="CO168" s="20" t="s">
        <v>296</v>
      </c>
      <c r="CV168" s="25" t="s">
        <v>130</v>
      </c>
      <c r="CZ168" s="38"/>
    </row>
    <row r="169" spans="1:104">
      <c r="A169" s="39" t="s">
        <v>465</v>
      </c>
      <c r="B169" s="20" t="s">
        <v>78</v>
      </c>
      <c r="C169" s="37"/>
      <c r="E169" s="20">
        <v>17</v>
      </c>
      <c r="G169" s="20" t="s">
        <v>273</v>
      </c>
      <c r="H169" s="20">
        <v>5</v>
      </c>
      <c r="I169" s="20" t="s">
        <v>79</v>
      </c>
      <c r="N169" s="20">
        <v>0</v>
      </c>
      <c r="O169" s="20">
        <v>0</v>
      </c>
      <c r="Q169" s="20">
        <v>10</v>
      </c>
      <c r="W169" s="20" t="s">
        <v>80</v>
      </c>
      <c r="CM169" s="24" t="s">
        <v>398</v>
      </c>
      <c r="CO169" s="20" t="s">
        <v>296</v>
      </c>
      <c r="CV169" s="53" t="s">
        <v>289</v>
      </c>
      <c r="CZ169" s="38"/>
    </row>
    <row r="170" spans="1:104">
      <c r="A170" s="71" t="s">
        <v>572</v>
      </c>
      <c r="B170" s="72" t="s">
        <v>97</v>
      </c>
      <c r="C170" s="37"/>
      <c r="E170" s="20">
        <v>19</v>
      </c>
      <c r="G170" s="20" t="s">
        <v>273</v>
      </c>
      <c r="H170" s="20">
        <v>5</v>
      </c>
      <c r="I170" s="72" t="s">
        <v>76</v>
      </c>
      <c r="J170" s="20">
        <v>8</v>
      </c>
      <c r="N170" s="20">
        <v>0</v>
      </c>
      <c r="O170" s="20">
        <v>0</v>
      </c>
      <c r="Q170" s="20">
        <v>10</v>
      </c>
      <c r="W170" s="20" t="s">
        <v>98</v>
      </c>
      <c r="CM170" s="24" t="s">
        <v>398</v>
      </c>
      <c r="CO170" s="20" t="s">
        <v>296</v>
      </c>
      <c r="CV170" s="25" t="s">
        <v>198</v>
      </c>
      <c r="CZ170" s="38"/>
    </row>
    <row r="171" spans="1:104" s="39" customFormat="1">
      <c r="A171" s="71" t="s">
        <v>568</v>
      </c>
      <c r="B171" s="39" t="s">
        <v>84</v>
      </c>
      <c r="C171" s="81"/>
      <c r="E171" s="39">
        <v>18</v>
      </c>
      <c r="G171" s="39" t="s">
        <v>273</v>
      </c>
      <c r="J171" s="39">
        <v>5</v>
      </c>
      <c r="N171" s="39">
        <v>0</v>
      </c>
      <c r="O171" s="39">
        <v>0</v>
      </c>
      <c r="Q171" s="39">
        <v>10</v>
      </c>
      <c r="W171" s="39" t="s">
        <v>86</v>
      </c>
      <c r="CK171" s="24"/>
      <c r="CL171" s="24"/>
      <c r="CM171" s="24" t="s">
        <v>398</v>
      </c>
      <c r="CN171" s="24"/>
      <c r="CO171" s="39" t="s">
        <v>296</v>
      </c>
      <c r="CV171" s="53" t="s">
        <v>87</v>
      </c>
      <c r="CZ171" s="38"/>
    </row>
    <row r="172" spans="1:104" s="39" customFormat="1">
      <c r="A172" s="71" t="s">
        <v>569</v>
      </c>
      <c r="B172" s="71" t="s">
        <v>97</v>
      </c>
      <c r="C172" s="81"/>
      <c r="E172" s="39">
        <v>18</v>
      </c>
      <c r="G172" s="39" t="s">
        <v>273</v>
      </c>
      <c r="J172" s="39">
        <v>4</v>
      </c>
      <c r="N172" s="39">
        <v>0</v>
      </c>
      <c r="O172" s="39">
        <v>0</v>
      </c>
      <c r="Q172" s="39">
        <v>10</v>
      </c>
      <c r="W172" s="39" t="s">
        <v>98</v>
      </c>
      <c r="CK172" s="24"/>
      <c r="CL172" s="24"/>
      <c r="CM172" s="24" t="s">
        <v>398</v>
      </c>
      <c r="CN172" s="24"/>
      <c r="CO172" s="39" t="s">
        <v>296</v>
      </c>
      <c r="CV172" s="53" t="s">
        <v>198</v>
      </c>
      <c r="CZ172" s="38"/>
    </row>
    <row r="173" spans="1:104" s="39" customFormat="1">
      <c r="A173" s="71" t="s">
        <v>570</v>
      </c>
      <c r="B173" s="39" t="s">
        <v>84</v>
      </c>
      <c r="C173" s="81"/>
      <c r="E173" s="39">
        <v>18</v>
      </c>
      <c r="G173" s="39" t="s">
        <v>273</v>
      </c>
      <c r="J173" s="39">
        <v>4</v>
      </c>
      <c r="N173" s="39">
        <v>0</v>
      </c>
      <c r="O173" s="39">
        <v>0</v>
      </c>
      <c r="Q173" s="39">
        <v>10</v>
      </c>
      <c r="W173" s="39" t="s">
        <v>86</v>
      </c>
      <c r="CK173" s="24"/>
      <c r="CL173" s="24"/>
      <c r="CM173" s="24" t="s">
        <v>398</v>
      </c>
      <c r="CN173" s="24"/>
      <c r="CO173" s="39" t="s">
        <v>296</v>
      </c>
      <c r="CV173" s="53" t="s">
        <v>87</v>
      </c>
      <c r="CZ173" s="38"/>
    </row>
    <row r="174" spans="1:104" s="39" customFormat="1">
      <c r="A174" s="71" t="s">
        <v>571</v>
      </c>
      <c r="B174" s="39" t="s">
        <v>120</v>
      </c>
      <c r="C174" s="81"/>
      <c r="E174" s="39">
        <v>18</v>
      </c>
      <c r="J174" s="39">
        <v>7</v>
      </c>
      <c r="N174" s="39">
        <v>0</v>
      </c>
      <c r="O174" s="39">
        <v>0</v>
      </c>
      <c r="Q174" s="39">
        <v>10</v>
      </c>
      <c r="W174" s="39" t="s">
        <v>121</v>
      </c>
      <c r="CK174" s="24"/>
      <c r="CL174" s="24"/>
      <c r="CM174" s="24" t="s">
        <v>398</v>
      </c>
      <c r="CN174" s="24"/>
      <c r="CO174" s="39" t="s">
        <v>296</v>
      </c>
      <c r="CV174" s="53" t="s">
        <v>123</v>
      </c>
      <c r="CZ174" s="38"/>
    </row>
    <row r="175" spans="1:104">
      <c r="A175" s="71" t="s">
        <v>1050</v>
      </c>
      <c r="B175" s="20" t="s">
        <v>78</v>
      </c>
      <c r="C175" s="37"/>
      <c r="E175" s="20">
        <v>18</v>
      </c>
      <c r="G175" s="20" t="s">
        <v>273</v>
      </c>
      <c r="H175" s="20">
        <v>5</v>
      </c>
      <c r="N175" s="20">
        <v>0</v>
      </c>
      <c r="O175" s="20">
        <v>0</v>
      </c>
      <c r="Q175" s="20">
        <v>10</v>
      </c>
      <c r="W175" s="20" t="s">
        <v>80</v>
      </c>
      <c r="CM175" s="24" t="s">
        <v>398</v>
      </c>
      <c r="CO175" s="20" t="s">
        <v>296</v>
      </c>
      <c r="CV175" s="53" t="s">
        <v>289</v>
      </c>
      <c r="CZ175" s="38"/>
    </row>
    <row r="176" spans="1:104" s="39" customFormat="1">
      <c r="A176" s="71" t="s">
        <v>573</v>
      </c>
      <c r="B176" s="39" t="s">
        <v>84</v>
      </c>
      <c r="C176" s="81"/>
      <c r="E176" s="39">
        <v>18</v>
      </c>
      <c r="G176" s="39" t="s">
        <v>273</v>
      </c>
      <c r="H176" s="39">
        <v>5</v>
      </c>
      <c r="N176" s="39">
        <v>0</v>
      </c>
      <c r="O176" s="39">
        <v>0</v>
      </c>
      <c r="Q176" s="39">
        <v>10</v>
      </c>
      <c r="W176" s="39" t="s">
        <v>77</v>
      </c>
      <c r="CK176" s="24"/>
      <c r="CL176" s="24"/>
      <c r="CM176" s="24" t="s">
        <v>398</v>
      </c>
      <c r="CN176" s="24"/>
      <c r="CO176" s="39" t="s">
        <v>296</v>
      </c>
      <c r="CV176" s="53" t="s">
        <v>130</v>
      </c>
      <c r="CZ176" s="38"/>
    </row>
    <row r="177" spans="1:104">
      <c r="A177" s="71" t="s">
        <v>595</v>
      </c>
      <c r="B177" s="20" t="s">
        <v>78</v>
      </c>
      <c r="C177" s="37"/>
      <c r="E177" s="20">
        <v>19</v>
      </c>
      <c r="G177" s="20" t="s">
        <v>273</v>
      </c>
      <c r="H177" s="20">
        <v>5</v>
      </c>
      <c r="J177" s="20">
        <v>5</v>
      </c>
      <c r="K177" s="20">
        <v>2</v>
      </c>
      <c r="N177" s="20">
        <v>0</v>
      </c>
      <c r="O177" s="20">
        <v>0</v>
      </c>
      <c r="Q177" s="20">
        <v>10</v>
      </c>
      <c r="W177" s="20" t="s">
        <v>77</v>
      </c>
      <c r="CM177" s="24" t="s">
        <v>398</v>
      </c>
      <c r="CO177" s="20" t="s">
        <v>296</v>
      </c>
      <c r="CV177" s="25" t="s">
        <v>130</v>
      </c>
      <c r="CZ177" s="38"/>
    </row>
    <row r="178" spans="1:104" s="39" customFormat="1">
      <c r="A178" s="82" t="s">
        <v>596</v>
      </c>
      <c r="B178" s="71" t="s">
        <v>84</v>
      </c>
      <c r="C178" s="81"/>
      <c r="E178" s="39">
        <v>19</v>
      </c>
      <c r="H178" s="39">
        <v>6</v>
      </c>
      <c r="I178" s="71" t="s">
        <v>85</v>
      </c>
      <c r="J178" s="39">
        <v>6</v>
      </c>
      <c r="N178" s="39">
        <v>0</v>
      </c>
      <c r="O178" s="39">
        <v>0</v>
      </c>
      <c r="Q178" s="20">
        <v>10</v>
      </c>
      <c r="W178" s="71" t="s">
        <v>86</v>
      </c>
      <c r="CK178" s="24"/>
      <c r="CL178" s="24" t="s">
        <v>601</v>
      </c>
      <c r="CM178" s="24" t="s">
        <v>398</v>
      </c>
      <c r="CN178" s="24"/>
      <c r="CO178" s="39" t="s">
        <v>296</v>
      </c>
      <c r="CV178" s="53" t="s">
        <v>291</v>
      </c>
      <c r="CZ178" s="38"/>
    </row>
    <row r="179" spans="1:104" s="39" customFormat="1">
      <c r="A179" s="82" t="s">
        <v>597</v>
      </c>
      <c r="B179" s="71" t="s">
        <v>111</v>
      </c>
      <c r="C179" s="81"/>
      <c r="E179" s="39">
        <v>19</v>
      </c>
      <c r="H179" s="39">
        <v>6</v>
      </c>
      <c r="I179" s="71" t="s">
        <v>79</v>
      </c>
      <c r="J179" s="39">
        <v>7</v>
      </c>
      <c r="N179" s="39">
        <v>0</v>
      </c>
      <c r="O179" s="39">
        <v>0</v>
      </c>
      <c r="Q179" s="20">
        <v>10</v>
      </c>
      <c r="W179" s="71" t="s">
        <v>112</v>
      </c>
      <c r="CK179" s="24"/>
      <c r="CL179" s="24" t="s">
        <v>601</v>
      </c>
      <c r="CM179" s="24" t="s">
        <v>398</v>
      </c>
      <c r="CN179" s="24"/>
      <c r="CO179" s="39" t="s">
        <v>296</v>
      </c>
      <c r="CV179" s="53" t="s">
        <v>336</v>
      </c>
      <c r="CZ179" s="38"/>
    </row>
    <row r="180" spans="1:104" s="39" customFormat="1">
      <c r="A180" s="82" t="s">
        <v>598</v>
      </c>
      <c r="B180" s="71" t="s">
        <v>116</v>
      </c>
      <c r="C180" s="81"/>
      <c r="E180" s="39">
        <v>19</v>
      </c>
      <c r="H180" s="39">
        <v>6</v>
      </c>
      <c r="I180" s="71" t="s">
        <v>131</v>
      </c>
      <c r="N180" s="39">
        <v>0</v>
      </c>
      <c r="O180" s="39">
        <v>0</v>
      </c>
      <c r="Q180" s="20">
        <v>10</v>
      </c>
      <c r="W180" s="71" t="s">
        <v>117</v>
      </c>
      <c r="CK180" s="24"/>
      <c r="CL180" s="24" t="s">
        <v>601</v>
      </c>
      <c r="CM180" s="24" t="s">
        <v>398</v>
      </c>
      <c r="CN180" s="24"/>
      <c r="CO180" s="39" t="s">
        <v>296</v>
      </c>
      <c r="CV180" s="53" t="s">
        <v>428</v>
      </c>
      <c r="CZ180" s="38"/>
    </row>
    <row r="181" spans="1:104" s="39" customFormat="1">
      <c r="A181" s="82" t="s">
        <v>599</v>
      </c>
      <c r="B181" s="71" t="s">
        <v>97</v>
      </c>
      <c r="C181" s="81"/>
      <c r="E181" s="39">
        <v>19</v>
      </c>
      <c r="H181" s="39">
        <v>5</v>
      </c>
      <c r="I181" s="71" t="s">
        <v>76</v>
      </c>
      <c r="N181" s="39">
        <v>0</v>
      </c>
      <c r="O181" s="39">
        <v>0</v>
      </c>
      <c r="Q181" s="20">
        <v>10</v>
      </c>
      <c r="W181" s="71" t="s">
        <v>98</v>
      </c>
      <c r="CK181" s="24"/>
      <c r="CL181" s="24" t="s">
        <v>601</v>
      </c>
      <c r="CM181" s="24" t="s">
        <v>398</v>
      </c>
      <c r="CN181" s="24"/>
      <c r="CO181" s="39" t="s">
        <v>296</v>
      </c>
      <c r="CV181" s="53" t="s">
        <v>323</v>
      </c>
      <c r="CZ181" s="38"/>
    </row>
    <row r="182" spans="1:104" s="39" customFormat="1">
      <c r="A182" s="82" t="s">
        <v>600</v>
      </c>
      <c r="B182" s="71" t="s">
        <v>120</v>
      </c>
      <c r="C182" s="81"/>
      <c r="E182" s="39">
        <v>19</v>
      </c>
      <c r="H182" s="39">
        <v>6</v>
      </c>
      <c r="I182" s="71" t="s">
        <v>79</v>
      </c>
      <c r="J182" s="39">
        <v>6</v>
      </c>
      <c r="N182" s="39">
        <v>0</v>
      </c>
      <c r="O182" s="39">
        <v>0</v>
      </c>
      <c r="Q182" s="20">
        <v>10</v>
      </c>
      <c r="W182" s="71" t="s">
        <v>121</v>
      </c>
      <c r="CK182" s="24"/>
      <c r="CL182" s="24" t="s">
        <v>601</v>
      </c>
      <c r="CM182" s="24" t="s">
        <v>398</v>
      </c>
      <c r="CN182" s="24"/>
      <c r="CO182" s="39" t="s">
        <v>296</v>
      </c>
      <c r="CV182" s="25" t="s">
        <v>337</v>
      </c>
      <c r="CZ182" s="38"/>
    </row>
    <row r="183" spans="1:104">
      <c r="A183" t="s">
        <v>974</v>
      </c>
      <c r="B183" s="20" t="s">
        <v>116</v>
      </c>
      <c r="C183" s="26"/>
      <c r="E183" s="20">
        <v>16</v>
      </c>
      <c r="G183" s="20" t="s">
        <v>272</v>
      </c>
      <c r="H183" s="20">
        <v>4</v>
      </c>
      <c r="I183" s="72" t="s">
        <v>129</v>
      </c>
      <c r="N183" s="20">
        <v>0</v>
      </c>
      <c r="O183" s="20">
        <v>0</v>
      </c>
      <c r="Q183" s="20">
        <v>10</v>
      </c>
      <c r="W183" s="20" t="s">
        <v>117</v>
      </c>
      <c r="BY183" s="22"/>
      <c r="BZ183" s="27"/>
      <c r="CA183" s="23"/>
      <c r="CI183" s="27"/>
      <c r="CJ183" s="27"/>
      <c r="CM183" s="24" t="s">
        <v>398</v>
      </c>
      <c r="CO183" s="20" t="s">
        <v>296</v>
      </c>
      <c r="CP183" s="27"/>
      <c r="CV183" s="25" t="s">
        <v>429</v>
      </c>
      <c r="CZ183" s="38"/>
    </row>
    <row r="184" spans="1:104" s="67" customFormat="1">
      <c r="A184" s="67" t="s">
        <v>480</v>
      </c>
      <c r="B184" s="67" t="s">
        <v>84</v>
      </c>
      <c r="E184" s="67">
        <v>20</v>
      </c>
      <c r="H184" s="67">
        <v>2</v>
      </c>
      <c r="I184" s="39" t="s">
        <v>76</v>
      </c>
      <c r="J184" s="67">
        <v>10</v>
      </c>
      <c r="K184" s="67">
        <v>1</v>
      </c>
      <c r="L184" s="41">
        <v>250</v>
      </c>
      <c r="N184" s="39">
        <v>1</v>
      </c>
      <c r="O184" s="67">
        <v>10</v>
      </c>
      <c r="Q184" s="20">
        <v>10</v>
      </c>
      <c r="W184" s="67" t="s">
        <v>86</v>
      </c>
      <c r="BY184" s="68"/>
      <c r="BZ184" s="69"/>
      <c r="CI184" s="68"/>
      <c r="CJ184" s="68"/>
      <c r="CK184" s="24"/>
      <c r="CL184" s="24"/>
      <c r="CM184" s="24" t="s">
        <v>398</v>
      </c>
      <c r="CN184" s="24" t="s">
        <v>624</v>
      </c>
      <c r="CO184" s="39" t="s">
        <v>296</v>
      </c>
      <c r="CP184" s="68"/>
      <c r="CV184" s="70" t="s">
        <v>610</v>
      </c>
      <c r="CW184" s="68"/>
      <c r="CX184" s="68"/>
      <c r="CY184" s="68"/>
      <c r="CZ184" s="38"/>
    </row>
    <row r="185" spans="1:104" s="67" customFormat="1">
      <c r="A185" s="67" t="s">
        <v>481</v>
      </c>
      <c r="B185" s="67" t="s">
        <v>84</v>
      </c>
      <c r="E185" s="67">
        <v>20</v>
      </c>
      <c r="H185" s="67">
        <v>2</v>
      </c>
      <c r="I185" s="39" t="s">
        <v>76</v>
      </c>
      <c r="J185" s="67">
        <v>10</v>
      </c>
      <c r="K185" s="67">
        <v>1</v>
      </c>
      <c r="L185" s="41">
        <v>250</v>
      </c>
      <c r="N185" s="39">
        <v>1</v>
      </c>
      <c r="O185" s="67">
        <v>10</v>
      </c>
      <c r="Q185" s="67">
        <v>10</v>
      </c>
      <c r="W185" s="67" t="s">
        <v>86</v>
      </c>
      <c r="BY185" s="68"/>
      <c r="BZ185" s="69"/>
      <c r="CI185" s="68"/>
      <c r="CJ185" s="68"/>
      <c r="CK185" s="24"/>
      <c r="CL185" s="24"/>
      <c r="CM185" s="24" t="s">
        <v>398</v>
      </c>
      <c r="CN185" s="24" t="s">
        <v>623</v>
      </c>
      <c r="CO185" s="39" t="s">
        <v>296</v>
      </c>
      <c r="CP185" s="68"/>
      <c r="CV185" s="70" t="s">
        <v>610</v>
      </c>
      <c r="CW185" s="68"/>
      <c r="CX185" s="68"/>
      <c r="CY185" s="68"/>
      <c r="CZ185" s="38"/>
    </row>
    <row r="186" spans="1:104" s="67" customFormat="1">
      <c r="A186" s="67" t="s">
        <v>482</v>
      </c>
      <c r="B186" s="67" t="s">
        <v>84</v>
      </c>
      <c r="E186" s="67">
        <v>20</v>
      </c>
      <c r="H186" s="67">
        <v>2</v>
      </c>
      <c r="I186" s="39" t="s">
        <v>76</v>
      </c>
      <c r="J186" s="67">
        <v>10</v>
      </c>
      <c r="K186" s="67">
        <v>1</v>
      </c>
      <c r="L186" s="41">
        <v>250</v>
      </c>
      <c r="N186" s="20">
        <v>1</v>
      </c>
      <c r="O186" s="67">
        <v>10</v>
      </c>
      <c r="Q186" s="67">
        <v>10</v>
      </c>
      <c r="W186" s="67" t="s">
        <v>86</v>
      </c>
      <c r="BY186" s="68"/>
      <c r="BZ186" s="69"/>
      <c r="CI186" s="68"/>
      <c r="CJ186" s="68"/>
      <c r="CK186" s="24"/>
      <c r="CL186" s="24"/>
      <c r="CM186" s="24" t="s">
        <v>398</v>
      </c>
      <c r="CN186" s="24" t="s">
        <v>626</v>
      </c>
      <c r="CO186" s="20" t="s">
        <v>296</v>
      </c>
      <c r="CP186" s="68"/>
      <c r="CV186" s="70" t="s">
        <v>610</v>
      </c>
      <c r="CW186" s="68"/>
      <c r="CX186" s="68"/>
      <c r="CY186" s="68"/>
      <c r="CZ186" s="38"/>
    </row>
    <row r="187" spans="1:104" s="67" customFormat="1">
      <c r="A187" s="67" t="s">
        <v>483</v>
      </c>
      <c r="B187" s="67" t="s">
        <v>84</v>
      </c>
      <c r="E187" s="67">
        <v>20</v>
      </c>
      <c r="H187" s="67">
        <v>2</v>
      </c>
      <c r="I187" s="39" t="s">
        <v>76</v>
      </c>
      <c r="J187" s="67">
        <v>10</v>
      </c>
      <c r="K187" s="67">
        <v>1</v>
      </c>
      <c r="L187" s="41">
        <v>250</v>
      </c>
      <c r="N187" s="20">
        <v>1</v>
      </c>
      <c r="O187" s="67">
        <v>10</v>
      </c>
      <c r="Q187" s="67">
        <v>10</v>
      </c>
      <c r="W187" s="67" t="s">
        <v>86</v>
      </c>
      <c r="BY187" s="68"/>
      <c r="BZ187" s="69"/>
      <c r="CI187" s="68"/>
      <c r="CJ187" s="68"/>
      <c r="CK187" s="24"/>
      <c r="CL187" s="24"/>
      <c r="CM187" s="24" t="s">
        <v>398</v>
      </c>
      <c r="CN187" s="24" t="s">
        <v>625</v>
      </c>
      <c r="CO187" s="20" t="s">
        <v>296</v>
      </c>
      <c r="CP187" s="68"/>
      <c r="CV187" s="70" t="s">
        <v>610</v>
      </c>
      <c r="CW187" s="68"/>
      <c r="CX187" s="68"/>
      <c r="CY187" s="68"/>
      <c r="CZ187" s="38"/>
    </row>
    <row r="188" spans="1:104">
      <c r="A188" s="71" t="s">
        <v>474</v>
      </c>
      <c r="B188" s="20" t="s">
        <v>97</v>
      </c>
      <c r="E188" s="20">
        <v>20</v>
      </c>
      <c r="H188" s="20">
        <v>4</v>
      </c>
      <c r="N188" s="20">
        <v>1</v>
      </c>
      <c r="O188" s="20">
        <v>2</v>
      </c>
      <c r="Q188" s="20">
        <v>10</v>
      </c>
      <c r="W188" s="20" t="s">
        <v>77</v>
      </c>
      <c r="CM188" s="24" t="s">
        <v>398</v>
      </c>
      <c r="CO188" s="20" t="s">
        <v>296</v>
      </c>
      <c r="CV188" s="25" t="s">
        <v>130</v>
      </c>
      <c r="CZ188" s="38"/>
    </row>
    <row r="189" spans="1:104">
      <c r="A189" s="71" t="s">
        <v>504</v>
      </c>
      <c r="B189" s="72" t="s">
        <v>109</v>
      </c>
      <c r="C189" s="37"/>
      <c r="E189" s="20">
        <v>20</v>
      </c>
      <c r="H189" s="20">
        <v>5</v>
      </c>
      <c r="I189" s="20" t="s">
        <v>85</v>
      </c>
      <c r="J189" s="20">
        <v>8</v>
      </c>
      <c r="K189" s="20">
        <v>2</v>
      </c>
      <c r="L189" s="20">
        <v>32</v>
      </c>
      <c r="N189" s="20">
        <v>0</v>
      </c>
      <c r="O189" s="20">
        <v>0</v>
      </c>
      <c r="Q189" s="20">
        <v>10</v>
      </c>
      <c r="W189" s="20" t="s">
        <v>77</v>
      </c>
      <c r="CL189" s="24" t="s">
        <v>503</v>
      </c>
      <c r="CM189" s="24" t="s">
        <v>398</v>
      </c>
      <c r="CO189" s="20" t="s">
        <v>296</v>
      </c>
      <c r="CV189" s="25" t="s">
        <v>130</v>
      </c>
      <c r="CZ189" s="38"/>
    </row>
    <row r="190" spans="1:104">
      <c r="A190" s="71" t="s">
        <v>991</v>
      </c>
      <c r="B190" s="39" t="s">
        <v>97</v>
      </c>
      <c r="C190" s="37"/>
      <c r="E190" s="20">
        <v>17</v>
      </c>
      <c r="H190" s="20">
        <v>5</v>
      </c>
      <c r="I190" s="20" t="s">
        <v>76</v>
      </c>
      <c r="J190" s="20">
        <v>5</v>
      </c>
      <c r="L190" s="20">
        <v>10</v>
      </c>
      <c r="N190" s="20">
        <v>0</v>
      </c>
      <c r="O190" s="20">
        <v>0</v>
      </c>
      <c r="Q190" s="20">
        <v>10</v>
      </c>
      <c r="W190" s="20" t="s">
        <v>77</v>
      </c>
      <c r="CM190" s="24" t="s">
        <v>398</v>
      </c>
      <c r="CN190" s="24" t="s">
        <v>486</v>
      </c>
      <c r="CO190" s="20" t="s">
        <v>296</v>
      </c>
      <c r="CV190" s="25" t="s">
        <v>130</v>
      </c>
      <c r="CZ190" s="38"/>
    </row>
    <row r="191" spans="1:104">
      <c r="A191" s="71" t="s">
        <v>992</v>
      </c>
      <c r="B191" s="39" t="s">
        <v>97</v>
      </c>
      <c r="C191" s="37"/>
      <c r="E191" s="20">
        <v>17</v>
      </c>
      <c r="H191" s="20">
        <v>5</v>
      </c>
      <c r="I191" s="20" t="s">
        <v>76</v>
      </c>
      <c r="J191" s="20">
        <v>5</v>
      </c>
      <c r="L191" s="20">
        <v>10</v>
      </c>
      <c r="N191" s="20">
        <v>0</v>
      </c>
      <c r="O191" s="20">
        <v>0</v>
      </c>
      <c r="Q191" s="20">
        <v>10</v>
      </c>
      <c r="W191" s="20" t="s">
        <v>77</v>
      </c>
      <c r="CM191" s="24" t="s">
        <v>398</v>
      </c>
      <c r="CN191" s="24" t="s">
        <v>485</v>
      </c>
      <c r="CO191" s="20" t="s">
        <v>296</v>
      </c>
      <c r="CV191" s="25" t="s">
        <v>130</v>
      </c>
      <c r="CZ191" s="38"/>
    </row>
    <row r="192" spans="1:104">
      <c r="A192" s="71" t="s">
        <v>993</v>
      </c>
      <c r="B192" s="39" t="s">
        <v>97</v>
      </c>
      <c r="C192" s="37"/>
      <c r="E192" s="20">
        <v>17</v>
      </c>
      <c r="H192" s="20">
        <v>5</v>
      </c>
      <c r="I192" s="20" t="s">
        <v>76</v>
      </c>
      <c r="J192" s="20">
        <v>5</v>
      </c>
      <c r="L192" s="20">
        <v>10</v>
      </c>
      <c r="N192" s="20">
        <v>0</v>
      </c>
      <c r="O192" s="20">
        <v>0</v>
      </c>
      <c r="Q192" s="20">
        <v>10</v>
      </c>
      <c r="W192" s="20" t="s">
        <v>77</v>
      </c>
      <c r="CM192" s="24" t="s">
        <v>398</v>
      </c>
      <c r="CN192" s="24" t="s">
        <v>487</v>
      </c>
      <c r="CO192" s="20" t="s">
        <v>296</v>
      </c>
      <c r="CV192" s="25" t="s">
        <v>130</v>
      </c>
      <c r="CZ192" s="38"/>
    </row>
    <row r="193" spans="1:104">
      <c r="A193" s="40" t="s">
        <v>990</v>
      </c>
      <c r="B193" s="20" t="s">
        <v>109</v>
      </c>
      <c r="C193" s="37"/>
      <c r="E193" s="20">
        <v>18</v>
      </c>
      <c r="G193" s="20" t="s">
        <v>272</v>
      </c>
      <c r="H193" s="20">
        <v>6</v>
      </c>
      <c r="I193" s="72" t="s">
        <v>85</v>
      </c>
      <c r="J193" s="20">
        <v>5</v>
      </c>
      <c r="L193" s="20">
        <v>10</v>
      </c>
      <c r="N193" s="20">
        <v>0</v>
      </c>
      <c r="O193" s="20">
        <v>0</v>
      </c>
      <c r="Q193" s="20">
        <v>10</v>
      </c>
      <c r="W193" s="20" t="s">
        <v>86</v>
      </c>
      <c r="CM193" s="24" t="s">
        <v>398</v>
      </c>
      <c r="CN193" s="24" t="s">
        <v>494</v>
      </c>
      <c r="CO193" s="20" t="s">
        <v>296</v>
      </c>
      <c r="CV193" s="25" t="s">
        <v>90</v>
      </c>
      <c r="CZ193" s="38"/>
    </row>
    <row r="194" spans="1:104">
      <c r="A194" s="71" t="s">
        <v>1053</v>
      </c>
      <c r="B194" s="20" t="s">
        <v>97</v>
      </c>
      <c r="C194" s="37"/>
      <c r="E194" s="20">
        <v>19</v>
      </c>
      <c r="G194" s="20" t="s">
        <v>273</v>
      </c>
      <c r="H194" s="20">
        <v>7</v>
      </c>
      <c r="I194" s="20" t="s">
        <v>76</v>
      </c>
      <c r="J194" s="20">
        <v>4</v>
      </c>
      <c r="L194" s="20">
        <v>10</v>
      </c>
      <c r="N194" s="20">
        <v>0</v>
      </c>
      <c r="O194" s="20">
        <v>0</v>
      </c>
      <c r="Q194" s="20">
        <v>10</v>
      </c>
      <c r="W194" s="20" t="s">
        <v>77</v>
      </c>
      <c r="CM194" s="24" t="s">
        <v>398</v>
      </c>
      <c r="CO194" s="20" t="s">
        <v>296</v>
      </c>
      <c r="CV194" s="25" t="s">
        <v>130</v>
      </c>
      <c r="CZ194" s="38"/>
    </row>
    <row r="195" spans="1:104">
      <c r="A195" s="99" t="s">
        <v>1054</v>
      </c>
      <c r="B195" s="72" t="s">
        <v>84</v>
      </c>
      <c r="E195" s="20">
        <v>19</v>
      </c>
      <c r="G195" s="20" t="s">
        <v>273</v>
      </c>
      <c r="H195" s="20">
        <v>6</v>
      </c>
      <c r="J195" s="20">
        <v>4</v>
      </c>
      <c r="L195" s="20">
        <v>10</v>
      </c>
      <c r="N195" s="20">
        <v>0</v>
      </c>
      <c r="O195" s="20">
        <v>0</v>
      </c>
      <c r="Q195" s="20">
        <v>10</v>
      </c>
      <c r="W195" s="72" t="s">
        <v>86</v>
      </c>
      <c r="X195" s="72"/>
      <c r="CI195" s="27"/>
      <c r="CJ195" s="27"/>
      <c r="CL195" s="24" t="s">
        <v>988</v>
      </c>
      <c r="CM195" s="24" t="s">
        <v>398</v>
      </c>
      <c r="CN195" s="24" t="s">
        <v>485</v>
      </c>
      <c r="CO195" s="72" t="s">
        <v>296</v>
      </c>
      <c r="CP195" s="27"/>
      <c r="CV195" s="20" t="s">
        <v>493</v>
      </c>
    </row>
    <row r="196" spans="1:104">
      <c r="A196" s="100" t="s">
        <v>1064</v>
      </c>
      <c r="B196" s="20" t="s">
        <v>78</v>
      </c>
      <c r="C196" s="37"/>
      <c r="E196" s="20">
        <v>19</v>
      </c>
      <c r="G196" s="20" t="s">
        <v>273</v>
      </c>
      <c r="H196" s="20">
        <v>5</v>
      </c>
      <c r="I196" s="20" t="s">
        <v>79</v>
      </c>
      <c r="J196" s="20">
        <v>3</v>
      </c>
      <c r="N196" s="20">
        <v>0</v>
      </c>
      <c r="O196" s="20">
        <v>0</v>
      </c>
      <c r="Q196" s="20">
        <v>10</v>
      </c>
      <c r="W196" s="20" t="s">
        <v>77</v>
      </c>
      <c r="CM196" s="24" t="s">
        <v>398</v>
      </c>
      <c r="CO196" s="20" t="s">
        <v>296</v>
      </c>
      <c r="CV196" s="25" t="s">
        <v>130</v>
      </c>
      <c r="CZ196" s="38"/>
    </row>
    <row r="197" spans="1:104">
      <c r="A197" s="71" t="s">
        <v>1016</v>
      </c>
      <c r="B197" s="20" t="s">
        <v>78</v>
      </c>
      <c r="E197" s="20">
        <v>8</v>
      </c>
      <c r="G197" s="20" t="s">
        <v>273</v>
      </c>
      <c r="H197" s="20">
        <v>3</v>
      </c>
      <c r="J197" s="20">
        <v>3</v>
      </c>
      <c r="N197" s="20">
        <v>0</v>
      </c>
      <c r="O197" s="20">
        <v>0</v>
      </c>
      <c r="Q197" s="20">
        <v>10</v>
      </c>
      <c r="W197" s="20" t="s">
        <v>80</v>
      </c>
      <c r="CL197" s="24" t="s">
        <v>1017</v>
      </c>
      <c r="CM197" s="24" t="s">
        <v>398</v>
      </c>
      <c r="CO197" s="20" t="s">
        <v>296</v>
      </c>
      <c r="CV197" s="25" t="s">
        <v>1018</v>
      </c>
      <c r="CZ197" s="38"/>
    </row>
    <row r="198" spans="1:104" ht="14.25" customHeight="1">
      <c r="A198" s="39" t="s">
        <v>189</v>
      </c>
      <c r="B198" s="20" t="s">
        <v>93</v>
      </c>
      <c r="C198" s="26"/>
      <c r="E198" s="20">
        <v>10</v>
      </c>
      <c r="I198" s="20" t="s">
        <v>79</v>
      </c>
      <c r="N198" s="20">
        <v>0</v>
      </c>
      <c r="O198" s="20">
        <v>0</v>
      </c>
      <c r="Q198" s="20">
        <v>10</v>
      </c>
      <c r="T198" s="20">
        <v>10000</v>
      </c>
      <c r="W198" s="20" t="s">
        <v>94</v>
      </c>
      <c r="BY198" s="22"/>
      <c r="BZ198" s="23"/>
      <c r="CM198" s="24" t="s">
        <v>398</v>
      </c>
      <c r="CO198" s="20" t="s">
        <v>296</v>
      </c>
      <c r="CV198" s="25" t="s">
        <v>95</v>
      </c>
      <c r="CW198" s="22"/>
      <c r="CX198" s="22"/>
      <c r="CY198" s="22"/>
      <c r="CZ198" s="38"/>
    </row>
    <row r="199" spans="1:104">
      <c r="A199" s="39" t="s">
        <v>190</v>
      </c>
      <c r="B199" s="20" t="s">
        <v>84</v>
      </c>
      <c r="C199" s="37"/>
      <c r="E199" s="20">
        <v>8</v>
      </c>
      <c r="I199" s="20" t="s">
        <v>85</v>
      </c>
      <c r="N199" s="20">
        <v>0</v>
      </c>
      <c r="O199" s="20">
        <v>0</v>
      </c>
      <c r="Q199" s="20">
        <v>10</v>
      </c>
      <c r="W199" s="20" t="s">
        <v>86</v>
      </c>
      <c r="CM199" s="24" t="s">
        <v>398</v>
      </c>
      <c r="CO199" s="20" t="s">
        <v>296</v>
      </c>
      <c r="CV199" s="25" t="s">
        <v>196</v>
      </c>
      <c r="CZ199" s="38"/>
    </row>
    <row r="200" spans="1:104">
      <c r="A200" s="72" t="s">
        <v>968</v>
      </c>
      <c r="B200" s="20" t="s">
        <v>78</v>
      </c>
      <c r="E200" s="20">
        <v>10</v>
      </c>
      <c r="G200" s="20" t="s">
        <v>273</v>
      </c>
      <c r="H200" s="20">
        <v>3</v>
      </c>
      <c r="J200" s="20">
        <v>3</v>
      </c>
      <c r="N200" s="20">
        <v>0</v>
      </c>
      <c r="O200" s="20">
        <v>0</v>
      </c>
      <c r="Q200" s="20">
        <v>10</v>
      </c>
      <c r="W200" s="20" t="s">
        <v>80</v>
      </c>
      <c r="CL200" s="24" t="s">
        <v>969</v>
      </c>
      <c r="CM200" s="24" t="s">
        <v>398</v>
      </c>
      <c r="CO200" s="20" t="s">
        <v>296</v>
      </c>
      <c r="CV200" s="25" t="s">
        <v>195</v>
      </c>
      <c r="CZ200" s="38"/>
    </row>
    <row r="201" spans="1:104">
      <c r="A201" s="39" t="s">
        <v>221</v>
      </c>
      <c r="B201" s="20" t="s">
        <v>84</v>
      </c>
      <c r="C201" s="37"/>
      <c r="E201" s="20">
        <v>8</v>
      </c>
      <c r="G201" s="20" t="s">
        <v>273</v>
      </c>
      <c r="I201" s="20" t="s">
        <v>79</v>
      </c>
      <c r="J201" s="20">
        <v>3</v>
      </c>
      <c r="K201" s="20">
        <v>4</v>
      </c>
      <c r="N201" s="20">
        <v>0</v>
      </c>
      <c r="O201" s="20">
        <v>0</v>
      </c>
      <c r="Q201" s="20">
        <v>10</v>
      </c>
      <c r="W201" s="20" t="s">
        <v>77</v>
      </c>
      <c r="CL201" s="24" t="s">
        <v>309</v>
      </c>
      <c r="CM201" s="24" t="s">
        <v>398</v>
      </c>
      <c r="CO201" s="20" t="s">
        <v>296</v>
      </c>
      <c r="CV201" s="25" t="s">
        <v>130</v>
      </c>
      <c r="CZ201" s="38"/>
    </row>
    <row r="202" spans="1:104">
      <c r="A202" s="39" t="s">
        <v>222</v>
      </c>
      <c r="B202" s="20" t="s">
        <v>84</v>
      </c>
      <c r="C202" s="37"/>
      <c r="E202" s="20">
        <v>10</v>
      </c>
      <c r="G202" s="20" t="s">
        <v>273</v>
      </c>
      <c r="I202" s="20" t="s">
        <v>79</v>
      </c>
      <c r="J202" s="20">
        <v>5</v>
      </c>
      <c r="K202" s="20">
        <v>7</v>
      </c>
      <c r="N202" s="20">
        <v>0</v>
      </c>
      <c r="O202" s="20">
        <v>0</v>
      </c>
      <c r="Q202" s="20">
        <v>10</v>
      </c>
      <c r="W202" s="20" t="s">
        <v>77</v>
      </c>
      <c r="CL202" s="24" t="s">
        <v>310</v>
      </c>
      <c r="CM202" s="24" t="s">
        <v>398</v>
      </c>
      <c r="CO202" s="20" t="s">
        <v>296</v>
      </c>
      <c r="CV202" s="25" t="s">
        <v>130</v>
      </c>
      <c r="CZ202" s="38"/>
    </row>
    <row r="203" spans="1:104">
      <c r="A203" s="39" t="s">
        <v>223</v>
      </c>
      <c r="B203" s="20" t="s">
        <v>97</v>
      </c>
      <c r="C203" s="37"/>
      <c r="E203" s="20">
        <v>9</v>
      </c>
      <c r="G203" s="20" t="s">
        <v>273</v>
      </c>
      <c r="I203" s="20" t="s">
        <v>76</v>
      </c>
      <c r="J203" s="20">
        <v>5</v>
      </c>
      <c r="K203" s="20">
        <v>3</v>
      </c>
      <c r="N203" s="20">
        <v>0</v>
      </c>
      <c r="O203" s="20">
        <v>0</v>
      </c>
      <c r="Q203" s="20">
        <v>10</v>
      </c>
      <c r="W203" s="20" t="s">
        <v>98</v>
      </c>
      <c r="CL203" s="24" t="s">
        <v>311</v>
      </c>
      <c r="CM203" s="24" t="s">
        <v>398</v>
      </c>
      <c r="CO203" s="20" t="s">
        <v>296</v>
      </c>
      <c r="CV203" s="25" t="s">
        <v>470</v>
      </c>
      <c r="CZ203" s="38"/>
    </row>
    <row r="204" spans="1:104">
      <c r="A204" s="39" t="s">
        <v>471</v>
      </c>
      <c r="B204" s="20" t="s">
        <v>97</v>
      </c>
      <c r="C204" s="37"/>
      <c r="E204" s="20">
        <v>9</v>
      </c>
      <c r="G204" s="20" t="s">
        <v>273</v>
      </c>
      <c r="I204" s="20" t="s">
        <v>76</v>
      </c>
      <c r="J204" s="20">
        <v>5</v>
      </c>
      <c r="K204" s="20">
        <v>3</v>
      </c>
      <c r="L204" s="20">
        <v>10</v>
      </c>
      <c r="N204" s="20">
        <v>0</v>
      </c>
      <c r="O204" s="20">
        <v>0</v>
      </c>
      <c r="Q204" s="20">
        <v>10</v>
      </c>
      <c r="W204" s="20" t="s">
        <v>98</v>
      </c>
      <c r="CL204" s="24" t="s">
        <v>311</v>
      </c>
      <c r="CM204" s="24" t="s">
        <v>398</v>
      </c>
      <c r="CO204" s="20" t="s">
        <v>296</v>
      </c>
      <c r="CV204" s="25" t="s">
        <v>370</v>
      </c>
      <c r="CZ204" s="38"/>
    </row>
    <row r="205" spans="1:104">
      <c r="A205" s="39" t="s">
        <v>224</v>
      </c>
      <c r="B205" s="20" t="s">
        <v>97</v>
      </c>
      <c r="C205" s="37"/>
      <c r="E205" s="20">
        <v>8</v>
      </c>
      <c r="G205" s="20" t="s">
        <v>273</v>
      </c>
      <c r="I205" s="20" t="s">
        <v>76</v>
      </c>
      <c r="J205" s="20">
        <v>4</v>
      </c>
      <c r="K205" s="20">
        <v>2</v>
      </c>
      <c r="N205" s="20">
        <v>0</v>
      </c>
      <c r="O205" s="20">
        <v>0</v>
      </c>
      <c r="Q205" s="20">
        <v>10</v>
      </c>
      <c r="W205" s="20" t="s">
        <v>98</v>
      </c>
      <c r="CM205" s="24" t="s">
        <v>398</v>
      </c>
      <c r="CO205" s="20" t="s">
        <v>296</v>
      </c>
      <c r="CV205" s="25" t="s">
        <v>198</v>
      </c>
      <c r="CZ205" s="38"/>
    </row>
    <row r="206" spans="1:104">
      <c r="A206" s="39" t="s">
        <v>225</v>
      </c>
      <c r="B206" s="20" t="s">
        <v>84</v>
      </c>
      <c r="C206" s="37"/>
      <c r="E206" s="20">
        <v>9</v>
      </c>
      <c r="G206" s="20" t="s">
        <v>273</v>
      </c>
      <c r="I206" s="20" t="s">
        <v>76</v>
      </c>
      <c r="J206" s="20">
        <v>6</v>
      </c>
      <c r="K206" s="20">
        <v>2</v>
      </c>
      <c r="N206" s="20">
        <v>0</v>
      </c>
      <c r="O206" s="20">
        <v>0</v>
      </c>
      <c r="Q206" s="20">
        <v>10</v>
      </c>
      <c r="R206" s="20">
        <v>10</v>
      </c>
      <c r="S206" s="20">
        <v>0.1</v>
      </c>
      <c r="W206" s="20" t="s">
        <v>77</v>
      </c>
      <c r="CI206" s="27"/>
      <c r="CJ206" s="27"/>
      <c r="CM206" s="24" t="s">
        <v>398</v>
      </c>
      <c r="CO206" s="20" t="s">
        <v>296</v>
      </c>
      <c r="CP206" s="27"/>
      <c r="CV206" s="25" t="s">
        <v>130</v>
      </c>
      <c r="CW206" s="22"/>
      <c r="CX206" s="22"/>
      <c r="CY206" s="22"/>
      <c r="CZ206" s="38"/>
    </row>
    <row r="207" spans="1:104">
      <c r="A207" s="39" t="s">
        <v>241</v>
      </c>
      <c r="B207" s="20" t="s">
        <v>84</v>
      </c>
      <c r="E207" s="20">
        <v>9</v>
      </c>
      <c r="I207" s="20" t="s">
        <v>85</v>
      </c>
      <c r="N207" s="20">
        <v>0</v>
      </c>
      <c r="O207" s="20">
        <v>0</v>
      </c>
      <c r="Q207" s="20">
        <v>10</v>
      </c>
      <c r="W207" s="20" t="s">
        <v>86</v>
      </c>
      <c r="BY207" s="22"/>
      <c r="BZ207" s="23"/>
      <c r="CI207" s="27"/>
      <c r="CJ207" s="27"/>
      <c r="CM207" s="24" t="s">
        <v>398</v>
      </c>
      <c r="CO207" s="20" t="s">
        <v>296</v>
      </c>
      <c r="CP207" s="27"/>
      <c r="CV207" s="25" t="s">
        <v>196</v>
      </c>
      <c r="CW207" s="22"/>
      <c r="CX207" s="22"/>
      <c r="CY207" s="22"/>
      <c r="CZ207" s="38"/>
    </row>
    <row r="208" spans="1:104">
      <c r="A208" s="71" t="s">
        <v>1045</v>
      </c>
      <c r="B208" s="20" t="s">
        <v>84</v>
      </c>
      <c r="E208" s="20">
        <v>14</v>
      </c>
      <c r="G208" s="20" t="s">
        <v>273</v>
      </c>
      <c r="I208" s="20" t="s">
        <v>85</v>
      </c>
      <c r="N208" s="20">
        <v>0</v>
      </c>
      <c r="O208" s="20">
        <v>0</v>
      </c>
      <c r="Q208" s="20">
        <v>10</v>
      </c>
      <c r="W208" s="20" t="s">
        <v>86</v>
      </c>
      <c r="BY208" s="22"/>
      <c r="BZ208" s="23"/>
      <c r="CI208" s="27"/>
      <c r="CJ208" s="27"/>
      <c r="CL208" s="44"/>
      <c r="CM208" s="24" t="s">
        <v>398</v>
      </c>
      <c r="CO208" s="20" t="s">
        <v>296</v>
      </c>
      <c r="CP208" s="27"/>
      <c r="CV208" s="25" t="s">
        <v>291</v>
      </c>
      <c r="CW208" s="22"/>
      <c r="CX208" s="22"/>
      <c r="CY208" s="22"/>
      <c r="CZ208" s="38"/>
    </row>
    <row r="209" spans="1:104">
      <c r="A209" s="39" t="s">
        <v>243</v>
      </c>
      <c r="B209" s="20" t="s">
        <v>124</v>
      </c>
      <c r="C209" s="26"/>
      <c r="E209" s="20">
        <v>9</v>
      </c>
      <c r="I209" s="20" t="s">
        <v>79</v>
      </c>
      <c r="J209" s="20">
        <v>5</v>
      </c>
      <c r="K209" s="20">
        <v>1</v>
      </c>
      <c r="N209" s="20">
        <v>0</v>
      </c>
      <c r="O209" s="20">
        <v>0</v>
      </c>
      <c r="Q209" s="20">
        <v>10</v>
      </c>
      <c r="W209" s="20" t="s">
        <v>125</v>
      </c>
      <c r="BY209" s="22"/>
      <c r="BZ209" s="23"/>
      <c r="CI209" s="27"/>
      <c r="CJ209" s="27"/>
      <c r="CM209" s="24" t="s">
        <v>398</v>
      </c>
      <c r="CO209" s="20" t="s">
        <v>296</v>
      </c>
      <c r="CP209" s="27"/>
      <c r="CV209" s="25" t="s">
        <v>194</v>
      </c>
      <c r="CW209" s="22"/>
      <c r="CX209" s="22"/>
      <c r="CY209" s="22"/>
      <c r="CZ209" s="38"/>
    </row>
    <row r="210" spans="1:104">
      <c r="A210" s="39" t="s">
        <v>271</v>
      </c>
      <c r="B210" s="20" t="s">
        <v>78</v>
      </c>
      <c r="C210" s="26"/>
      <c r="E210" s="20">
        <v>9</v>
      </c>
      <c r="I210" s="20" t="s">
        <v>79</v>
      </c>
      <c r="N210" s="20">
        <v>0</v>
      </c>
      <c r="O210" s="20">
        <v>0</v>
      </c>
      <c r="Q210" s="20">
        <v>10</v>
      </c>
      <c r="W210" s="20" t="s">
        <v>80</v>
      </c>
      <c r="BY210" s="22"/>
      <c r="BZ210" s="23"/>
      <c r="CI210" s="27"/>
      <c r="CJ210" s="27"/>
      <c r="CM210" s="24" t="s">
        <v>398</v>
      </c>
      <c r="CO210" s="20" t="s">
        <v>296</v>
      </c>
      <c r="CP210" s="27"/>
      <c r="CV210" s="25" t="s">
        <v>81</v>
      </c>
      <c r="CW210" s="22"/>
      <c r="CX210" s="22"/>
      <c r="CY210" s="22"/>
      <c r="CZ210" s="38"/>
    </row>
    <row r="211" spans="1:104">
      <c r="A211" s="39" t="s">
        <v>242</v>
      </c>
      <c r="B211" s="20" t="s">
        <v>97</v>
      </c>
      <c r="E211" s="20">
        <v>9</v>
      </c>
      <c r="I211" s="20" t="s">
        <v>76</v>
      </c>
      <c r="N211" s="20">
        <v>0</v>
      </c>
      <c r="O211" s="20">
        <v>0</v>
      </c>
      <c r="Q211" s="20">
        <v>10</v>
      </c>
      <c r="W211" s="20" t="s">
        <v>98</v>
      </c>
      <c r="BY211" s="22"/>
      <c r="BZ211" s="23"/>
      <c r="CM211" s="24" t="s">
        <v>398</v>
      </c>
      <c r="CO211" s="20" t="s">
        <v>296</v>
      </c>
      <c r="CV211" s="25" t="s">
        <v>198</v>
      </c>
      <c r="CZ211" s="38"/>
    </row>
    <row r="212" spans="1:104">
      <c r="A212" s="71" t="s">
        <v>244</v>
      </c>
      <c r="B212" s="20" t="s">
        <v>116</v>
      </c>
      <c r="C212" s="26"/>
      <c r="E212" s="20">
        <v>9</v>
      </c>
      <c r="H212" s="20">
        <v>4</v>
      </c>
      <c r="I212" s="20" t="s">
        <v>76</v>
      </c>
      <c r="N212" s="20">
        <v>0</v>
      </c>
      <c r="O212" s="20">
        <v>0</v>
      </c>
      <c r="Q212" s="20">
        <v>10</v>
      </c>
      <c r="W212" s="20" t="s">
        <v>117</v>
      </c>
      <c r="BY212" s="22"/>
      <c r="BZ212" s="27"/>
      <c r="CA212" s="23"/>
      <c r="CI212" s="27"/>
      <c r="CJ212" s="27"/>
      <c r="CM212" s="24" t="s">
        <v>398</v>
      </c>
      <c r="CO212" s="20" t="s">
        <v>296</v>
      </c>
      <c r="CP212" s="27"/>
      <c r="CV212" s="25" t="s">
        <v>200</v>
      </c>
      <c r="CZ212" s="38"/>
    </row>
    <row r="213" spans="1:104">
      <c r="A213" s="39" t="s">
        <v>320</v>
      </c>
      <c r="B213" s="20" t="s">
        <v>78</v>
      </c>
      <c r="C213" s="26"/>
      <c r="E213" s="20">
        <v>11</v>
      </c>
      <c r="G213" s="20" t="s">
        <v>273</v>
      </c>
      <c r="H213" s="20">
        <v>4</v>
      </c>
      <c r="I213" s="20" t="s">
        <v>79</v>
      </c>
      <c r="N213" s="20">
        <v>0</v>
      </c>
      <c r="O213" s="20">
        <v>0</v>
      </c>
      <c r="P213" s="20">
        <v>1</v>
      </c>
      <c r="Q213" s="20">
        <v>10</v>
      </c>
      <c r="W213" s="20" t="s">
        <v>80</v>
      </c>
      <c r="BY213" s="22"/>
      <c r="BZ213" s="23"/>
      <c r="CL213" s="24" t="s">
        <v>321</v>
      </c>
      <c r="CM213" s="24" t="s">
        <v>398</v>
      </c>
      <c r="CO213" s="20" t="s">
        <v>296</v>
      </c>
      <c r="CV213" s="25" t="s">
        <v>289</v>
      </c>
      <c r="CW213" s="22"/>
      <c r="CX213" s="22"/>
      <c r="CY213" s="22"/>
      <c r="CZ213" s="38"/>
    </row>
    <row r="214" spans="1:104">
      <c r="A214" s="39" t="s">
        <v>319</v>
      </c>
      <c r="B214" s="20" t="s">
        <v>109</v>
      </c>
      <c r="C214" s="37"/>
      <c r="E214" s="20">
        <v>12</v>
      </c>
      <c r="G214" s="20" t="s">
        <v>272</v>
      </c>
      <c r="H214" s="20">
        <v>4</v>
      </c>
      <c r="I214" s="20" t="s">
        <v>85</v>
      </c>
      <c r="N214" s="20">
        <v>0</v>
      </c>
      <c r="O214" s="20">
        <v>0</v>
      </c>
      <c r="Q214" s="20">
        <v>10</v>
      </c>
      <c r="W214" s="20" t="s">
        <v>86</v>
      </c>
      <c r="CL214" s="24" t="s">
        <v>307</v>
      </c>
      <c r="CM214" s="24" t="s">
        <v>398</v>
      </c>
      <c r="CO214" s="20" t="s">
        <v>296</v>
      </c>
      <c r="CV214" s="29" t="s">
        <v>199</v>
      </c>
      <c r="CZ214" s="38"/>
    </row>
    <row r="215" spans="1:104">
      <c r="A215" s="39" t="s">
        <v>324</v>
      </c>
      <c r="B215" s="20" t="s">
        <v>84</v>
      </c>
      <c r="E215" s="20">
        <v>14</v>
      </c>
      <c r="G215" s="20" t="s">
        <v>273</v>
      </c>
      <c r="H215" s="20">
        <v>4</v>
      </c>
      <c r="I215" s="20" t="s">
        <v>79</v>
      </c>
      <c r="N215" s="20">
        <v>0</v>
      </c>
      <c r="O215" s="20">
        <v>0</v>
      </c>
      <c r="Q215" s="20">
        <v>10</v>
      </c>
      <c r="W215" s="20" t="s">
        <v>86</v>
      </c>
      <c r="BY215" s="22"/>
      <c r="BZ215" s="23"/>
      <c r="CI215" s="27"/>
      <c r="CJ215" s="27"/>
      <c r="CM215" s="24" t="s">
        <v>398</v>
      </c>
      <c r="CO215" s="20" t="s">
        <v>296</v>
      </c>
      <c r="CP215" s="27"/>
      <c r="CV215" s="25" t="s">
        <v>289</v>
      </c>
      <c r="CW215" s="22"/>
      <c r="CX215" s="22"/>
      <c r="CY215" s="22"/>
      <c r="CZ215" s="38"/>
    </row>
    <row r="216" spans="1:104">
      <c r="A216" s="71" t="s">
        <v>1043</v>
      </c>
      <c r="B216" s="20" t="s">
        <v>84</v>
      </c>
      <c r="E216" s="20">
        <v>14</v>
      </c>
      <c r="G216" s="20" t="s">
        <v>273</v>
      </c>
      <c r="I216" s="20" t="s">
        <v>85</v>
      </c>
      <c r="N216" s="20">
        <v>0</v>
      </c>
      <c r="O216" s="20">
        <v>0</v>
      </c>
      <c r="Q216" s="20">
        <v>10</v>
      </c>
      <c r="W216" s="20" t="s">
        <v>86</v>
      </c>
      <c r="BY216" s="22"/>
      <c r="BZ216" s="23"/>
      <c r="CI216" s="27"/>
      <c r="CJ216" s="27"/>
      <c r="CL216" s="44" t="s">
        <v>1044</v>
      </c>
      <c r="CM216" s="24" t="s">
        <v>398</v>
      </c>
      <c r="CN216" s="24" t="s">
        <v>484</v>
      </c>
      <c r="CO216" s="20" t="s">
        <v>296</v>
      </c>
      <c r="CP216" s="27"/>
      <c r="CV216" s="25" t="s">
        <v>291</v>
      </c>
      <c r="CW216" s="22"/>
      <c r="CX216" s="22"/>
      <c r="CY216" s="22"/>
      <c r="CZ216" s="38"/>
    </row>
    <row r="217" spans="1:104">
      <c r="A217" s="39" t="s">
        <v>325</v>
      </c>
      <c r="B217" s="20" t="s">
        <v>120</v>
      </c>
      <c r="C217" s="26"/>
      <c r="E217" s="20">
        <v>14</v>
      </c>
      <c r="H217" s="20">
        <v>4</v>
      </c>
      <c r="I217" s="20" t="s">
        <v>79</v>
      </c>
      <c r="N217" s="20">
        <v>0</v>
      </c>
      <c r="O217" s="20">
        <v>0</v>
      </c>
      <c r="Q217" s="20">
        <v>10</v>
      </c>
      <c r="W217" s="20" t="s">
        <v>121</v>
      </c>
      <c r="BY217" s="22"/>
      <c r="BZ217" s="23"/>
      <c r="CI217" s="27"/>
      <c r="CJ217" s="27"/>
      <c r="CM217" s="24" t="s">
        <v>398</v>
      </c>
      <c r="CO217" s="20" t="s">
        <v>296</v>
      </c>
      <c r="CP217" s="27"/>
      <c r="CV217" s="25" t="s">
        <v>337</v>
      </c>
      <c r="CW217" s="22"/>
      <c r="CX217" s="22"/>
      <c r="CY217" s="22"/>
      <c r="CZ217" s="38"/>
    </row>
    <row r="218" spans="1:104">
      <c r="A218" s="39" t="s">
        <v>326</v>
      </c>
      <c r="B218" s="20" t="s">
        <v>78</v>
      </c>
      <c r="C218" s="26"/>
      <c r="E218" s="20">
        <v>14</v>
      </c>
      <c r="G218" s="20" t="s">
        <v>273</v>
      </c>
      <c r="H218" s="20">
        <v>4</v>
      </c>
      <c r="I218" s="20" t="s">
        <v>79</v>
      </c>
      <c r="N218" s="20">
        <v>0</v>
      </c>
      <c r="O218" s="20">
        <v>0</v>
      </c>
      <c r="Q218" s="20">
        <v>10</v>
      </c>
      <c r="W218" s="20" t="s">
        <v>80</v>
      </c>
      <c r="BY218" s="22"/>
      <c r="BZ218" s="23"/>
      <c r="CI218" s="27"/>
      <c r="CJ218" s="27"/>
      <c r="CL218" s="24" t="s">
        <v>321</v>
      </c>
      <c r="CM218" s="24" t="s">
        <v>398</v>
      </c>
      <c r="CO218" s="20" t="s">
        <v>296</v>
      </c>
      <c r="CP218" s="27"/>
      <c r="CV218" s="25" t="s">
        <v>290</v>
      </c>
      <c r="CW218" s="22"/>
      <c r="CX218" s="22"/>
      <c r="CY218" s="22"/>
      <c r="CZ218" s="38"/>
    </row>
    <row r="219" spans="1:104">
      <c r="A219" s="39" t="s">
        <v>327</v>
      </c>
      <c r="B219" s="20" t="s">
        <v>97</v>
      </c>
      <c r="E219" s="20">
        <v>14</v>
      </c>
      <c r="G219" s="20" t="s">
        <v>273</v>
      </c>
      <c r="H219" s="20">
        <v>4</v>
      </c>
      <c r="I219" s="20" t="s">
        <v>76</v>
      </c>
      <c r="N219" s="20">
        <v>0</v>
      </c>
      <c r="O219" s="20">
        <v>0</v>
      </c>
      <c r="Q219" s="20">
        <v>10</v>
      </c>
      <c r="W219" s="20" t="s">
        <v>98</v>
      </c>
      <c r="BY219" s="22"/>
      <c r="BZ219" s="23"/>
      <c r="CM219" s="24" t="s">
        <v>398</v>
      </c>
      <c r="CO219" s="20" t="s">
        <v>296</v>
      </c>
      <c r="CV219" s="25" t="s">
        <v>323</v>
      </c>
      <c r="CZ219" s="38"/>
    </row>
    <row r="220" spans="1:104">
      <c r="A220" s="39" t="s">
        <v>423</v>
      </c>
      <c r="B220" s="20" t="s">
        <v>116</v>
      </c>
      <c r="C220" s="26"/>
      <c r="E220" s="20">
        <v>14</v>
      </c>
      <c r="G220" s="20" t="s">
        <v>272</v>
      </c>
      <c r="H220" s="20">
        <v>4</v>
      </c>
      <c r="I220" s="20" t="s">
        <v>131</v>
      </c>
      <c r="L220" s="20">
        <v>-30</v>
      </c>
      <c r="N220" s="20">
        <v>0</v>
      </c>
      <c r="O220" s="20">
        <v>0</v>
      </c>
      <c r="Q220" s="20">
        <v>10</v>
      </c>
      <c r="W220" s="20" t="s">
        <v>117</v>
      </c>
      <c r="BY220" s="22"/>
      <c r="BZ220" s="27"/>
      <c r="CA220" s="23"/>
      <c r="CI220" s="27"/>
      <c r="CJ220" s="27"/>
      <c r="CM220" s="24" t="s">
        <v>398</v>
      </c>
      <c r="CO220" s="20" t="s">
        <v>296</v>
      </c>
      <c r="CP220" s="27"/>
      <c r="CV220" s="25" t="s">
        <v>428</v>
      </c>
      <c r="CZ220" s="38"/>
    </row>
    <row r="221" spans="1:104">
      <c r="A221" s="39" t="s">
        <v>424</v>
      </c>
      <c r="B221" s="20" t="s">
        <v>116</v>
      </c>
      <c r="C221" s="26"/>
      <c r="E221" s="20">
        <v>14</v>
      </c>
      <c r="G221" s="20" t="s">
        <v>272</v>
      </c>
      <c r="H221" s="20">
        <v>4</v>
      </c>
      <c r="I221" s="20" t="s">
        <v>129</v>
      </c>
      <c r="L221" s="20">
        <v>-30</v>
      </c>
      <c r="N221" s="20">
        <v>0</v>
      </c>
      <c r="O221" s="20">
        <v>0</v>
      </c>
      <c r="Q221" s="20">
        <v>10</v>
      </c>
      <c r="W221" s="20" t="s">
        <v>117</v>
      </c>
      <c r="BY221" s="22"/>
      <c r="BZ221" s="27"/>
      <c r="CA221" s="23"/>
      <c r="CI221" s="27"/>
      <c r="CJ221" s="27"/>
      <c r="CM221" s="24" t="s">
        <v>398</v>
      </c>
      <c r="CO221" s="20" t="s">
        <v>296</v>
      </c>
      <c r="CP221" s="27"/>
      <c r="CV221" s="25" t="s">
        <v>429</v>
      </c>
      <c r="CZ221" s="38"/>
    </row>
    <row r="222" spans="1:104">
      <c r="A222" s="39" t="s">
        <v>425</v>
      </c>
      <c r="B222" s="20" t="s">
        <v>116</v>
      </c>
      <c r="C222" s="26"/>
      <c r="E222" s="20">
        <v>14</v>
      </c>
      <c r="G222" s="20" t="s">
        <v>272</v>
      </c>
      <c r="H222" s="20">
        <v>4</v>
      </c>
      <c r="I222" s="20" t="s">
        <v>134</v>
      </c>
      <c r="L222" s="20">
        <v>-30</v>
      </c>
      <c r="N222" s="20">
        <v>0</v>
      </c>
      <c r="O222" s="20">
        <v>0</v>
      </c>
      <c r="Q222" s="20">
        <v>10</v>
      </c>
      <c r="W222" s="20" t="s">
        <v>117</v>
      </c>
      <c r="BY222" s="22"/>
      <c r="BZ222" s="27"/>
      <c r="CA222" s="23"/>
      <c r="CI222" s="27"/>
      <c r="CJ222" s="27"/>
      <c r="CM222" s="24" t="s">
        <v>398</v>
      </c>
      <c r="CO222" s="20" t="s">
        <v>296</v>
      </c>
      <c r="CP222" s="27"/>
      <c r="CV222" s="25" t="s">
        <v>430</v>
      </c>
      <c r="CZ222" s="38"/>
    </row>
    <row r="223" spans="1:104">
      <c r="A223" s="39" t="s">
        <v>426</v>
      </c>
      <c r="B223" s="20" t="s">
        <v>116</v>
      </c>
      <c r="C223" s="26"/>
      <c r="E223" s="20">
        <v>14</v>
      </c>
      <c r="G223" s="20" t="s">
        <v>272</v>
      </c>
      <c r="H223" s="20">
        <v>4</v>
      </c>
      <c r="I223" s="20" t="s">
        <v>133</v>
      </c>
      <c r="L223" s="20">
        <v>-30</v>
      </c>
      <c r="N223" s="20">
        <v>0</v>
      </c>
      <c r="O223" s="20">
        <v>0</v>
      </c>
      <c r="Q223" s="20">
        <v>10</v>
      </c>
      <c r="W223" s="20" t="s">
        <v>117</v>
      </c>
      <c r="BY223" s="22"/>
      <c r="BZ223" s="27"/>
      <c r="CA223" s="23"/>
      <c r="CI223" s="27"/>
      <c r="CJ223" s="27"/>
      <c r="CM223" s="24" t="s">
        <v>398</v>
      </c>
      <c r="CO223" s="20" t="s">
        <v>296</v>
      </c>
      <c r="CP223" s="27"/>
      <c r="CV223" s="25" t="s">
        <v>427</v>
      </c>
      <c r="CZ223" s="38"/>
    </row>
    <row r="224" spans="1:104">
      <c r="A224" s="39" t="s">
        <v>330</v>
      </c>
      <c r="B224" s="20" t="s">
        <v>111</v>
      </c>
      <c r="C224" s="26"/>
      <c r="E224" s="20">
        <v>14</v>
      </c>
      <c r="H224" s="20">
        <v>4</v>
      </c>
      <c r="I224" s="20" t="s">
        <v>85</v>
      </c>
      <c r="N224" s="20">
        <v>0</v>
      </c>
      <c r="O224" s="20">
        <v>0</v>
      </c>
      <c r="Q224" s="20">
        <v>10</v>
      </c>
      <c r="W224" s="20" t="s">
        <v>112</v>
      </c>
      <c r="BY224" s="22"/>
      <c r="BZ224" s="27"/>
      <c r="CA224" s="23"/>
      <c r="CI224" s="27"/>
      <c r="CJ224" s="27"/>
      <c r="CL224" s="24" t="s">
        <v>321</v>
      </c>
      <c r="CM224" s="24" t="s">
        <v>398</v>
      </c>
      <c r="CO224" s="20" t="s">
        <v>296</v>
      </c>
      <c r="CP224" s="27"/>
      <c r="CV224" s="25" t="s">
        <v>331</v>
      </c>
      <c r="CZ224" s="38"/>
    </row>
    <row r="225" spans="1:104">
      <c r="A225" s="71" t="s">
        <v>328</v>
      </c>
      <c r="B225" s="20" t="s">
        <v>78</v>
      </c>
      <c r="C225" s="37"/>
      <c r="E225" s="20">
        <v>14</v>
      </c>
      <c r="H225" s="20">
        <v>4</v>
      </c>
      <c r="I225" s="20" t="s">
        <v>76</v>
      </c>
      <c r="N225" s="20">
        <v>0</v>
      </c>
      <c r="O225" s="20">
        <v>0</v>
      </c>
      <c r="Q225" s="20">
        <v>10</v>
      </c>
      <c r="W225" s="20" t="s">
        <v>77</v>
      </c>
      <c r="CL225" s="24" t="s">
        <v>329</v>
      </c>
      <c r="CM225" s="24" t="s">
        <v>398</v>
      </c>
      <c r="CN225" s="24" t="s">
        <v>485</v>
      </c>
      <c r="CO225" s="20" t="s">
        <v>296</v>
      </c>
      <c r="CV225" s="25" t="s">
        <v>130</v>
      </c>
      <c r="CZ225" s="38"/>
    </row>
    <row r="226" spans="1:104">
      <c r="A226" s="39" t="s">
        <v>245</v>
      </c>
      <c r="B226" s="20" t="s">
        <v>97</v>
      </c>
      <c r="E226" s="20">
        <v>4</v>
      </c>
      <c r="N226" s="20">
        <v>0</v>
      </c>
      <c r="O226" s="20">
        <v>0</v>
      </c>
      <c r="Q226" s="20">
        <v>10</v>
      </c>
      <c r="BY226" s="22"/>
      <c r="BZ226" s="23"/>
      <c r="CM226" s="24" t="s">
        <v>398</v>
      </c>
      <c r="CO226" s="20" t="s">
        <v>296</v>
      </c>
      <c r="CV226" s="25" t="s">
        <v>102</v>
      </c>
      <c r="CZ226" s="38"/>
    </row>
    <row r="227" spans="1:104">
      <c r="A227" s="39" t="s">
        <v>339</v>
      </c>
      <c r="B227" s="20" t="s">
        <v>78</v>
      </c>
      <c r="E227" s="20">
        <v>12</v>
      </c>
      <c r="H227" s="20">
        <v>4</v>
      </c>
      <c r="I227" s="20" t="s">
        <v>77</v>
      </c>
      <c r="N227" s="20">
        <v>0</v>
      </c>
      <c r="O227" s="20">
        <v>0</v>
      </c>
      <c r="Q227" s="20">
        <v>10</v>
      </c>
      <c r="BY227" s="22"/>
      <c r="BZ227" s="23"/>
      <c r="CL227" s="24" t="s">
        <v>340</v>
      </c>
      <c r="CM227" s="24" t="s">
        <v>398</v>
      </c>
      <c r="CO227" s="20" t="s">
        <v>296</v>
      </c>
      <c r="CV227" s="25" t="s">
        <v>130</v>
      </c>
      <c r="CZ227" s="38"/>
    </row>
    <row r="228" spans="1:104">
      <c r="A228" s="20" t="s">
        <v>446</v>
      </c>
      <c r="B228" s="20" t="s">
        <v>97</v>
      </c>
      <c r="C228" s="37"/>
      <c r="E228" s="20">
        <v>9</v>
      </c>
      <c r="F228" s="20" t="s">
        <v>431</v>
      </c>
      <c r="G228" s="20" t="s">
        <v>273</v>
      </c>
      <c r="I228" s="20" t="s">
        <v>76</v>
      </c>
      <c r="J228" s="20">
        <v>1</v>
      </c>
      <c r="K228" s="20">
        <v>1</v>
      </c>
      <c r="N228" s="20">
        <v>0</v>
      </c>
      <c r="O228" s="20">
        <v>0</v>
      </c>
      <c r="Q228" s="20">
        <v>10</v>
      </c>
      <c r="R228" s="20">
        <v>0</v>
      </c>
      <c r="S228" s="20">
        <v>0.1</v>
      </c>
      <c r="W228" s="20" t="s">
        <v>98</v>
      </c>
      <c r="CI228" s="27"/>
      <c r="CJ228" s="27"/>
      <c r="CM228" s="24" t="s">
        <v>398</v>
      </c>
      <c r="CO228" s="20" t="s">
        <v>296</v>
      </c>
      <c r="CP228" s="27"/>
      <c r="CV228" s="25" t="s">
        <v>413</v>
      </c>
      <c r="CW228" s="22"/>
      <c r="CX228" s="22"/>
      <c r="CY228" s="22"/>
      <c r="CZ228" s="38"/>
    </row>
    <row r="229" spans="1:104">
      <c r="A229" s="71" t="s">
        <v>588</v>
      </c>
      <c r="B229" s="72" t="s">
        <v>116</v>
      </c>
      <c r="C229" s="37"/>
      <c r="E229" s="20">
        <v>14</v>
      </c>
      <c r="G229" s="72"/>
      <c r="H229" s="20">
        <v>4</v>
      </c>
      <c r="N229" s="20">
        <v>0</v>
      </c>
      <c r="O229" s="20">
        <v>0</v>
      </c>
      <c r="Q229" s="20">
        <v>10</v>
      </c>
      <c r="R229" s="20">
        <v>0</v>
      </c>
      <c r="W229" s="72" t="s">
        <v>117</v>
      </c>
      <c r="CI229" s="27"/>
      <c r="CJ229" s="27"/>
      <c r="CM229" s="24" t="s">
        <v>398</v>
      </c>
      <c r="CO229" s="20" t="s">
        <v>296</v>
      </c>
      <c r="CP229" s="27"/>
      <c r="CV229" s="25" t="s">
        <v>451</v>
      </c>
      <c r="CW229" s="22"/>
      <c r="CX229" s="22"/>
      <c r="CY229" s="22"/>
      <c r="CZ229" s="38"/>
    </row>
    <row r="230" spans="1:104">
      <c r="A230" s="71" t="s">
        <v>589</v>
      </c>
      <c r="B230" s="72" t="s">
        <v>120</v>
      </c>
      <c r="C230" s="37"/>
      <c r="E230" s="20">
        <v>14</v>
      </c>
      <c r="H230" s="20">
        <v>4</v>
      </c>
      <c r="I230" s="72" t="s">
        <v>79</v>
      </c>
      <c r="N230" s="20">
        <v>0</v>
      </c>
      <c r="O230" s="20">
        <v>0</v>
      </c>
      <c r="Q230" s="20">
        <v>10</v>
      </c>
      <c r="R230" s="20">
        <v>0</v>
      </c>
      <c r="W230" s="72" t="s">
        <v>121</v>
      </c>
      <c r="CI230" s="27"/>
      <c r="CJ230" s="27"/>
      <c r="CM230" s="24" t="s">
        <v>398</v>
      </c>
      <c r="CO230" s="20" t="s">
        <v>296</v>
      </c>
      <c r="CP230" s="27"/>
      <c r="CV230" s="25" t="s">
        <v>337</v>
      </c>
      <c r="CW230" s="22"/>
      <c r="CX230" s="22"/>
      <c r="CY230" s="22"/>
      <c r="CZ230" s="38"/>
    </row>
    <row r="231" spans="1:104">
      <c r="A231" s="71" t="s">
        <v>590</v>
      </c>
      <c r="B231" s="72" t="s">
        <v>111</v>
      </c>
      <c r="C231" s="37"/>
      <c r="E231" s="20">
        <v>14</v>
      </c>
      <c r="G231" s="72" t="s">
        <v>273</v>
      </c>
      <c r="H231" s="20">
        <v>4</v>
      </c>
      <c r="I231" s="72" t="s">
        <v>77</v>
      </c>
      <c r="J231" s="20">
        <v>3</v>
      </c>
      <c r="K231" s="20">
        <v>1</v>
      </c>
      <c r="N231" s="20">
        <v>0</v>
      </c>
      <c r="O231" s="20">
        <v>0</v>
      </c>
      <c r="Q231" s="20">
        <v>10</v>
      </c>
      <c r="R231" s="20">
        <v>0</v>
      </c>
      <c r="W231" s="72" t="s">
        <v>77</v>
      </c>
      <c r="CI231" s="27"/>
      <c r="CJ231" s="27"/>
      <c r="CL231" s="24" t="s">
        <v>602</v>
      </c>
      <c r="CM231" s="24" t="s">
        <v>398</v>
      </c>
      <c r="CO231" s="20" t="s">
        <v>296</v>
      </c>
      <c r="CP231" s="27"/>
      <c r="CV231" s="25" t="s">
        <v>130</v>
      </c>
      <c r="CW231" s="22"/>
      <c r="CX231" s="22"/>
      <c r="CY231" s="22"/>
      <c r="CZ231" s="38"/>
    </row>
    <row r="232" spans="1:104">
      <c r="A232" s="71" t="s">
        <v>591</v>
      </c>
      <c r="B232" s="72" t="s">
        <v>78</v>
      </c>
      <c r="C232" s="37"/>
      <c r="E232" s="20">
        <v>14</v>
      </c>
      <c r="G232" s="72" t="s">
        <v>273</v>
      </c>
      <c r="H232" s="20">
        <v>4</v>
      </c>
      <c r="I232" s="72" t="s">
        <v>85</v>
      </c>
      <c r="J232" s="20">
        <v>4</v>
      </c>
      <c r="K232" s="20">
        <v>1</v>
      </c>
      <c r="N232" s="20">
        <v>0</v>
      </c>
      <c r="O232" s="20">
        <v>0</v>
      </c>
      <c r="Q232" s="20">
        <v>10</v>
      </c>
      <c r="R232" s="20">
        <v>0</v>
      </c>
      <c r="W232" s="72" t="s">
        <v>77</v>
      </c>
      <c r="CI232" s="27"/>
      <c r="CJ232" s="27"/>
      <c r="CL232" s="24" t="s">
        <v>321</v>
      </c>
      <c r="CM232" s="24" t="s">
        <v>398</v>
      </c>
      <c r="CO232" s="20" t="s">
        <v>296</v>
      </c>
      <c r="CP232" s="27"/>
      <c r="CV232" s="25" t="s">
        <v>130</v>
      </c>
      <c r="CW232" s="22"/>
      <c r="CX232" s="22"/>
      <c r="CY232" s="22"/>
      <c r="CZ232" s="38"/>
    </row>
    <row r="233" spans="1:104">
      <c r="A233" s="71" t="s">
        <v>592</v>
      </c>
      <c r="B233" s="72" t="s">
        <v>78</v>
      </c>
      <c r="C233" s="37"/>
      <c r="E233" s="20">
        <v>14</v>
      </c>
      <c r="G233" s="72" t="s">
        <v>273</v>
      </c>
      <c r="H233" s="20">
        <v>4</v>
      </c>
      <c r="I233" s="72" t="s">
        <v>85</v>
      </c>
      <c r="J233" s="20">
        <v>3</v>
      </c>
      <c r="K233" s="20">
        <v>2</v>
      </c>
      <c r="N233" s="20">
        <v>0</v>
      </c>
      <c r="O233" s="20">
        <v>0</v>
      </c>
      <c r="Q233" s="20">
        <v>10</v>
      </c>
      <c r="R233" s="20">
        <v>0</v>
      </c>
      <c r="W233" s="72" t="s">
        <v>77</v>
      </c>
      <c r="CI233" s="27"/>
      <c r="CJ233" s="27"/>
      <c r="CM233" s="24" t="s">
        <v>398</v>
      </c>
      <c r="CO233" s="20" t="s">
        <v>296</v>
      </c>
      <c r="CP233" s="27"/>
      <c r="CV233" s="25" t="s">
        <v>130</v>
      </c>
      <c r="CW233" s="22"/>
      <c r="CX233" s="22"/>
      <c r="CY233" s="22"/>
      <c r="CZ233" s="38"/>
    </row>
    <row r="234" spans="1:104">
      <c r="A234" s="71" t="s">
        <v>593</v>
      </c>
      <c r="B234" s="72" t="s">
        <v>78</v>
      </c>
      <c r="C234" s="37"/>
      <c r="E234" s="20">
        <v>14</v>
      </c>
      <c r="G234" s="72" t="s">
        <v>273</v>
      </c>
      <c r="H234" s="20">
        <v>4</v>
      </c>
      <c r="I234" s="72" t="s">
        <v>85</v>
      </c>
      <c r="J234" s="20">
        <v>4</v>
      </c>
      <c r="K234" s="20">
        <v>2</v>
      </c>
      <c r="N234" s="20">
        <v>0</v>
      </c>
      <c r="O234" s="20">
        <v>0</v>
      </c>
      <c r="Q234" s="20">
        <v>10</v>
      </c>
      <c r="R234" s="20">
        <v>0</v>
      </c>
      <c r="W234" s="72" t="s">
        <v>77</v>
      </c>
      <c r="CI234" s="27"/>
      <c r="CJ234" s="27"/>
      <c r="CM234" s="24" t="s">
        <v>398</v>
      </c>
      <c r="CO234" s="20" t="s">
        <v>296</v>
      </c>
      <c r="CP234" s="27"/>
      <c r="CV234" s="25" t="s">
        <v>130</v>
      </c>
      <c r="CW234" s="22"/>
      <c r="CX234" s="22"/>
      <c r="CY234" s="22"/>
      <c r="CZ234" s="38"/>
    </row>
    <row r="235" spans="1:104">
      <c r="A235" s="71" t="s">
        <v>594</v>
      </c>
      <c r="B235" s="72" t="s">
        <v>84</v>
      </c>
      <c r="C235" s="37"/>
      <c r="E235" s="20">
        <v>14</v>
      </c>
      <c r="G235" s="72" t="s">
        <v>273</v>
      </c>
      <c r="H235" s="20">
        <v>4</v>
      </c>
      <c r="I235" s="72" t="s">
        <v>79</v>
      </c>
      <c r="J235" s="20">
        <v>6</v>
      </c>
      <c r="K235" s="20">
        <v>3</v>
      </c>
      <c r="N235" s="20">
        <v>0</v>
      </c>
      <c r="O235" s="20">
        <v>0</v>
      </c>
      <c r="Q235" s="20">
        <v>10</v>
      </c>
      <c r="R235" s="20">
        <v>0</v>
      </c>
      <c r="W235" s="72" t="s">
        <v>77</v>
      </c>
      <c r="CI235" s="27"/>
      <c r="CJ235" s="27"/>
      <c r="CL235" s="24" t="s">
        <v>340</v>
      </c>
      <c r="CM235" s="24" t="s">
        <v>398</v>
      </c>
      <c r="CO235" s="20" t="s">
        <v>296</v>
      </c>
      <c r="CP235" s="27"/>
      <c r="CV235" s="25" t="s">
        <v>130</v>
      </c>
      <c r="CW235" s="22"/>
      <c r="CX235" s="22"/>
      <c r="CY235" s="22"/>
      <c r="CZ235" s="38"/>
    </row>
    <row r="236" spans="1:104">
      <c r="A236" s="71" t="s">
        <v>1007</v>
      </c>
      <c r="B236" s="20" t="s">
        <v>97</v>
      </c>
      <c r="C236" s="37"/>
      <c r="E236" s="20">
        <v>9</v>
      </c>
      <c r="G236" s="20" t="s">
        <v>273</v>
      </c>
      <c r="H236" s="20">
        <v>6</v>
      </c>
      <c r="I236" s="20" t="s">
        <v>76</v>
      </c>
      <c r="J236" s="20">
        <v>7</v>
      </c>
      <c r="N236" s="20">
        <v>0</v>
      </c>
      <c r="O236" s="20">
        <v>0</v>
      </c>
      <c r="Q236" s="20">
        <v>10</v>
      </c>
      <c r="W236" s="20" t="s">
        <v>77</v>
      </c>
      <c r="CL236" s="24" t="s">
        <v>469</v>
      </c>
      <c r="CM236" s="24" t="s">
        <v>398</v>
      </c>
      <c r="CO236" s="20" t="s">
        <v>296</v>
      </c>
      <c r="CV236" s="25" t="s">
        <v>130</v>
      </c>
      <c r="CZ236" s="38"/>
    </row>
    <row r="237" spans="1:104">
      <c r="A237" s="71" t="s">
        <v>390</v>
      </c>
      <c r="B237" s="20" t="s">
        <v>97</v>
      </c>
      <c r="C237" s="37"/>
      <c r="E237" s="20">
        <v>12</v>
      </c>
      <c r="H237" s="20">
        <v>4</v>
      </c>
      <c r="I237" s="20" t="s">
        <v>76</v>
      </c>
      <c r="J237" s="20">
        <v>4</v>
      </c>
      <c r="K237" s="20">
        <v>2</v>
      </c>
      <c r="N237" s="20">
        <v>0</v>
      </c>
      <c r="O237" s="20">
        <v>0</v>
      </c>
      <c r="Q237" s="20">
        <v>10</v>
      </c>
      <c r="W237" s="20" t="s">
        <v>98</v>
      </c>
      <c r="CL237" s="24" t="s">
        <v>391</v>
      </c>
      <c r="CM237" s="24" t="s">
        <v>398</v>
      </c>
      <c r="CN237" s="28"/>
      <c r="CO237" s="20" t="s">
        <v>296</v>
      </c>
      <c r="CV237" s="25" t="s">
        <v>130</v>
      </c>
      <c r="CZ237" s="38"/>
    </row>
    <row r="238" spans="1:104" s="30" customFormat="1">
      <c r="A238" s="39" t="s">
        <v>393</v>
      </c>
      <c r="B238" s="30" t="s">
        <v>116</v>
      </c>
      <c r="C238" s="31"/>
      <c r="E238" s="30">
        <v>13</v>
      </c>
      <c r="G238" s="96" t="s">
        <v>272</v>
      </c>
      <c r="H238" s="30">
        <v>5</v>
      </c>
      <c r="I238" s="30" t="s">
        <v>129</v>
      </c>
      <c r="J238" s="30">
        <v>5</v>
      </c>
      <c r="K238" s="30">
        <v>2</v>
      </c>
      <c r="M238" s="22"/>
      <c r="N238" s="20">
        <v>0</v>
      </c>
      <c r="O238" s="20">
        <v>0</v>
      </c>
      <c r="Q238" s="30">
        <v>10</v>
      </c>
      <c r="W238" s="30" t="s">
        <v>117</v>
      </c>
      <c r="X238" s="30" t="s">
        <v>762</v>
      </c>
      <c r="BQ238" s="30">
        <v>1</v>
      </c>
      <c r="BZ238" s="32"/>
      <c r="CA238" s="33"/>
      <c r="CI238" s="32"/>
      <c r="CJ238" s="32"/>
      <c r="CK238" s="44"/>
      <c r="CL238" s="44" t="s">
        <v>394</v>
      </c>
      <c r="CM238" s="24" t="s">
        <v>398</v>
      </c>
      <c r="CN238" s="43"/>
      <c r="CO238" s="20" t="s">
        <v>296</v>
      </c>
      <c r="CP238" s="32"/>
      <c r="CV238" s="36" t="s">
        <v>285</v>
      </c>
      <c r="CZ238" s="38"/>
    </row>
    <row r="239" spans="1:104">
      <c r="A239" s="39" t="s">
        <v>371</v>
      </c>
      <c r="B239" s="20" t="s">
        <v>93</v>
      </c>
      <c r="E239" s="20">
        <v>12</v>
      </c>
      <c r="H239" s="20">
        <v>4</v>
      </c>
      <c r="I239" s="20" t="s">
        <v>85</v>
      </c>
      <c r="N239" s="20">
        <v>0</v>
      </c>
      <c r="O239" s="20">
        <v>0</v>
      </c>
      <c r="Q239" s="20">
        <v>10</v>
      </c>
      <c r="W239" s="20" t="s">
        <v>94</v>
      </c>
      <c r="BY239" s="22"/>
      <c r="BZ239" s="23"/>
      <c r="CI239" s="27"/>
      <c r="CJ239" s="27"/>
      <c r="CK239" s="42"/>
      <c r="CL239" s="42" t="s">
        <v>307</v>
      </c>
      <c r="CM239" s="24" t="s">
        <v>398</v>
      </c>
      <c r="CN239" s="43"/>
      <c r="CP239" s="27"/>
      <c r="CV239" s="25" t="s">
        <v>334</v>
      </c>
      <c r="CW239" s="22"/>
      <c r="CX239" s="22"/>
      <c r="CY239" s="22"/>
      <c r="CZ239" s="38"/>
    </row>
    <row r="240" spans="1:104">
      <c r="A240" s="71" t="s">
        <v>488</v>
      </c>
      <c r="B240" s="72" t="s">
        <v>84</v>
      </c>
      <c r="E240" s="20">
        <v>11</v>
      </c>
      <c r="H240" s="20">
        <v>4</v>
      </c>
      <c r="I240" s="20" t="s">
        <v>76</v>
      </c>
      <c r="L240" s="20">
        <v>-30</v>
      </c>
      <c r="N240" s="20">
        <v>0</v>
      </c>
      <c r="O240" s="20">
        <v>0</v>
      </c>
      <c r="Q240" s="20">
        <v>10</v>
      </c>
      <c r="W240" s="72" t="s">
        <v>77</v>
      </c>
      <c r="X240" s="72"/>
      <c r="BY240" s="22"/>
      <c r="BZ240" s="23"/>
      <c r="CI240" s="27"/>
      <c r="CJ240" s="27"/>
      <c r="CK240" s="42"/>
      <c r="CL240" s="42" t="s">
        <v>439</v>
      </c>
      <c r="CM240" s="24" t="s">
        <v>398</v>
      </c>
      <c r="CN240" s="24" t="s">
        <v>484</v>
      </c>
      <c r="CO240" s="72" t="s">
        <v>296</v>
      </c>
      <c r="CP240" s="27"/>
      <c r="CV240" s="25" t="s">
        <v>130</v>
      </c>
      <c r="CW240" s="22"/>
      <c r="CX240" s="22"/>
      <c r="CY240" s="22"/>
      <c r="CZ240" s="38"/>
    </row>
    <row r="241" spans="1:104">
      <c r="A241" s="71" t="s">
        <v>606</v>
      </c>
      <c r="B241" s="72" t="s">
        <v>97</v>
      </c>
      <c r="E241" s="20">
        <v>11</v>
      </c>
      <c r="H241" s="20">
        <v>4</v>
      </c>
      <c r="I241" s="72" t="s">
        <v>76</v>
      </c>
      <c r="N241" s="20">
        <v>0</v>
      </c>
      <c r="O241" s="20">
        <v>0</v>
      </c>
      <c r="Q241" s="20">
        <v>10</v>
      </c>
      <c r="W241" s="72" t="s">
        <v>77</v>
      </c>
      <c r="X241" s="72"/>
      <c r="BY241" s="22"/>
      <c r="BZ241" s="23"/>
      <c r="CI241" s="27"/>
      <c r="CJ241" s="27"/>
      <c r="CK241" s="42"/>
      <c r="CL241" s="42" t="s">
        <v>607</v>
      </c>
      <c r="CM241" s="24" t="s">
        <v>398</v>
      </c>
      <c r="CN241" s="43"/>
      <c r="CO241" s="72" t="s">
        <v>296</v>
      </c>
      <c r="CP241" s="27"/>
      <c r="CV241" s="93" t="s">
        <v>130</v>
      </c>
      <c r="CW241" s="22"/>
      <c r="CX241" s="22"/>
      <c r="CY241" s="22"/>
      <c r="CZ241" s="38"/>
    </row>
    <row r="242" spans="1:104">
      <c r="A242" s="94" t="s">
        <v>1030</v>
      </c>
      <c r="B242" s="72" t="s">
        <v>78</v>
      </c>
      <c r="E242" s="20">
        <v>4</v>
      </c>
      <c r="H242" s="20">
        <v>4</v>
      </c>
      <c r="I242" s="72"/>
      <c r="W242" s="72"/>
      <c r="X242" s="72"/>
      <c r="BY242" s="22"/>
      <c r="BZ242" s="23"/>
      <c r="CI242" s="27"/>
      <c r="CJ242" s="27"/>
      <c r="CK242" s="42"/>
      <c r="CL242" s="24" t="s">
        <v>322</v>
      </c>
      <c r="CM242" s="24" t="s">
        <v>398</v>
      </c>
      <c r="CN242" s="43"/>
      <c r="CO242" s="72" t="s">
        <v>296</v>
      </c>
      <c r="CP242" s="27"/>
      <c r="CV242" s="93" t="s">
        <v>195</v>
      </c>
      <c r="CW242" s="22"/>
      <c r="CX242" s="22"/>
      <c r="CY242" s="22"/>
      <c r="CZ242" s="38"/>
    </row>
    <row r="243" spans="1:104">
      <c r="A243" s="94" t="s">
        <v>1019</v>
      </c>
      <c r="B243" s="72" t="s">
        <v>97</v>
      </c>
      <c r="E243" s="20">
        <v>4</v>
      </c>
      <c r="H243" s="20">
        <v>4</v>
      </c>
      <c r="I243" s="72"/>
      <c r="W243" s="72"/>
      <c r="X243" s="72"/>
      <c r="BY243" s="22"/>
      <c r="BZ243" s="23"/>
      <c r="CI243" s="27"/>
      <c r="CJ243" s="27"/>
      <c r="CK243" s="42"/>
      <c r="CL243" s="24" t="s">
        <v>340</v>
      </c>
      <c r="CM243" s="24" t="s">
        <v>398</v>
      </c>
      <c r="CN243" s="43"/>
      <c r="CO243" s="72" t="s">
        <v>296</v>
      </c>
      <c r="CP243" s="27"/>
      <c r="CV243" s="93" t="s">
        <v>1028</v>
      </c>
      <c r="CW243" s="22"/>
      <c r="CX243" s="22"/>
      <c r="CY243" s="22"/>
      <c r="CZ243" s="38"/>
    </row>
    <row r="244" spans="1:104">
      <c r="A244" s="94" t="s">
        <v>1027</v>
      </c>
      <c r="B244" s="72" t="s">
        <v>124</v>
      </c>
      <c r="E244" s="20">
        <v>4</v>
      </c>
      <c r="H244" s="20">
        <v>4</v>
      </c>
      <c r="I244" s="72"/>
      <c r="W244" s="72"/>
      <c r="X244" s="72"/>
      <c r="BY244" s="22"/>
      <c r="BZ244" s="23"/>
      <c r="CI244" s="27"/>
      <c r="CJ244" s="27"/>
      <c r="CK244" s="42"/>
      <c r="CL244" s="42"/>
      <c r="CM244" s="24" t="s">
        <v>398</v>
      </c>
      <c r="CN244" s="43"/>
      <c r="CO244" s="72" t="s">
        <v>296</v>
      </c>
      <c r="CP244" s="27"/>
      <c r="CV244" s="93" t="s">
        <v>293</v>
      </c>
      <c r="CW244" s="22"/>
      <c r="CX244" s="22"/>
      <c r="CY244" s="22"/>
      <c r="CZ244" s="38"/>
    </row>
    <row r="245" spans="1:104">
      <c r="A245" s="94" t="s">
        <v>1023</v>
      </c>
      <c r="B245" s="72" t="s">
        <v>116</v>
      </c>
      <c r="E245" s="20">
        <v>4</v>
      </c>
      <c r="H245" s="20">
        <v>4</v>
      </c>
      <c r="I245" s="72" t="s">
        <v>129</v>
      </c>
      <c r="W245" s="72"/>
      <c r="X245" s="72"/>
      <c r="BY245" s="22"/>
      <c r="BZ245" s="23"/>
      <c r="CI245" s="27"/>
      <c r="CJ245" s="27"/>
      <c r="CK245" s="42"/>
      <c r="CL245" s="42" t="s">
        <v>439</v>
      </c>
      <c r="CM245" s="24" t="s">
        <v>398</v>
      </c>
      <c r="CN245" s="43"/>
      <c r="CO245" s="72" t="s">
        <v>296</v>
      </c>
      <c r="CP245" s="27"/>
      <c r="CV245" s="93" t="s">
        <v>429</v>
      </c>
      <c r="CW245" s="22"/>
      <c r="CX245" s="22"/>
      <c r="CY245" s="22"/>
      <c r="CZ245" s="38"/>
    </row>
    <row r="246" spans="1:104">
      <c r="A246" s="94" t="s">
        <v>1024</v>
      </c>
      <c r="B246" s="72" t="s">
        <v>116</v>
      </c>
      <c r="E246" s="20">
        <v>4</v>
      </c>
      <c r="H246" s="20">
        <v>4</v>
      </c>
      <c r="I246" s="72" t="s">
        <v>133</v>
      </c>
      <c r="W246" s="72"/>
      <c r="X246" s="72"/>
      <c r="BY246" s="22"/>
      <c r="BZ246" s="23"/>
      <c r="CI246" s="27"/>
      <c r="CJ246" s="27"/>
      <c r="CK246" s="42"/>
      <c r="CL246" s="42"/>
      <c r="CM246" s="24" t="s">
        <v>398</v>
      </c>
      <c r="CN246" s="43"/>
      <c r="CO246" s="72" t="s">
        <v>296</v>
      </c>
      <c r="CP246" s="27"/>
      <c r="CV246" s="93" t="s">
        <v>427</v>
      </c>
      <c r="CW246" s="22"/>
      <c r="CX246" s="22"/>
      <c r="CY246" s="22"/>
      <c r="CZ246" s="38"/>
    </row>
    <row r="247" spans="1:104">
      <c r="A247" s="94" t="s">
        <v>1025</v>
      </c>
      <c r="B247" s="72" t="s">
        <v>116</v>
      </c>
      <c r="E247" s="20">
        <v>4</v>
      </c>
      <c r="H247" s="20">
        <v>4</v>
      </c>
      <c r="I247" s="72" t="s">
        <v>134</v>
      </c>
      <c r="W247" s="72"/>
      <c r="X247" s="72"/>
      <c r="BY247" s="22"/>
      <c r="BZ247" s="23"/>
      <c r="CI247" s="27"/>
      <c r="CJ247" s="27"/>
      <c r="CK247" s="42"/>
      <c r="CL247" s="42" t="s">
        <v>345</v>
      </c>
      <c r="CM247" s="24" t="s">
        <v>398</v>
      </c>
      <c r="CN247" s="43"/>
      <c r="CO247" s="72" t="s">
        <v>296</v>
      </c>
      <c r="CP247" s="27"/>
      <c r="CV247" s="93" t="s">
        <v>430</v>
      </c>
      <c r="CW247" s="22"/>
      <c r="CX247" s="22"/>
      <c r="CY247" s="22"/>
      <c r="CZ247" s="38"/>
    </row>
    <row r="248" spans="1:104">
      <c r="A248" s="94" t="s">
        <v>1026</v>
      </c>
      <c r="B248" s="72" t="s">
        <v>116</v>
      </c>
      <c r="E248" s="20">
        <v>4</v>
      </c>
      <c r="H248" s="20">
        <v>4</v>
      </c>
      <c r="I248" s="72" t="s">
        <v>131</v>
      </c>
      <c r="W248" s="72"/>
      <c r="X248" s="72"/>
      <c r="BY248" s="22"/>
      <c r="BZ248" s="23"/>
      <c r="CI248" s="27"/>
      <c r="CJ248" s="27"/>
      <c r="CK248" s="42"/>
      <c r="CL248" s="42" t="s">
        <v>132</v>
      </c>
      <c r="CM248" s="24" t="s">
        <v>398</v>
      </c>
      <c r="CN248" s="43"/>
      <c r="CO248" s="72" t="s">
        <v>296</v>
      </c>
      <c r="CP248" s="27"/>
      <c r="CV248" s="93" t="s">
        <v>428</v>
      </c>
      <c r="CW248" s="22"/>
      <c r="CX248" s="22"/>
      <c r="CY248" s="22"/>
      <c r="CZ248" s="38"/>
    </row>
    <row r="249" spans="1:104">
      <c r="A249" s="94" t="s">
        <v>1022</v>
      </c>
      <c r="B249" s="72" t="s">
        <v>109</v>
      </c>
      <c r="E249" s="20">
        <v>5</v>
      </c>
      <c r="H249" s="20">
        <v>5</v>
      </c>
      <c r="I249" s="72"/>
      <c r="W249" s="72"/>
      <c r="X249" s="72"/>
      <c r="BY249" s="22"/>
      <c r="BZ249" s="23"/>
      <c r="CI249" s="27"/>
      <c r="CJ249" s="27"/>
      <c r="CK249" s="42"/>
      <c r="CL249" s="42" t="s">
        <v>191</v>
      </c>
      <c r="CM249" s="24" t="s">
        <v>398</v>
      </c>
      <c r="CN249" s="43"/>
      <c r="CO249" s="72" t="s">
        <v>296</v>
      </c>
      <c r="CP249" s="27"/>
      <c r="CV249" s="93" t="s">
        <v>1021</v>
      </c>
      <c r="CW249" s="22"/>
      <c r="CX249" s="22"/>
      <c r="CY249" s="22"/>
      <c r="CZ249" s="38"/>
    </row>
    <row r="250" spans="1:104">
      <c r="A250" s="94" t="s">
        <v>1020</v>
      </c>
      <c r="B250" s="72" t="s">
        <v>97</v>
      </c>
      <c r="E250" s="20">
        <v>1</v>
      </c>
      <c r="H250" s="20">
        <v>4</v>
      </c>
      <c r="I250" s="72"/>
      <c r="W250" s="72"/>
      <c r="X250" s="72"/>
      <c r="BY250" s="22"/>
      <c r="BZ250" s="23"/>
      <c r="CI250" s="27"/>
      <c r="CJ250" s="27"/>
      <c r="CK250" s="42"/>
      <c r="CL250" s="42"/>
      <c r="CM250" s="24" t="s">
        <v>398</v>
      </c>
      <c r="CN250" s="43"/>
      <c r="CO250" s="72" t="s">
        <v>296</v>
      </c>
      <c r="CP250" s="27"/>
      <c r="CV250" s="93" t="s">
        <v>1029</v>
      </c>
      <c r="CW250" s="22"/>
      <c r="CX250" s="22"/>
      <c r="CY250" s="22"/>
      <c r="CZ250" s="38"/>
    </row>
    <row r="251" spans="1:104">
      <c r="A251" s="71" t="s">
        <v>967</v>
      </c>
      <c r="B251" s="72" t="s">
        <v>97</v>
      </c>
      <c r="E251" s="20">
        <v>1</v>
      </c>
      <c r="H251" s="20">
        <v>4</v>
      </c>
      <c r="I251" s="72" t="s">
        <v>76</v>
      </c>
      <c r="J251" s="20">
        <v>2</v>
      </c>
      <c r="K251" s="20">
        <v>4</v>
      </c>
      <c r="N251" s="20">
        <v>1</v>
      </c>
      <c r="O251" s="20">
        <v>1</v>
      </c>
      <c r="Q251" s="20">
        <v>10</v>
      </c>
      <c r="W251" s="72" t="s">
        <v>77</v>
      </c>
      <c r="X251" s="72"/>
      <c r="BY251" s="22"/>
      <c r="BZ251" s="23"/>
      <c r="CI251" s="27"/>
      <c r="CJ251" s="27"/>
      <c r="CK251" s="42"/>
      <c r="CL251" s="42" t="s">
        <v>1008</v>
      </c>
      <c r="CM251" s="24" t="s">
        <v>398</v>
      </c>
      <c r="CN251" s="43"/>
      <c r="CO251" s="72" t="s">
        <v>296</v>
      </c>
      <c r="CP251" s="27"/>
      <c r="CV251" s="25" t="s">
        <v>130</v>
      </c>
      <c r="CW251" s="22"/>
      <c r="CX251" s="22"/>
      <c r="CY251" s="22"/>
      <c r="CZ251" s="38"/>
    </row>
    <row r="252" spans="1:104">
      <c r="A252" s="71" t="s">
        <v>521</v>
      </c>
      <c r="B252" s="72" t="s">
        <v>78</v>
      </c>
      <c r="E252" s="20">
        <v>1</v>
      </c>
      <c r="H252" s="20">
        <v>4</v>
      </c>
      <c r="I252" s="72" t="s">
        <v>76</v>
      </c>
      <c r="J252" s="20">
        <v>1</v>
      </c>
      <c r="K252" s="20">
        <v>1</v>
      </c>
      <c r="N252" s="20">
        <v>0</v>
      </c>
      <c r="O252" s="20">
        <v>0</v>
      </c>
      <c r="Q252" s="20">
        <v>10</v>
      </c>
      <c r="W252" s="72" t="s">
        <v>77</v>
      </c>
      <c r="X252" s="72"/>
      <c r="BY252" s="22"/>
      <c r="BZ252" s="23"/>
      <c r="CI252" s="27"/>
      <c r="CJ252" s="27"/>
      <c r="CK252" s="42"/>
      <c r="CL252" s="42"/>
      <c r="CM252" s="24" t="s">
        <v>398</v>
      </c>
      <c r="CN252" s="43"/>
      <c r="CO252" s="72" t="s">
        <v>296</v>
      </c>
      <c r="CP252" s="27"/>
      <c r="CV252" s="25" t="s">
        <v>130</v>
      </c>
      <c r="CW252" s="22"/>
      <c r="CX252" s="22"/>
      <c r="CY252" s="22"/>
      <c r="CZ252" s="38"/>
    </row>
    <row r="253" spans="1:104">
      <c r="A253" s="71" t="s">
        <v>522</v>
      </c>
      <c r="B253" s="72" t="s">
        <v>78</v>
      </c>
      <c r="E253" s="20">
        <v>1</v>
      </c>
      <c r="H253" s="20">
        <v>4</v>
      </c>
      <c r="I253" s="72" t="s">
        <v>76</v>
      </c>
      <c r="J253" s="20">
        <v>1</v>
      </c>
      <c r="K253" s="20">
        <v>1</v>
      </c>
      <c r="N253" s="20">
        <v>0</v>
      </c>
      <c r="O253" s="20">
        <v>0</v>
      </c>
      <c r="Q253" s="20">
        <v>10</v>
      </c>
      <c r="W253" s="72" t="s">
        <v>77</v>
      </c>
      <c r="X253" s="72"/>
      <c r="BY253" s="22"/>
      <c r="BZ253" s="23"/>
      <c r="CI253" s="27"/>
      <c r="CJ253" s="27"/>
      <c r="CK253" s="42"/>
      <c r="CL253" s="42"/>
      <c r="CM253" s="24" t="s">
        <v>398</v>
      </c>
      <c r="CN253" s="43"/>
      <c r="CO253" s="72" t="s">
        <v>296</v>
      </c>
      <c r="CP253" s="27"/>
      <c r="CV253" s="25" t="s">
        <v>130</v>
      </c>
      <c r="CW253" s="22"/>
      <c r="CX253" s="22"/>
      <c r="CY253" s="22"/>
      <c r="CZ253" s="38"/>
    </row>
    <row r="254" spans="1:104">
      <c r="A254" s="71" t="s">
        <v>523</v>
      </c>
      <c r="B254" s="72" t="s">
        <v>78</v>
      </c>
      <c r="E254" s="20">
        <v>1</v>
      </c>
      <c r="H254" s="20">
        <v>4</v>
      </c>
      <c r="I254" s="72" t="s">
        <v>79</v>
      </c>
      <c r="J254" s="20">
        <v>1</v>
      </c>
      <c r="K254" s="20">
        <v>1</v>
      </c>
      <c r="N254" s="20">
        <v>0</v>
      </c>
      <c r="O254" s="20">
        <v>0</v>
      </c>
      <c r="Q254" s="20">
        <v>10</v>
      </c>
      <c r="W254" s="72" t="s">
        <v>77</v>
      </c>
      <c r="X254" s="72"/>
      <c r="BY254" s="22"/>
      <c r="BZ254" s="23"/>
      <c r="CI254" s="27"/>
      <c r="CJ254" s="27"/>
      <c r="CK254" s="42"/>
      <c r="CL254" s="42"/>
      <c r="CM254" s="24" t="s">
        <v>398</v>
      </c>
      <c r="CN254" s="43"/>
      <c r="CO254" s="72" t="s">
        <v>296</v>
      </c>
      <c r="CP254" s="27"/>
      <c r="CV254" s="25" t="s">
        <v>130</v>
      </c>
      <c r="CW254" s="22"/>
      <c r="CX254" s="22"/>
      <c r="CY254" s="22"/>
      <c r="CZ254" s="38"/>
    </row>
    <row r="255" spans="1:104">
      <c r="A255" s="71" t="s">
        <v>524</v>
      </c>
      <c r="B255" s="72" t="s">
        <v>78</v>
      </c>
      <c r="E255" s="20">
        <v>1</v>
      </c>
      <c r="H255" s="20">
        <v>4</v>
      </c>
      <c r="I255" s="72" t="s">
        <v>79</v>
      </c>
      <c r="J255" s="20">
        <v>1</v>
      </c>
      <c r="K255" s="20">
        <v>1</v>
      </c>
      <c r="N255" s="20">
        <v>0</v>
      </c>
      <c r="O255" s="20">
        <v>0</v>
      </c>
      <c r="Q255" s="20">
        <v>10</v>
      </c>
      <c r="W255" s="72" t="s">
        <v>77</v>
      </c>
      <c r="X255" s="72"/>
      <c r="BY255" s="22"/>
      <c r="BZ255" s="23"/>
      <c r="CI255" s="27"/>
      <c r="CJ255" s="27"/>
      <c r="CK255" s="42"/>
      <c r="CL255" s="42"/>
      <c r="CM255" s="24" t="s">
        <v>398</v>
      </c>
      <c r="CN255" s="43"/>
      <c r="CO255" s="72" t="s">
        <v>296</v>
      </c>
      <c r="CP255" s="27"/>
      <c r="CV255" s="25" t="s">
        <v>130</v>
      </c>
      <c r="CW255" s="22"/>
      <c r="CX255" s="22"/>
      <c r="CY255" s="22"/>
      <c r="CZ255" s="38"/>
    </row>
    <row r="256" spans="1:104">
      <c r="A256" s="71" t="s">
        <v>525</v>
      </c>
      <c r="B256" s="72" t="s">
        <v>78</v>
      </c>
      <c r="E256" s="20">
        <v>1</v>
      </c>
      <c r="H256" s="20">
        <v>4</v>
      </c>
      <c r="I256" s="72" t="s">
        <v>79</v>
      </c>
      <c r="J256" s="20">
        <v>1</v>
      </c>
      <c r="K256" s="20">
        <v>1</v>
      </c>
      <c r="N256" s="20">
        <v>0</v>
      </c>
      <c r="O256" s="20">
        <v>0</v>
      </c>
      <c r="Q256" s="20">
        <v>10</v>
      </c>
      <c r="W256" s="72" t="s">
        <v>77</v>
      </c>
      <c r="X256" s="72"/>
      <c r="BY256" s="22"/>
      <c r="BZ256" s="23"/>
      <c r="CI256" s="27"/>
      <c r="CJ256" s="27"/>
      <c r="CK256" s="42"/>
      <c r="CL256" s="42"/>
      <c r="CM256" s="24" t="s">
        <v>398</v>
      </c>
      <c r="CN256" s="43"/>
      <c r="CO256" s="72" t="s">
        <v>296</v>
      </c>
      <c r="CP256" s="27"/>
      <c r="CV256" s="25" t="s">
        <v>130</v>
      </c>
      <c r="CW256" s="22"/>
      <c r="CX256" s="22"/>
      <c r="CY256" s="22"/>
      <c r="CZ256" s="38"/>
    </row>
    <row r="257" spans="1:104">
      <c r="A257" s="71" t="s">
        <v>526</v>
      </c>
      <c r="B257" s="72" t="s">
        <v>78</v>
      </c>
      <c r="E257" s="20">
        <v>1</v>
      </c>
      <c r="H257" s="20">
        <v>4</v>
      </c>
      <c r="I257" s="72" t="s">
        <v>76</v>
      </c>
      <c r="J257" s="20">
        <v>1</v>
      </c>
      <c r="K257" s="20">
        <v>1</v>
      </c>
      <c r="N257" s="20">
        <v>0</v>
      </c>
      <c r="O257" s="20">
        <v>0</v>
      </c>
      <c r="Q257" s="20">
        <v>10</v>
      </c>
      <c r="W257" s="72" t="s">
        <v>77</v>
      </c>
      <c r="X257" s="72"/>
      <c r="BY257" s="22"/>
      <c r="BZ257" s="23"/>
      <c r="CI257" s="27"/>
      <c r="CJ257" s="27"/>
      <c r="CK257" s="42"/>
      <c r="CL257" s="42"/>
      <c r="CM257" s="24" t="s">
        <v>398</v>
      </c>
      <c r="CN257" s="43"/>
      <c r="CO257" s="72" t="s">
        <v>296</v>
      </c>
      <c r="CP257" s="27"/>
      <c r="CV257" s="25" t="s">
        <v>130</v>
      </c>
      <c r="CW257" s="22"/>
      <c r="CX257" s="22"/>
      <c r="CY257" s="22"/>
      <c r="CZ257" s="38"/>
    </row>
    <row r="258" spans="1:104">
      <c r="A258" s="71" t="s">
        <v>527</v>
      </c>
      <c r="B258" s="72" t="s">
        <v>78</v>
      </c>
      <c r="E258" s="20">
        <v>1</v>
      </c>
      <c r="H258" s="20">
        <v>4</v>
      </c>
      <c r="I258" s="72" t="s">
        <v>76</v>
      </c>
      <c r="J258" s="20">
        <v>1</v>
      </c>
      <c r="K258" s="20">
        <v>1</v>
      </c>
      <c r="N258" s="20">
        <v>0</v>
      </c>
      <c r="O258" s="20">
        <v>0</v>
      </c>
      <c r="Q258" s="20">
        <v>10</v>
      </c>
      <c r="W258" s="72" t="s">
        <v>77</v>
      </c>
      <c r="X258" s="72"/>
      <c r="BY258" s="22"/>
      <c r="BZ258" s="23"/>
      <c r="CI258" s="27"/>
      <c r="CJ258" s="27"/>
      <c r="CK258" s="42"/>
      <c r="CL258" s="42"/>
      <c r="CM258" s="24" t="s">
        <v>398</v>
      </c>
      <c r="CN258" s="43"/>
      <c r="CO258" s="72" t="s">
        <v>296</v>
      </c>
      <c r="CP258" s="27"/>
      <c r="CV258" s="25" t="s">
        <v>130</v>
      </c>
      <c r="CW258" s="22"/>
      <c r="CX258" s="22"/>
      <c r="CY258" s="22"/>
      <c r="CZ258" s="38"/>
    </row>
    <row r="259" spans="1:104">
      <c r="A259" s="71" t="s">
        <v>528</v>
      </c>
      <c r="B259" s="72" t="s">
        <v>78</v>
      </c>
      <c r="E259" s="20">
        <v>1</v>
      </c>
      <c r="H259" s="20">
        <v>4</v>
      </c>
      <c r="I259" s="72" t="s">
        <v>76</v>
      </c>
      <c r="J259" s="20">
        <v>1</v>
      </c>
      <c r="K259" s="20">
        <v>1</v>
      </c>
      <c r="N259" s="20">
        <v>0</v>
      </c>
      <c r="O259" s="20">
        <v>0</v>
      </c>
      <c r="Q259" s="20">
        <v>10</v>
      </c>
      <c r="W259" s="72" t="s">
        <v>77</v>
      </c>
      <c r="X259" s="72"/>
      <c r="BY259" s="22"/>
      <c r="BZ259" s="23"/>
      <c r="CI259" s="27"/>
      <c r="CJ259" s="27"/>
      <c r="CK259" s="42"/>
      <c r="CL259" s="42"/>
      <c r="CM259" s="24" t="s">
        <v>398</v>
      </c>
      <c r="CN259" s="43"/>
      <c r="CO259" s="72" t="s">
        <v>296</v>
      </c>
      <c r="CP259" s="27"/>
      <c r="CV259" s="25" t="s">
        <v>130</v>
      </c>
      <c r="CW259" s="22"/>
      <c r="CX259" s="22"/>
      <c r="CY259" s="22"/>
      <c r="CZ259" s="38"/>
    </row>
    <row r="260" spans="1:104">
      <c r="A260" s="71" t="s">
        <v>529</v>
      </c>
      <c r="B260" s="72" t="s">
        <v>78</v>
      </c>
      <c r="E260" s="20">
        <v>1</v>
      </c>
      <c r="H260" s="20">
        <v>4</v>
      </c>
      <c r="I260" s="72" t="s">
        <v>76</v>
      </c>
      <c r="J260" s="20">
        <v>1</v>
      </c>
      <c r="K260" s="20">
        <v>1</v>
      </c>
      <c r="N260" s="20">
        <v>0</v>
      </c>
      <c r="O260" s="20">
        <v>0</v>
      </c>
      <c r="Q260" s="20">
        <v>10</v>
      </c>
      <c r="W260" s="72" t="s">
        <v>77</v>
      </c>
      <c r="X260" s="72"/>
      <c r="BY260" s="22"/>
      <c r="BZ260" s="23"/>
      <c r="CI260" s="27"/>
      <c r="CJ260" s="27"/>
      <c r="CK260" s="42"/>
      <c r="CL260" s="42"/>
      <c r="CM260" s="24" t="s">
        <v>398</v>
      </c>
      <c r="CN260" s="43"/>
      <c r="CO260" s="72" t="s">
        <v>296</v>
      </c>
      <c r="CP260" s="27"/>
      <c r="CV260" s="25" t="s">
        <v>130</v>
      </c>
      <c r="CW260" s="22"/>
      <c r="CX260" s="22"/>
      <c r="CY260" s="22"/>
      <c r="CZ260" s="38"/>
    </row>
    <row r="261" spans="1:104">
      <c r="A261" s="71" t="s">
        <v>530</v>
      </c>
      <c r="B261" s="72" t="s">
        <v>78</v>
      </c>
      <c r="E261" s="20">
        <v>1</v>
      </c>
      <c r="H261" s="20">
        <v>4</v>
      </c>
      <c r="I261" s="72" t="s">
        <v>79</v>
      </c>
      <c r="J261" s="20">
        <v>1</v>
      </c>
      <c r="K261" s="20">
        <v>1</v>
      </c>
      <c r="N261" s="20">
        <v>0</v>
      </c>
      <c r="O261" s="20">
        <v>0</v>
      </c>
      <c r="Q261" s="20">
        <v>10</v>
      </c>
      <c r="W261" s="72" t="s">
        <v>77</v>
      </c>
      <c r="X261" s="72"/>
      <c r="BY261" s="22"/>
      <c r="BZ261" s="23"/>
      <c r="CI261" s="27"/>
      <c r="CJ261" s="27"/>
      <c r="CK261" s="42"/>
      <c r="CL261" s="42"/>
      <c r="CM261" s="24" t="s">
        <v>398</v>
      </c>
      <c r="CN261" s="43"/>
      <c r="CO261" s="72" t="s">
        <v>296</v>
      </c>
      <c r="CP261" s="27"/>
      <c r="CV261" s="25" t="s">
        <v>130</v>
      </c>
      <c r="CW261" s="22"/>
      <c r="CX261" s="22"/>
      <c r="CY261" s="22"/>
      <c r="CZ261" s="38"/>
    </row>
    <row r="262" spans="1:104">
      <c r="A262" s="71" t="s">
        <v>531</v>
      </c>
      <c r="B262" s="72" t="s">
        <v>78</v>
      </c>
      <c r="E262" s="20">
        <v>1</v>
      </c>
      <c r="H262" s="20">
        <v>4</v>
      </c>
      <c r="I262" s="72" t="s">
        <v>85</v>
      </c>
      <c r="J262" s="20">
        <v>1</v>
      </c>
      <c r="K262" s="20">
        <v>1</v>
      </c>
      <c r="N262" s="20">
        <v>0</v>
      </c>
      <c r="O262" s="20">
        <v>0</v>
      </c>
      <c r="Q262" s="20">
        <v>10</v>
      </c>
      <c r="W262" s="72" t="s">
        <v>77</v>
      </c>
      <c r="X262" s="72"/>
      <c r="BY262" s="22"/>
      <c r="BZ262" s="23"/>
      <c r="CI262" s="27"/>
      <c r="CJ262" s="27"/>
      <c r="CK262" s="42"/>
      <c r="CL262" s="42"/>
      <c r="CM262" s="24" t="s">
        <v>398</v>
      </c>
      <c r="CN262" s="43"/>
      <c r="CO262" s="72" t="s">
        <v>296</v>
      </c>
      <c r="CP262" s="27"/>
      <c r="CV262" s="25" t="s">
        <v>130</v>
      </c>
      <c r="CW262" s="22"/>
      <c r="CX262" s="22"/>
      <c r="CY262" s="22"/>
      <c r="CZ262" s="38"/>
    </row>
    <row r="263" spans="1:104">
      <c r="A263" s="71" t="s">
        <v>532</v>
      </c>
      <c r="B263" s="72" t="s">
        <v>78</v>
      </c>
      <c r="E263" s="20">
        <v>1</v>
      </c>
      <c r="H263" s="20">
        <v>4</v>
      </c>
      <c r="I263" s="72" t="s">
        <v>85</v>
      </c>
      <c r="J263" s="20">
        <v>1</v>
      </c>
      <c r="K263" s="20">
        <v>1</v>
      </c>
      <c r="N263" s="20">
        <v>0</v>
      </c>
      <c r="O263" s="20">
        <v>0</v>
      </c>
      <c r="Q263" s="20">
        <v>10</v>
      </c>
      <c r="W263" s="72" t="s">
        <v>77</v>
      </c>
      <c r="X263" s="72"/>
      <c r="BY263" s="22"/>
      <c r="BZ263" s="23"/>
      <c r="CI263" s="27"/>
      <c r="CJ263" s="27"/>
      <c r="CK263" s="42"/>
      <c r="CL263" s="42"/>
      <c r="CM263" s="24" t="s">
        <v>398</v>
      </c>
      <c r="CN263" s="43"/>
      <c r="CO263" s="72" t="s">
        <v>296</v>
      </c>
      <c r="CP263" s="27"/>
      <c r="CV263" s="25" t="s">
        <v>130</v>
      </c>
      <c r="CW263" s="22"/>
      <c r="CX263" s="22"/>
      <c r="CY263" s="22"/>
      <c r="CZ263" s="38"/>
    </row>
    <row r="264" spans="1:104">
      <c r="A264" s="71" t="s">
        <v>533</v>
      </c>
      <c r="B264" s="72" t="s">
        <v>78</v>
      </c>
      <c r="E264" s="20">
        <v>1</v>
      </c>
      <c r="H264" s="20">
        <v>4</v>
      </c>
      <c r="I264" s="72" t="s">
        <v>85</v>
      </c>
      <c r="J264" s="20">
        <v>1</v>
      </c>
      <c r="K264" s="20">
        <v>1</v>
      </c>
      <c r="N264" s="20">
        <v>0</v>
      </c>
      <c r="O264" s="20">
        <v>0</v>
      </c>
      <c r="Q264" s="20">
        <v>10</v>
      </c>
      <c r="W264" s="72" t="s">
        <v>77</v>
      </c>
      <c r="X264" s="72"/>
      <c r="BY264" s="22"/>
      <c r="BZ264" s="23"/>
      <c r="CI264" s="27"/>
      <c r="CJ264" s="27"/>
      <c r="CK264" s="42"/>
      <c r="CL264" s="42"/>
      <c r="CM264" s="24" t="s">
        <v>398</v>
      </c>
      <c r="CN264" s="43"/>
      <c r="CO264" s="72" t="s">
        <v>296</v>
      </c>
      <c r="CP264" s="27"/>
      <c r="CV264" s="25" t="s">
        <v>130</v>
      </c>
      <c r="CW264" s="22"/>
      <c r="CX264" s="22"/>
      <c r="CY264" s="22"/>
      <c r="CZ264" s="38"/>
    </row>
    <row r="265" spans="1:104">
      <c r="A265" s="71" t="s">
        <v>534</v>
      </c>
      <c r="B265" s="72" t="s">
        <v>78</v>
      </c>
      <c r="E265" s="20">
        <v>1</v>
      </c>
      <c r="H265" s="20">
        <v>4</v>
      </c>
      <c r="I265" s="72" t="s">
        <v>85</v>
      </c>
      <c r="J265" s="20">
        <v>1</v>
      </c>
      <c r="K265" s="20">
        <v>1</v>
      </c>
      <c r="N265" s="20">
        <v>0</v>
      </c>
      <c r="O265" s="20">
        <v>0</v>
      </c>
      <c r="Q265" s="20">
        <v>10</v>
      </c>
      <c r="W265" s="72" t="s">
        <v>77</v>
      </c>
      <c r="X265" s="72"/>
      <c r="BY265" s="22"/>
      <c r="BZ265" s="23"/>
      <c r="CI265" s="27"/>
      <c r="CJ265" s="27"/>
      <c r="CK265" s="42"/>
      <c r="CL265" s="42"/>
      <c r="CM265" s="24" t="s">
        <v>398</v>
      </c>
      <c r="CN265" s="43"/>
      <c r="CO265" s="72" t="s">
        <v>296</v>
      </c>
      <c r="CP265" s="27"/>
      <c r="CV265" s="25" t="s">
        <v>130</v>
      </c>
      <c r="CW265" s="22"/>
      <c r="CX265" s="22"/>
      <c r="CY265" s="22"/>
      <c r="CZ265" s="38"/>
    </row>
    <row r="266" spans="1:104">
      <c r="A266" s="71" t="s">
        <v>535</v>
      </c>
      <c r="B266" s="72" t="s">
        <v>78</v>
      </c>
      <c r="E266" s="20">
        <v>1</v>
      </c>
      <c r="H266" s="20">
        <v>4</v>
      </c>
      <c r="I266" s="72" t="s">
        <v>85</v>
      </c>
      <c r="J266" s="20">
        <v>1</v>
      </c>
      <c r="K266" s="20">
        <v>1</v>
      </c>
      <c r="N266" s="20">
        <v>0</v>
      </c>
      <c r="O266" s="20">
        <v>0</v>
      </c>
      <c r="Q266" s="20">
        <v>10</v>
      </c>
      <c r="W266" s="72" t="s">
        <v>77</v>
      </c>
      <c r="X266" s="72"/>
      <c r="BY266" s="22"/>
      <c r="BZ266" s="23"/>
      <c r="CI266" s="27"/>
      <c r="CJ266" s="27"/>
      <c r="CK266" s="42"/>
      <c r="CL266" s="42"/>
      <c r="CM266" s="24" t="s">
        <v>398</v>
      </c>
      <c r="CN266" s="43"/>
      <c r="CO266" s="72" t="s">
        <v>296</v>
      </c>
      <c r="CP266" s="27"/>
      <c r="CV266" s="25" t="s">
        <v>130</v>
      </c>
      <c r="CW266" s="22"/>
      <c r="CX266" s="22"/>
      <c r="CY266" s="22"/>
      <c r="CZ266" s="38"/>
    </row>
    <row r="267" spans="1:104">
      <c r="A267" s="71" t="s">
        <v>536</v>
      </c>
      <c r="B267" s="72" t="s">
        <v>78</v>
      </c>
      <c r="E267" s="20">
        <v>1</v>
      </c>
      <c r="H267" s="20">
        <v>4</v>
      </c>
      <c r="I267" s="72" t="s">
        <v>79</v>
      </c>
      <c r="J267" s="20">
        <v>1</v>
      </c>
      <c r="K267" s="20">
        <v>1</v>
      </c>
      <c r="N267" s="20">
        <v>0</v>
      </c>
      <c r="O267" s="20">
        <v>0</v>
      </c>
      <c r="Q267" s="20">
        <v>10</v>
      </c>
      <c r="W267" s="72" t="s">
        <v>77</v>
      </c>
      <c r="X267" s="72"/>
      <c r="BY267" s="22"/>
      <c r="BZ267" s="23"/>
      <c r="CI267" s="27"/>
      <c r="CJ267" s="27"/>
      <c r="CK267" s="42"/>
      <c r="CL267" s="42"/>
      <c r="CM267" s="24" t="s">
        <v>398</v>
      </c>
      <c r="CN267" s="43"/>
      <c r="CO267" s="72" t="s">
        <v>296</v>
      </c>
      <c r="CP267" s="27"/>
      <c r="CV267" s="25" t="s">
        <v>130</v>
      </c>
      <c r="CW267" s="22"/>
      <c r="CX267" s="22"/>
      <c r="CY267" s="22"/>
      <c r="CZ267" s="38"/>
    </row>
    <row r="268" spans="1:104">
      <c r="A268" s="71" t="s">
        <v>537</v>
      </c>
      <c r="B268" s="72" t="s">
        <v>78</v>
      </c>
      <c r="E268" s="20">
        <v>1</v>
      </c>
      <c r="H268" s="20">
        <v>4</v>
      </c>
      <c r="I268" s="72" t="s">
        <v>79</v>
      </c>
      <c r="J268" s="20">
        <v>1</v>
      </c>
      <c r="K268" s="20">
        <v>1</v>
      </c>
      <c r="N268" s="20">
        <v>0</v>
      </c>
      <c r="O268" s="20">
        <v>0</v>
      </c>
      <c r="Q268" s="20">
        <v>10</v>
      </c>
      <c r="W268" s="72" t="s">
        <v>77</v>
      </c>
      <c r="X268" s="72"/>
      <c r="BY268" s="22"/>
      <c r="BZ268" s="23"/>
      <c r="CI268" s="27"/>
      <c r="CJ268" s="27"/>
      <c r="CK268" s="42"/>
      <c r="CL268" s="42"/>
      <c r="CM268" s="24" t="s">
        <v>398</v>
      </c>
      <c r="CN268" s="43"/>
      <c r="CO268" s="72" t="s">
        <v>296</v>
      </c>
      <c r="CP268" s="27"/>
      <c r="CV268" s="25" t="s">
        <v>130</v>
      </c>
      <c r="CW268" s="22"/>
      <c r="CX268" s="22"/>
      <c r="CY268" s="22"/>
      <c r="CZ268" s="38"/>
    </row>
    <row r="269" spans="1:104">
      <c r="A269" s="71" t="s">
        <v>538</v>
      </c>
      <c r="B269" s="72" t="s">
        <v>78</v>
      </c>
      <c r="E269" s="20">
        <v>1</v>
      </c>
      <c r="H269" s="20">
        <v>4</v>
      </c>
      <c r="I269" s="72" t="s">
        <v>76</v>
      </c>
      <c r="J269" s="20">
        <v>1</v>
      </c>
      <c r="K269" s="20">
        <v>1</v>
      </c>
      <c r="N269" s="20">
        <v>0</v>
      </c>
      <c r="O269" s="20">
        <v>0</v>
      </c>
      <c r="Q269" s="20">
        <v>10</v>
      </c>
      <c r="W269" s="72" t="s">
        <v>77</v>
      </c>
      <c r="X269" s="72"/>
      <c r="BY269" s="22"/>
      <c r="BZ269" s="23"/>
      <c r="CI269" s="27"/>
      <c r="CJ269" s="27"/>
      <c r="CK269" s="42"/>
      <c r="CL269" s="42"/>
      <c r="CM269" s="24" t="s">
        <v>398</v>
      </c>
      <c r="CN269" s="43"/>
      <c r="CO269" s="72" t="s">
        <v>296</v>
      </c>
      <c r="CP269" s="27"/>
      <c r="CV269" s="25" t="s">
        <v>130</v>
      </c>
      <c r="CW269" s="22"/>
      <c r="CX269" s="22"/>
      <c r="CY269" s="22"/>
      <c r="CZ269" s="38"/>
    </row>
    <row r="270" spans="1:104">
      <c r="A270" s="71" t="s">
        <v>539</v>
      </c>
      <c r="B270" s="72" t="s">
        <v>78</v>
      </c>
      <c r="E270" s="20">
        <v>1</v>
      </c>
      <c r="H270" s="20">
        <v>4</v>
      </c>
      <c r="I270" s="72" t="s">
        <v>79</v>
      </c>
      <c r="J270" s="20">
        <v>1</v>
      </c>
      <c r="K270" s="20">
        <v>1</v>
      </c>
      <c r="N270" s="20">
        <v>0</v>
      </c>
      <c r="O270" s="20">
        <v>0</v>
      </c>
      <c r="Q270" s="20">
        <v>10</v>
      </c>
      <c r="W270" s="72" t="s">
        <v>77</v>
      </c>
      <c r="X270" s="72"/>
      <c r="BY270" s="22"/>
      <c r="BZ270" s="23"/>
      <c r="CI270" s="27"/>
      <c r="CJ270" s="27"/>
      <c r="CK270" s="42"/>
      <c r="CL270" s="42"/>
      <c r="CM270" s="24" t="s">
        <v>398</v>
      </c>
      <c r="CN270" s="43"/>
      <c r="CO270" s="72" t="s">
        <v>296</v>
      </c>
      <c r="CP270" s="27"/>
      <c r="CV270" s="25" t="s">
        <v>130</v>
      </c>
      <c r="CW270" s="22"/>
      <c r="CX270" s="22"/>
      <c r="CY270" s="22"/>
      <c r="CZ270" s="38"/>
    </row>
    <row r="271" spans="1:104">
      <c r="A271" s="71" t="s">
        <v>540</v>
      </c>
      <c r="B271" s="72" t="s">
        <v>78</v>
      </c>
      <c r="E271" s="20">
        <v>1</v>
      </c>
      <c r="H271" s="20">
        <v>4</v>
      </c>
      <c r="I271" s="72" t="s">
        <v>79</v>
      </c>
      <c r="J271" s="20">
        <v>1</v>
      </c>
      <c r="K271" s="20">
        <v>1</v>
      </c>
      <c r="N271" s="20">
        <v>0</v>
      </c>
      <c r="O271" s="20">
        <v>0</v>
      </c>
      <c r="Q271" s="20">
        <v>10</v>
      </c>
      <c r="W271" s="72" t="s">
        <v>77</v>
      </c>
      <c r="X271" s="72"/>
      <c r="BY271" s="22"/>
      <c r="BZ271" s="23"/>
      <c r="CI271" s="27"/>
      <c r="CJ271" s="27"/>
      <c r="CK271" s="42"/>
      <c r="CL271" s="42"/>
      <c r="CM271" s="24" t="s">
        <v>398</v>
      </c>
      <c r="CN271" s="43"/>
      <c r="CO271" s="72" t="s">
        <v>296</v>
      </c>
      <c r="CP271" s="27"/>
      <c r="CV271" s="25" t="s">
        <v>130</v>
      </c>
      <c r="CW271" s="22"/>
      <c r="CX271" s="22"/>
      <c r="CY271" s="22"/>
      <c r="CZ271" s="38"/>
    </row>
    <row r="272" spans="1:104">
      <c r="A272" s="71" t="s">
        <v>541</v>
      </c>
      <c r="B272" s="72" t="s">
        <v>78</v>
      </c>
      <c r="E272" s="20">
        <v>1</v>
      </c>
      <c r="H272" s="20">
        <v>4</v>
      </c>
      <c r="I272" s="72" t="s">
        <v>79</v>
      </c>
      <c r="J272" s="20">
        <v>1</v>
      </c>
      <c r="K272" s="20">
        <v>1</v>
      </c>
      <c r="N272" s="20">
        <v>0</v>
      </c>
      <c r="O272" s="20">
        <v>0</v>
      </c>
      <c r="Q272" s="20">
        <v>10</v>
      </c>
      <c r="W272" s="72" t="s">
        <v>77</v>
      </c>
      <c r="X272" s="72"/>
      <c r="BY272" s="22"/>
      <c r="BZ272" s="23"/>
      <c r="CI272" s="27"/>
      <c r="CJ272" s="27"/>
      <c r="CK272" s="42"/>
      <c r="CL272" s="42"/>
      <c r="CM272" s="24" t="s">
        <v>398</v>
      </c>
      <c r="CN272" s="43"/>
      <c r="CO272" s="72" t="s">
        <v>296</v>
      </c>
      <c r="CP272" s="27"/>
      <c r="CV272" s="25" t="s">
        <v>130</v>
      </c>
      <c r="CW272" s="22"/>
      <c r="CX272" s="22"/>
      <c r="CY272" s="22"/>
      <c r="CZ272" s="38"/>
    </row>
    <row r="273" spans="1:108">
      <c r="A273" s="71" t="s">
        <v>542</v>
      </c>
      <c r="B273" s="72" t="s">
        <v>78</v>
      </c>
      <c r="E273" s="20">
        <v>1</v>
      </c>
      <c r="H273" s="20">
        <v>4</v>
      </c>
      <c r="I273" s="72" t="s">
        <v>79</v>
      </c>
      <c r="J273" s="20">
        <v>1</v>
      </c>
      <c r="K273" s="20">
        <v>1</v>
      </c>
      <c r="N273" s="20">
        <v>0</v>
      </c>
      <c r="O273" s="20">
        <v>0</v>
      </c>
      <c r="Q273" s="20">
        <v>10</v>
      </c>
      <c r="W273" s="72" t="s">
        <v>77</v>
      </c>
      <c r="X273" s="72"/>
      <c r="BY273" s="22"/>
      <c r="BZ273" s="23"/>
      <c r="CI273" s="27"/>
      <c r="CJ273" s="27"/>
      <c r="CK273" s="42"/>
      <c r="CL273" s="42"/>
      <c r="CM273" s="24" t="s">
        <v>398</v>
      </c>
      <c r="CN273" s="43"/>
      <c r="CO273" s="72" t="s">
        <v>296</v>
      </c>
      <c r="CP273" s="27"/>
      <c r="CV273" s="25" t="s">
        <v>130</v>
      </c>
      <c r="CW273" s="22"/>
      <c r="CX273" s="22"/>
      <c r="CY273" s="22"/>
      <c r="CZ273" s="38"/>
    </row>
    <row r="274" spans="1:108">
      <c r="A274" s="71" t="s">
        <v>543</v>
      </c>
      <c r="B274" s="72" t="s">
        <v>78</v>
      </c>
      <c r="E274" s="20">
        <v>1</v>
      </c>
      <c r="H274" s="20">
        <v>4</v>
      </c>
      <c r="I274" s="72" t="s">
        <v>79</v>
      </c>
      <c r="J274" s="20">
        <v>1</v>
      </c>
      <c r="K274" s="20">
        <v>1</v>
      </c>
      <c r="N274" s="20">
        <v>0</v>
      </c>
      <c r="O274" s="20">
        <v>0</v>
      </c>
      <c r="Q274" s="20">
        <v>10</v>
      </c>
      <c r="W274" s="72" t="s">
        <v>77</v>
      </c>
      <c r="X274" s="72"/>
      <c r="BY274" s="22"/>
      <c r="BZ274" s="23"/>
      <c r="CI274" s="27"/>
      <c r="CJ274" s="27"/>
      <c r="CK274" s="42"/>
      <c r="CL274" s="42"/>
      <c r="CM274" s="24" t="s">
        <v>398</v>
      </c>
      <c r="CN274" s="43"/>
      <c r="CO274" s="72" t="s">
        <v>296</v>
      </c>
      <c r="CP274" s="27"/>
      <c r="CV274" s="25" t="s">
        <v>130</v>
      </c>
      <c r="CW274" s="22"/>
      <c r="CX274" s="22"/>
      <c r="CY274" s="22"/>
      <c r="CZ274" s="38"/>
    </row>
    <row r="275" spans="1:108">
      <c r="A275" s="71" t="s">
        <v>544</v>
      </c>
      <c r="B275" s="72" t="s">
        <v>78</v>
      </c>
      <c r="E275" s="20">
        <v>1</v>
      </c>
      <c r="H275" s="20">
        <v>4</v>
      </c>
      <c r="I275" s="72" t="s">
        <v>79</v>
      </c>
      <c r="J275" s="20">
        <v>1</v>
      </c>
      <c r="K275" s="20">
        <v>1</v>
      </c>
      <c r="N275" s="20">
        <v>0</v>
      </c>
      <c r="O275" s="20">
        <v>0</v>
      </c>
      <c r="Q275" s="20">
        <v>10</v>
      </c>
      <c r="W275" s="72" t="s">
        <v>77</v>
      </c>
      <c r="X275" s="72"/>
      <c r="BY275" s="22"/>
      <c r="BZ275" s="23"/>
      <c r="CI275" s="27"/>
      <c r="CJ275" s="27"/>
      <c r="CK275" s="42"/>
      <c r="CL275" s="42"/>
      <c r="CM275" s="24" t="s">
        <v>398</v>
      </c>
      <c r="CN275" s="43"/>
      <c r="CO275" s="72" t="s">
        <v>296</v>
      </c>
      <c r="CP275" s="27"/>
      <c r="CV275" s="25" t="s">
        <v>130</v>
      </c>
      <c r="CW275" s="22"/>
      <c r="CX275" s="22"/>
      <c r="CY275" s="22"/>
      <c r="CZ275" s="38"/>
    </row>
    <row r="276" spans="1:108">
      <c r="A276" s="71" t="s">
        <v>545</v>
      </c>
      <c r="B276" s="72" t="s">
        <v>78</v>
      </c>
      <c r="E276" s="20">
        <v>1</v>
      </c>
      <c r="H276" s="20">
        <v>4</v>
      </c>
      <c r="I276" s="72" t="s">
        <v>76</v>
      </c>
      <c r="J276" s="20">
        <v>1</v>
      </c>
      <c r="K276" s="20">
        <v>1</v>
      </c>
      <c r="N276" s="20">
        <v>0</v>
      </c>
      <c r="O276" s="20">
        <v>0</v>
      </c>
      <c r="Q276" s="20">
        <v>10</v>
      </c>
      <c r="W276" s="72" t="s">
        <v>77</v>
      </c>
      <c r="X276" s="72"/>
      <c r="BY276" s="22"/>
      <c r="BZ276" s="23"/>
      <c r="CI276" s="27"/>
      <c r="CJ276" s="27"/>
      <c r="CK276" s="42"/>
      <c r="CL276" s="42"/>
      <c r="CM276" s="24" t="s">
        <v>398</v>
      </c>
      <c r="CN276" s="43"/>
      <c r="CO276" s="72" t="s">
        <v>296</v>
      </c>
      <c r="CP276" s="27"/>
      <c r="CV276" s="25" t="s">
        <v>130</v>
      </c>
      <c r="CW276" s="22"/>
      <c r="CX276" s="22"/>
      <c r="CY276" s="22"/>
      <c r="CZ276" s="38"/>
    </row>
    <row r="277" spans="1:108">
      <c r="A277" s="71" t="s">
        <v>546</v>
      </c>
      <c r="B277" s="72" t="s">
        <v>78</v>
      </c>
      <c r="E277" s="20">
        <v>1</v>
      </c>
      <c r="H277" s="20">
        <v>4</v>
      </c>
      <c r="I277" s="72" t="s">
        <v>76</v>
      </c>
      <c r="J277" s="20">
        <v>1</v>
      </c>
      <c r="K277" s="20">
        <v>1</v>
      </c>
      <c r="N277" s="20">
        <v>0</v>
      </c>
      <c r="O277" s="20">
        <v>0</v>
      </c>
      <c r="Q277" s="20">
        <v>10</v>
      </c>
      <c r="W277" s="72" t="s">
        <v>77</v>
      </c>
      <c r="X277" s="72"/>
      <c r="BY277" s="22"/>
      <c r="BZ277" s="23"/>
      <c r="CI277" s="27"/>
      <c r="CJ277" s="27"/>
      <c r="CK277" s="42"/>
      <c r="CL277" s="42"/>
      <c r="CM277" s="24" t="s">
        <v>398</v>
      </c>
      <c r="CN277" s="43"/>
      <c r="CO277" s="72" t="s">
        <v>296</v>
      </c>
      <c r="CP277" s="27"/>
      <c r="CV277" s="25" t="s">
        <v>130</v>
      </c>
      <c r="CW277" s="22"/>
      <c r="CX277" s="22"/>
      <c r="CY277" s="22"/>
      <c r="CZ277" s="38"/>
    </row>
    <row r="278" spans="1:108">
      <c r="A278" s="71" t="s">
        <v>547</v>
      </c>
      <c r="B278" s="72" t="s">
        <v>78</v>
      </c>
      <c r="E278" s="20">
        <v>1</v>
      </c>
      <c r="H278" s="20">
        <v>4</v>
      </c>
      <c r="I278" s="72" t="s">
        <v>85</v>
      </c>
      <c r="J278" s="20">
        <v>1</v>
      </c>
      <c r="K278" s="20">
        <v>1</v>
      </c>
      <c r="N278" s="20">
        <v>0</v>
      </c>
      <c r="O278" s="20">
        <v>0</v>
      </c>
      <c r="Q278" s="20">
        <v>10</v>
      </c>
      <c r="W278" s="72" t="s">
        <v>77</v>
      </c>
      <c r="X278" s="72"/>
      <c r="BY278" s="22"/>
      <c r="BZ278" s="23"/>
      <c r="CI278" s="27"/>
      <c r="CJ278" s="27"/>
      <c r="CK278" s="42"/>
      <c r="CL278" s="42"/>
      <c r="CM278" s="24" t="s">
        <v>398</v>
      </c>
      <c r="CN278" s="43"/>
      <c r="CO278" s="72" t="s">
        <v>296</v>
      </c>
      <c r="CP278" s="27"/>
      <c r="CV278" s="25" t="s">
        <v>130</v>
      </c>
      <c r="CW278" s="22"/>
      <c r="CX278" s="22"/>
      <c r="CY278" s="22"/>
      <c r="CZ278" s="38"/>
    </row>
    <row r="279" spans="1:108">
      <c r="A279" s="71" t="s">
        <v>548</v>
      </c>
      <c r="B279" s="72" t="s">
        <v>78</v>
      </c>
      <c r="E279" s="20">
        <v>1</v>
      </c>
      <c r="H279" s="20">
        <v>4</v>
      </c>
      <c r="I279" s="72" t="s">
        <v>85</v>
      </c>
      <c r="J279" s="20">
        <v>1</v>
      </c>
      <c r="K279" s="20">
        <v>1</v>
      </c>
      <c r="N279" s="20">
        <v>0</v>
      </c>
      <c r="O279" s="20">
        <v>0</v>
      </c>
      <c r="Q279" s="20">
        <v>10</v>
      </c>
      <c r="W279" s="72" t="s">
        <v>77</v>
      </c>
      <c r="X279" s="72"/>
      <c r="BY279" s="22"/>
      <c r="BZ279" s="23"/>
      <c r="CI279" s="27"/>
      <c r="CJ279" s="27"/>
      <c r="CK279" s="42"/>
      <c r="CL279" s="42"/>
      <c r="CM279" s="24" t="s">
        <v>398</v>
      </c>
      <c r="CN279" s="43"/>
      <c r="CO279" s="72" t="s">
        <v>296</v>
      </c>
      <c r="CP279" s="27"/>
      <c r="CV279" s="25" t="s">
        <v>130</v>
      </c>
      <c r="CW279" s="22"/>
      <c r="CX279" s="22"/>
      <c r="CY279" s="22"/>
      <c r="CZ279" s="38"/>
    </row>
    <row r="280" spans="1:108">
      <c r="A280" s="71" t="s">
        <v>549</v>
      </c>
      <c r="B280" s="72" t="s">
        <v>78</v>
      </c>
      <c r="E280" s="20">
        <v>1</v>
      </c>
      <c r="H280" s="20">
        <v>4</v>
      </c>
      <c r="I280" s="72" t="s">
        <v>85</v>
      </c>
      <c r="J280" s="20">
        <v>1</v>
      </c>
      <c r="K280" s="20">
        <v>1</v>
      </c>
      <c r="N280" s="20">
        <v>0</v>
      </c>
      <c r="O280" s="20">
        <v>0</v>
      </c>
      <c r="Q280" s="20">
        <v>10</v>
      </c>
      <c r="W280" s="72" t="s">
        <v>77</v>
      </c>
      <c r="X280" s="72"/>
      <c r="BY280" s="22"/>
      <c r="BZ280" s="23"/>
      <c r="CI280" s="27"/>
      <c r="CJ280" s="27"/>
      <c r="CK280" s="42"/>
      <c r="CL280" s="42"/>
      <c r="CM280" s="24" t="s">
        <v>398</v>
      </c>
      <c r="CN280" s="43"/>
      <c r="CO280" s="72" t="s">
        <v>296</v>
      </c>
      <c r="CP280" s="27"/>
      <c r="CV280" s="25" t="s">
        <v>130</v>
      </c>
      <c r="CW280" s="22"/>
      <c r="CX280" s="22"/>
      <c r="CY280" s="22"/>
      <c r="CZ280" s="38"/>
    </row>
    <row r="281" spans="1:108">
      <c r="A281" s="71" t="s">
        <v>550</v>
      </c>
      <c r="B281" s="72" t="s">
        <v>78</v>
      </c>
      <c r="E281" s="20">
        <v>1</v>
      </c>
      <c r="H281" s="20">
        <v>4</v>
      </c>
      <c r="I281" s="72" t="s">
        <v>85</v>
      </c>
      <c r="J281" s="20">
        <v>1</v>
      </c>
      <c r="K281" s="20">
        <v>1</v>
      </c>
      <c r="N281" s="20">
        <v>0</v>
      </c>
      <c r="O281" s="20">
        <v>0</v>
      </c>
      <c r="Q281" s="20">
        <v>10</v>
      </c>
      <c r="W281" s="72" t="s">
        <v>77</v>
      </c>
      <c r="X281" s="72"/>
      <c r="BY281" s="22"/>
      <c r="BZ281" s="23"/>
      <c r="CI281" s="27"/>
      <c r="CJ281" s="27"/>
      <c r="CK281" s="42"/>
      <c r="CL281" s="42"/>
      <c r="CM281" s="24" t="s">
        <v>398</v>
      </c>
      <c r="CN281" s="43"/>
      <c r="CO281" s="72" t="s">
        <v>296</v>
      </c>
      <c r="CP281" s="27"/>
      <c r="CV281" s="25" t="s">
        <v>130</v>
      </c>
      <c r="CW281" s="22"/>
      <c r="CX281" s="22"/>
      <c r="CY281" s="22"/>
      <c r="CZ281" s="38"/>
    </row>
    <row r="282" spans="1:108">
      <c r="A282" s="16" t="s">
        <v>169</v>
      </c>
      <c r="B282" s="16"/>
      <c r="C282" s="17" t="s">
        <v>170</v>
      </c>
      <c r="D282" s="20">
        <v>1</v>
      </c>
      <c r="E282" s="16">
        <v>1</v>
      </c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8"/>
      <c r="BZ282" s="19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3"/>
      <c r="CL282" s="42"/>
      <c r="CM282" s="43"/>
      <c r="CN282" s="43"/>
      <c r="CO282" s="21"/>
      <c r="CP282" s="16">
        <v>0</v>
      </c>
      <c r="CQ282" s="16"/>
      <c r="CR282" s="16"/>
      <c r="CS282" s="16"/>
      <c r="CT282" s="16"/>
      <c r="CU282" s="16"/>
      <c r="CV282" s="21"/>
      <c r="CW282" s="16"/>
      <c r="CX282" s="16"/>
      <c r="CY282" s="16"/>
      <c r="CZ282" s="16"/>
      <c r="DA282" s="16"/>
      <c r="DB282" s="16"/>
      <c r="DC282" s="16"/>
      <c r="DD282" s="16"/>
    </row>
    <row r="283" spans="1:108">
      <c r="A283" s="1" t="s">
        <v>248</v>
      </c>
      <c r="B283" s="20" t="s">
        <v>169</v>
      </c>
      <c r="H283" s="20">
        <v>-1</v>
      </c>
      <c r="S283" s="64">
        <v>3</v>
      </c>
      <c r="CK283" s="20"/>
      <c r="CL283" s="20"/>
      <c r="CM283" s="20"/>
      <c r="CN283" s="20"/>
      <c r="CV283" s="20"/>
    </row>
    <row r="284" spans="1:108">
      <c r="A284" s="1" t="s">
        <v>249</v>
      </c>
      <c r="B284" s="20" t="s">
        <v>169</v>
      </c>
      <c r="S284" s="64">
        <v>2</v>
      </c>
      <c r="CK284" s="20"/>
      <c r="CL284" s="20" t="s">
        <v>250</v>
      </c>
      <c r="CM284" s="20"/>
      <c r="CN284" s="20"/>
      <c r="CV284" s="20"/>
    </row>
    <row r="285" spans="1:108">
      <c r="A285" s="1" t="s">
        <v>251</v>
      </c>
      <c r="B285" s="20" t="s">
        <v>169</v>
      </c>
      <c r="S285" s="64">
        <v>3</v>
      </c>
      <c r="CK285" s="20"/>
      <c r="CL285" s="20" t="s">
        <v>318</v>
      </c>
      <c r="CM285" s="20"/>
      <c r="CN285" s="20"/>
      <c r="CV285" s="20"/>
    </row>
    <row r="286" spans="1:108">
      <c r="A286" s="1" t="s">
        <v>312</v>
      </c>
      <c r="B286" s="20" t="s">
        <v>169</v>
      </c>
      <c r="S286" s="64">
        <v>2</v>
      </c>
      <c r="CK286" s="20"/>
      <c r="CL286" s="20" t="s">
        <v>388</v>
      </c>
      <c r="CM286" s="20"/>
      <c r="CN286" s="20"/>
      <c r="CV286" s="20"/>
    </row>
    <row r="287" spans="1:108">
      <c r="A287" s="1" t="s">
        <v>313</v>
      </c>
      <c r="B287" s="20" t="s">
        <v>169</v>
      </c>
      <c r="S287" s="64">
        <v>2</v>
      </c>
      <c r="CK287" s="20"/>
      <c r="CL287" s="20" t="s">
        <v>341</v>
      </c>
      <c r="CM287" s="20"/>
      <c r="CN287" s="20"/>
      <c r="CV287" s="20"/>
    </row>
    <row r="288" spans="1:108">
      <c r="A288" s="1" t="s">
        <v>316</v>
      </c>
      <c r="B288" s="20" t="s">
        <v>169</v>
      </c>
      <c r="S288" s="64">
        <v>2</v>
      </c>
      <c r="CK288" s="20"/>
      <c r="CL288" s="20" t="s">
        <v>342</v>
      </c>
      <c r="CM288" s="20"/>
      <c r="CN288" s="20"/>
      <c r="CV288" s="20"/>
    </row>
    <row r="289" spans="1:100">
      <c r="A289" s="1" t="s">
        <v>314</v>
      </c>
      <c r="B289" s="20" t="s">
        <v>169</v>
      </c>
      <c r="S289" s="64">
        <v>3</v>
      </c>
      <c r="CK289" s="20"/>
      <c r="CL289" s="20" t="s">
        <v>389</v>
      </c>
      <c r="CM289" s="20"/>
      <c r="CN289" s="20"/>
      <c r="CV289" s="20"/>
    </row>
    <row r="290" spans="1:100">
      <c r="A290" s="1" t="s">
        <v>315</v>
      </c>
      <c r="B290" s="20" t="s">
        <v>169</v>
      </c>
      <c r="S290" s="64">
        <v>3</v>
      </c>
      <c r="CK290" s="20"/>
      <c r="CL290" s="20" t="s">
        <v>343</v>
      </c>
      <c r="CM290" s="20"/>
      <c r="CN290" s="20"/>
      <c r="CV290" s="20"/>
    </row>
    <row r="291" spans="1:100">
      <c r="A291" s="1" t="s">
        <v>317</v>
      </c>
      <c r="B291" s="20" t="s">
        <v>169</v>
      </c>
      <c r="S291" s="64">
        <v>3</v>
      </c>
      <c r="CK291" s="20"/>
      <c r="CL291" s="20" t="s">
        <v>344</v>
      </c>
      <c r="CM291" s="20"/>
      <c r="CN291" s="20"/>
      <c r="CV291" s="20"/>
    </row>
    <row r="292" spans="1:100">
      <c r="A292" s="1" t="s">
        <v>348</v>
      </c>
      <c r="B292" s="20" t="s">
        <v>169</v>
      </c>
      <c r="S292" s="64">
        <v>2</v>
      </c>
      <c r="CK292" s="20"/>
      <c r="CL292" s="20" t="s">
        <v>350</v>
      </c>
      <c r="CM292" s="20"/>
      <c r="CN292" s="20"/>
      <c r="CV292" s="20"/>
    </row>
    <row r="293" spans="1:100">
      <c r="A293" s="1" t="s">
        <v>349</v>
      </c>
      <c r="B293" s="20" t="s">
        <v>169</v>
      </c>
      <c r="S293" s="64">
        <v>3</v>
      </c>
      <c r="CK293" s="20"/>
      <c r="CL293" s="20" t="s">
        <v>351</v>
      </c>
      <c r="CM293" s="20"/>
      <c r="CN293" s="20"/>
      <c r="CV293" s="20"/>
    </row>
    <row r="294" spans="1:100">
      <c r="A294" s="1" t="s">
        <v>358</v>
      </c>
      <c r="B294" s="20" t="s">
        <v>169</v>
      </c>
      <c r="S294" s="64">
        <v>2</v>
      </c>
      <c r="CK294" s="20"/>
      <c r="CL294" s="20" t="s">
        <v>361</v>
      </c>
      <c r="CM294" s="20"/>
      <c r="CN294" s="20"/>
      <c r="CV294" s="20"/>
    </row>
    <row r="295" spans="1:100">
      <c r="A295" s="1" t="s">
        <v>359</v>
      </c>
      <c r="B295" s="20" t="s">
        <v>169</v>
      </c>
      <c r="S295" s="64">
        <v>3</v>
      </c>
      <c r="CK295" s="20"/>
      <c r="CL295" s="20" t="s">
        <v>360</v>
      </c>
      <c r="CM295" s="20"/>
      <c r="CN295" s="20"/>
      <c r="CV295" s="20"/>
    </row>
    <row r="296" spans="1:100">
      <c r="A296" s="1" t="s">
        <v>362</v>
      </c>
      <c r="B296" s="20" t="s">
        <v>169</v>
      </c>
      <c r="S296" s="64">
        <v>2</v>
      </c>
      <c r="CK296" s="20"/>
      <c r="CL296" s="20" t="s">
        <v>364</v>
      </c>
      <c r="CM296" s="20"/>
      <c r="CN296" s="20"/>
      <c r="CV296" s="20"/>
    </row>
    <row r="297" spans="1:100">
      <c r="A297" s="1" t="s">
        <v>363</v>
      </c>
      <c r="B297" s="20" t="s">
        <v>169</v>
      </c>
      <c r="S297" s="64">
        <v>3</v>
      </c>
      <c r="CK297" s="20"/>
      <c r="CL297" s="20" t="s">
        <v>365</v>
      </c>
      <c r="CM297" s="20"/>
      <c r="CN297" s="20"/>
      <c r="CV297" s="20"/>
    </row>
    <row r="298" spans="1:100">
      <c r="A298" s="1" t="s">
        <v>368</v>
      </c>
      <c r="B298" s="20" t="s">
        <v>169</v>
      </c>
      <c r="S298" s="64">
        <v>2</v>
      </c>
      <c r="CK298" s="20"/>
      <c r="CL298" s="20" t="s">
        <v>367</v>
      </c>
      <c r="CM298" s="20"/>
      <c r="CN298" s="20"/>
      <c r="CV298" s="20"/>
    </row>
    <row r="299" spans="1:100">
      <c r="A299" s="1" t="s">
        <v>369</v>
      </c>
      <c r="B299" s="20" t="s">
        <v>169</v>
      </c>
      <c r="S299" s="64">
        <v>3</v>
      </c>
      <c r="CK299" s="20"/>
      <c r="CL299" s="20" t="s">
        <v>366</v>
      </c>
      <c r="CM299" s="20"/>
      <c r="CN299" s="20"/>
      <c r="CV299" s="20"/>
    </row>
    <row r="300" spans="1:100">
      <c r="A300" s="1" t="s">
        <v>252</v>
      </c>
      <c r="B300" s="20" t="s">
        <v>169</v>
      </c>
      <c r="S300" s="64">
        <v>2</v>
      </c>
      <c r="AG300" s="20">
        <v>1</v>
      </c>
      <c r="CK300" s="20"/>
      <c r="CL300" s="20"/>
      <c r="CM300" s="20"/>
      <c r="CN300" s="20"/>
      <c r="CV300" s="20"/>
    </row>
    <row r="301" spans="1:100">
      <c r="A301" s="1" t="s">
        <v>253</v>
      </c>
      <c r="B301" s="20" t="s">
        <v>169</v>
      </c>
      <c r="S301" s="64">
        <v>2</v>
      </c>
      <c r="AH301" s="20">
        <v>1</v>
      </c>
      <c r="CK301" s="20"/>
      <c r="CL301" s="20"/>
      <c r="CM301" s="20"/>
      <c r="CN301" s="20"/>
      <c r="CV301" s="20"/>
    </row>
    <row r="302" spans="1:100">
      <c r="A302" s="1" t="s">
        <v>254</v>
      </c>
      <c r="B302" s="20" t="s">
        <v>169</v>
      </c>
      <c r="S302" s="64">
        <v>2</v>
      </c>
      <c r="AI302" s="20">
        <v>1</v>
      </c>
      <c r="CK302" s="20"/>
      <c r="CL302" s="20"/>
      <c r="CM302" s="20"/>
      <c r="CN302" s="20"/>
      <c r="CV302" s="20"/>
    </row>
    <row r="303" spans="1:100">
      <c r="A303" s="1" t="s">
        <v>255</v>
      </c>
      <c r="B303" s="20" t="s">
        <v>169</v>
      </c>
      <c r="S303" s="64">
        <v>2</v>
      </c>
      <c r="AJ303" s="20">
        <v>1</v>
      </c>
      <c r="CK303" s="20"/>
      <c r="CL303" s="20"/>
      <c r="CM303" s="20"/>
      <c r="CN303" s="20"/>
      <c r="CV303" s="20"/>
    </row>
    <row r="304" spans="1:100">
      <c r="A304" s="1" t="s">
        <v>256</v>
      </c>
      <c r="B304" s="20" t="s">
        <v>169</v>
      </c>
      <c r="S304" s="64">
        <v>2</v>
      </c>
      <c r="AL304" s="20">
        <v>1</v>
      </c>
      <c r="CK304" s="20"/>
      <c r="CL304" s="20"/>
      <c r="CM304" s="20"/>
      <c r="CN304" s="20"/>
      <c r="CV304" s="20"/>
    </row>
    <row r="305" spans="1:104">
      <c r="A305" s="1" t="s">
        <v>302</v>
      </c>
      <c r="B305" s="20" t="s">
        <v>169</v>
      </c>
      <c r="S305" s="64">
        <v>2</v>
      </c>
      <c r="AM305" s="20">
        <v>1</v>
      </c>
      <c r="CK305" s="20"/>
      <c r="CL305" s="20"/>
      <c r="CM305" s="20"/>
      <c r="CN305" s="20"/>
      <c r="CV305" s="20"/>
    </row>
    <row r="306" spans="1:104">
      <c r="A306" s="1" t="s">
        <v>257</v>
      </c>
      <c r="B306" s="20" t="s">
        <v>169</v>
      </c>
      <c r="S306" s="64">
        <v>2</v>
      </c>
      <c r="AX306" s="20">
        <v>1</v>
      </c>
      <c r="CK306" s="20"/>
      <c r="CL306" s="20"/>
      <c r="CM306" s="20"/>
      <c r="CN306" s="20"/>
      <c r="CV306" s="20"/>
    </row>
    <row r="307" spans="1:104">
      <c r="A307" s="1" t="s">
        <v>258</v>
      </c>
      <c r="B307" s="20" t="s">
        <v>169</v>
      </c>
      <c r="S307" s="64">
        <v>2</v>
      </c>
      <c r="BA307" s="20">
        <v>1</v>
      </c>
      <c r="CK307" s="20"/>
      <c r="CL307" s="20"/>
      <c r="CM307" s="20"/>
      <c r="CN307" s="20"/>
      <c r="CV307" s="20"/>
    </row>
    <row r="308" spans="1:104">
      <c r="A308" s="1" t="s">
        <v>259</v>
      </c>
      <c r="B308" s="20" t="s">
        <v>169</v>
      </c>
      <c r="S308" s="64">
        <v>2</v>
      </c>
      <c r="AZ308" s="20">
        <v>1</v>
      </c>
      <c r="CK308" s="20"/>
      <c r="CL308" s="20"/>
      <c r="CM308" s="20"/>
      <c r="CN308" s="20"/>
      <c r="CV308" s="20"/>
    </row>
    <row r="309" spans="1:104">
      <c r="A309" s="1" t="s">
        <v>260</v>
      </c>
      <c r="B309" s="20" t="s">
        <v>169</v>
      </c>
      <c r="S309" s="64">
        <v>2</v>
      </c>
      <c r="AY309" s="20">
        <v>1</v>
      </c>
      <c r="CK309" s="20"/>
      <c r="CL309" s="20"/>
      <c r="CM309" s="20"/>
      <c r="CN309" s="20"/>
      <c r="CV309" s="20"/>
    </row>
    <row r="310" spans="1:104">
      <c r="A310" s="1" t="s">
        <v>261</v>
      </c>
      <c r="B310" s="20" t="s">
        <v>169</v>
      </c>
      <c r="S310" s="64">
        <v>2</v>
      </c>
      <c r="CK310" s="20"/>
      <c r="CL310" s="20"/>
      <c r="CM310" s="20"/>
      <c r="CN310" s="20"/>
      <c r="CV310" s="20"/>
    </row>
    <row r="311" spans="1:104">
      <c r="A311" s="1" t="s">
        <v>262</v>
      </c>
      <c r="B311" s="20" t="s">
        <v>169</v>
      </c>
      <c r="S311" s="64">
        <v>2</v>
      </c>
      <c r="AW311" s="20">
        <v>1</v>
      </c>
      <c r="CK311" s="20"/>
      <c r="CL311" s="20"/>
      <c r="CM311" s="20"/>
      <c r="CN311" s="20"/>
      <c r="CV311" s="20"/>
    </row>
    <row r="312" spans="1:104">
      <c r="A312" s="1" t="s">
        <v>171</v>
      </c>
      <c r="B312" s="20" t="s">
        <v>169</v>
      </c>
      <c r="C312" s="37"/>
      <c r="L312" s="20">
        <v>10</v>
      </c>
      <c r="S312" s="64">
        <v>2</v>
      </c>
      <c r="CZ312" s="38"/>
    </row>
    <row r="313" spans="1:104">
      <c r="A313" s="1" t="s">
        <v>229</v>
      </c>
      <c r="B313" s="20" t="s">
        <v>169</v>
      </c>
      <c r="C313" s="37"/>
      <c r="L313" s="20">
        <v>20</v>
      </c>
      <c r="S313" s="64">
        <v>3</v>
      </c>
      <c r="CZ313" s="38"/>
    </row>
    <row r="314" spans="1:104">
      <c r="A314" s="1" t="s">
        <v>230</v>
      </c>
      <c r="B314" s="20" t="s">
        <v>169</v>
      </c>
      <c r="C314" s="37"/>
      <c r="L314" s="20">
        <v>30</v>
      </c>
      <c r="S314" s="64">
        <v>4</v>
      </c>
      <c r="CZ314" s="38"/>
    </row>
    <row r="315" spans="1:104">
      <c r="A315" s="26" t="s">
        <v>227</v>
      </c>
      <c r="B315" s="20" t="s">
        <v>169</v>
      </c>
      <c r="C315" s="37"/>
      <c r="S315" s="64">
        <v>1</v>
      </c>
      <c r="AR315" s="20">
        <v>1</v>
      </c>
      <c r="CZ315" s="38"/>
    </row>
    <row r="316" spans="1:104">
      <c r="A316" s="26" t="s">
        <v>232</v>
      </c>
      <c r="B316" s="20" t="s">
        <v>169</v>
      </c>
      <c r="C316" s="37"/>
      <c r="S316" s="64">
        <v>2</v>
      </c>
      <c r="AR316" s="20">
        <v>2</v>
      </c>
      <c r="CZ316" s="38"/>
    </row>
    <row r="317" spans="1:104">
      <c r="A317" s="1" t="s">
        <v>231</v>
      </c>
      <c r="B317" s="20" t="s">
        <v>169</v>
      </c>
      <c r="C317" s="37"/>
      <c r="O317" s="20">
        <v>1</v>
      </c>
      <c r="S317" s="64">
        <v>2</v>
      </c>
      <c r="CZ317" s="38"/>
    </row>
    <row r="318" spans="1:104">
      <c r="A318" s="1" t="s">
        <v>233</v>
      </c>
      <c r="B318" s="20" t="s">
        <v>169</v>
      </c>
      <c r="C318" s="37"/>
      <c r="O318" s="20">
        <v>2</v>
      </c>
      <c r="S318" s="64">
        <v>3</v>
      </c>
      <c r="CZ318" s="38"/>
    </row>
    <row r="319" spans="1:104">
      <c r="A319" s="1" t="s">
        <v>603</v>
      </c>
      <c r="B319" s="20" t="s">
        <v>169</v>
      </c>
      <c r="C319" s="37"/>
      <c r="O319" s="20">
        <v>4</v>
      </c>
      <c r="S319" s="64">
        <v>3</v>
      </c>
      <c r="CZ319" s="38"/>
    </row>
    <row r="320" spans="1:104">
      <c r="A320" s="1" t="s">
        <v>604</v>
      </c>
      <c r="B320" s="20" t="s">
        <v>169</v>
      </c>
      <c r="C320" s="37"/>
      <c r="O320" s="20">
        <v>6</v>
      </c>
      <c r="S320" s="64">
        <v>4</v>
      </c>
      <c r="CZ320" s="38"/>
    </row>
    <row r="321" spans="1:104">
      <c r="A321" s="1" t="s">
        <v>605</v>
      </c>
      <c r="B321" s="20" t="s">
        <v>169</v>
      </c>
      <c r="C321" s="37"/>
      <c r="O321" s="20">
        <v>8</v>
      </c>
      <c r="S321" s="64">
        <v>5</v>
      </c>
      <c r="CZ321" s="38"/>
    </row>
    <row r="322" spans="1:104">
      <c r="A322" s="26" t="s">
        <v>228</v>
      </c>
      <c r="B322" s="20" t="s">
        <v>169</v>
      </c>
      <c r="C322" s="37"/>
      <c r="S322" s="64">
        <v>4</v>
      </c>
      <c r="CD322" s="20">
        <v>1</v>
      </c>
      <c r="CZ322" s="38"/>
    </row>
    <row r="323" spans="1:104">
      <c r="A323" s="26" t="s">
        <v>234</v>
      </c>
      <c r="B323" s="20" t="s">
        <v>169</v>
      </c>
      <c r="C323" s="37"/>
      <c r="S323" s="64">
        <v>5</v>
      </c>
      <c r="CD323" s="20">
        <v>2</v>
      </c>
      <c r="CZ323" s="38"/>
    </row>
    <row r="324" spans="1:104">
      <c r="A324" s="1" t="s">
        <v>172</v>
      </c>
      <c r="B324" s="20" t="s">
        <v>169</v>
      </c>
      <c r="C324" s="37"/>
      <c r="S324" s="64">
        <v>3</v>
      </c>
      <c r="CZ324" s="38"/>
    </row>
    <row r="325" spans="1:104">
      <c r="A325" s="1" t="s">
        <v>226</v>
      </c>
      <c r="B325" s="20" t="s">
        <v>169</v>
      </c>
      <c r="C325" s="37"/>
      <c r="Q325" s="20">
        <v>2</v>
      </c>
      <c r="S325" s="64">
        <v>1</v>
      </c>
      <c r="CZ325" s="38"/>
    </row>
    <row r="326" spans="1:104">
      <c r="A326" s="1" t="s">
        <v>173</v>
      </c>
      <c r="B326" s="20" t="s">
        <v>169</v>
      </c>
      <c r="C326" s="37"/>
      <c r="S326" s="64">
        <v>4</v>
      </c>
      <c r="AA326" s="20">
        <v>3</v>
      </c>
      <c r="CZ326" s="38"/>
    </row>
    <row r="327" spans="1:104">
      <c r="A327" s="1" t="s">
        <v>174</v>
      </c>
      <c r="B327" s="20" t="s">
        <v>169</v>
      </c>
      <c r="C327" s="37"/>
      <c r="S327" s="64">
        <v>4</v>
      </c>
      <c r="AB327" s="20">
        <v>3</v>
      </c>
      <c r="CK327" s="20"/>
      <c r="CL327" s="20"/>
      <c r="CM327" s="20"/>
      <c r="CN327" s="20"/>
      <c r="CV327" s="20"/>
      <c r="CZ327" s="38"/>
    </row>
    <row r="328" spans="1:104">
      <c r="A328" s="1" t="s">
        <v>175</v>
      </c>
      <c r="B328" s="20" t="s">
        <v>169</v>
      </c>
      <c r="C328" s="37"/>
      <c r="S328" s="64">
        <v>4</v>
      </c>
      <c r="AE328" s="20">
        <v>3</v>
      </c>
      <c r="CK328" s="20"/>
      <c r="CL328" s="20"/>
      <c r="CM328" s="20"/>
      <c r="CN328" s="20"/>
      <c r="CV328" s="20"/>
      <c r="CZ328" s="38"/>
    </row>
    <row r="329" spans="1:104">
      <c r="A329" s="1" t="s">
        <v>176</v>
      </c>
      <c r="B329" s="20" t="s">
        <v>169</v>
      </c>
      <c r="C329" s="37"/>
      <c r="S329" s="64">
        <v>4</v>
      </c>
      <c r="AF329" s="20">
        <v>3</v>
      </c>
      <c r="CK329" s="20"/>
      <c r="CL329" s="20"/>
      <c r="CM329" s="20"/>
      <c r="CN329" s="20"/>
      <c r="CV329" s="20"/>
      <c r="CZ329" s="38"/>
    </row>
    <row r="330" spans="1:104">
      <c r="A330" s="1" t="s">
        <v>177</v>
      </c>
      <c r="B330" s="20" t="s">
        <v>169</v>
      </c>
      <c r="C330" s="37"/>
      <c r="S330" s="64">
        <v>4</v>
      </c>
      <c r="AC330" s="20">
        <v>3</v>
      </c>
      <c r="CK330" s="20"/>
      <c r="CL330" s="20"/>
      <c r="CM330" s="20"/>
      <c r="CN330" s="20"/>
      <c r="CV330" s="20"/>
      <c r="CZ330" s="38"/>
    </row>
    <row r="331" spans="1:104">
      <c r="A331" s="1" t="s">
        <v>513</v>
      </c>
      <c r="B331" s="20" t="s">
        <v>169</v>
      </c>
      <c r="C331" s="37"/>
      <c r="S331" s="64">
        <v>6</v>
      </c>
      <c r="AC331" s="20">
        <v>5</v>
      </c>
      <c r="CK331" s="20"/>
      <c r="CL331" s="20"/>
      <c r="CM331" s="20"/>
      <c r="CN331" s="20"/>
      <c r="CV331" s="20"/>
      <c r="CZ331" s="38"/>
    </row>
    <row r="332" spans="1:104">
      <c r="A332" s="1" t="s">
        <v>178</v>
      </c>
      <c r="B332" s="20" t="s">
        <v>169</v>
      </c>
      <c r="C332" s="37"/>
      <c r="S332" s="64">
        <v>4</v>
      </c>
      <c r="AD332" s="20">
        <v>3</v>
      </c>
      <c r="CK332" s="20"/>
      <c r="CL332" s="20"/>
      <c r="CM332" s="20"/>
      <c r="CN332" s="20"/>
      <c r="CV332" s="20"/>
      <c r="CZ332" s="38"/>
    </row>
    <row r="333" spans="1:104">
      <c r="A333" s="26" t="s">
        <v>179</v>
      </c>
      <c r="B333" s="20" t="s">
        <v>169</v>
      </c>
      <c r="C333" s="37"/>
      <c r="S333" s="64">
        <v>1.5</v>
      </c>
      <c r="BN333" s="20">
        <v>1</v>
      </c>
      <c r="CK333" s="20"/>
      <c r="CL333" s="20"/>
      <c r="CM333" s="20"/>
      <c r="CN333" s="20"/>
      <c r="CV333" s="20"/>
      <c r="CZ333" s="38"/>
    </row>
    <row r="334" spans="1:104">
      <c r="A334" s="26" t="s">
        <v>235</v>
      </c>
      <c r="B334" s="20" t="s">
        <v>169</v>
      </c>
      <c r="C334" s="37"/>
      <c r="S334" s="64">
        <v>2</v>
      </c>
      <c r="BN334" s="20">
        <v>2</v>
      </c>
      <c r="CK334" s="20"/>
      <c r="CL334" s="20"/>
      <c r="CM334" s="20"/>
      <c r="CN334" s="20"/>
      <c r="CV334" s="20"/>
      <c r="CZ334" s="38"/>
    </row>
    <row r="335" spans="1:104">
      <c r="A335" s="26" t="s">
        <v>180</v>
      </c>
      <c r="B335" s="20" t="s">
        <v>169</v>
      </c>
      <c r="C335" s="37"/>
      <c r="S335" s="64">
        <v>1</v>
      </c>
      <c r="BO335" s="20">
        <v>2</v>
      </c>
      <c r="CK335" s="20"/>
      <c r="CL335" s="20"/>
      <c r="CM335" s="20"/>
      <c r="CN335" s="20"/>
      <c r="CV335" s="20"/>
      <c r="CZ335" s="38"/>
    </row>
    <row r="336" spans="1:104">
      <c r="A336" s="26" t="s">
        <v>181</v>
      </c>
      <c r="B336" s="20" t="s">
        <v>169</v>
      </c>
      <c r="C336" s="37"/>
      <c r="S336" s="64">
        <v>1</v>
      </c>
      <c r="BP336" s="20">
        <v>2</v>
      </c>
      <c r="CK336" s="20"/>
      <c r="CL336" s="20"/>
      <c r="CM336" s="20"/>
      <c r="CN336" s="20"/>
      <c r="CV336" s="20"/>
      <c r="CZ336" s="38"/>
    </row>
    <row r="337" spans="1:104">
      <c r="A337" s="26" t="s">
        <v>182</v>
      </c>
      <c r="B337" s="20" t="s">
        <v>169</v>
      </c>
      <c r="C337" s="37"/>
      <c r="S337" s="64">
        <v>1</v>
      </c>
      <c r="BQ337" s="20">
        <v>2</v>
      </c>
      <c r="CK337" s="20"/>
      <c r="CL337" s="20"/>
      <c r="CM337" s="20"/>
      <c r="CN337" s="20"/>
      <c r="CV337" s="20"/>
      <c r="CZ337" s="38"/>
    </row>
    <row r="338" spans="1:104">
      <c r="A338" s="26" t="s">
        <v>183</v>
      </c>
      <c r="B338" s="20" t="s">
        <v>169</v>
      </c>
      <c r="C338" s="37"/>
      <c r="S338" s="64">
        <v>1</v>
      </c>
      <c r="BR338" s="20">
        <v>2</v>
      </c>
      <c r="CK338" s="20"/>
      <c r="CL338" s="20"/>
      <c r="CM338" s="20"/>
      <c r="CN338" s="20"/>
      <c r="CV338" s="20"/>
      <c r="CZ338" s="38"/>
    </row>
    <row r="339" spans="1:104">
      <c r="A339" s="26" t="s">
        <v>184</v>
      </c>
      <c r="B339" s="20" t="s">
        <v>169</v>
      </c>
      <c r="S339" s="64">
        <v>3</v>
      </c>
      <c r="BX339" s="20">
        <v>1</v>
      </c>
      <c r="CK339" s="20"/>
      <c r="CL339" s="20"/>
      <c r="CM339" s="20"/>
      <c r="CN339" s="20"/>
      <c r="CV339" s="20"/>
      <c r="CZ339" s="38"/>
    </row>
    <row r="340" spans="1:104">
      <c r="A340" s="1" t="s">
        <v>185</v>
      </c>
      <c r="B340" s="20" t="s">
        <v>169</v>
      </c>
      <c r="S340" s="64">
        <v>2</v>
      </c>
      <c r="CA340" s="20">
        <v>6</v>
      </c>
      <c r="CK340" s="20"/>
      <c r="CL340" s="20"/>
      <c r="CM340" s="20"/>
      <c r="CN340" s="20"/>
      <c r="CV340" s="20"/>
      <c r="CZ340" s="38"/>
    </row>
    <row r="341" spans="1:104">
      <c r="A341" s="1" t="s">
        <v>236</v>
      </c>
      <c r="B341" s="20" t="s">
        <v>169</v>
      </c>
      <c r="S341" s="64">
        <v>3</v>
      </c>
      <c r="CA341" s="20">
        <v>9</v>
      </c>
      <c r="CK341" s="20"/>
      <c r="CL341" s="20"/>
      <c r="CM341" s="20"/>
      <c r="CN341" s="20"/>
      <c r="CV341" s="20"/>
      <c r="CZ341" s="38"/>
    </row>
    <row r="342" spans="1:104">
      <c r="A342" s="1" t="s">
        <v>209</v>
      </c>
      <c r="B342" s="20" t="s">
        <v>169</v>
      </c>
      <c r="I342" s="20" t="s">
        <v>92</v>
      </c>
      <c r="M342" s="20">
        <v>15</v>
      </c>
      <c r="S342" s="64">
        <v>3</v>
      </c>
      <c r="CK342" s="20"/>
      <c r="CL342" s="20" t="s">
        <v>193</v>
      </c>
      <c r="CM342" s="20"/>
      <c r="CN342" s="20"/>
      <c r="CV342" s="20"/>
      <c r="CZ342" s="38"/>
    </row>
    <row r="343" spans="1:104">
      <c r="A343" s="1" t="s">
        <v>217</v>
      </c>
      <c r="B343" s="20" t="s">
        <v>169</v>
      </c>
      <c r="I343" s="20" t="s">
        <v>131</v>
      </c>
      <c r="M343" s="20">
        <v>15</v>
      </c>
      <c r="S343" s="64">
        <v>3</v>
      </c>
      <c r="CK343" s="20"/>
      <c r="CL343" s="20" t="s">
        <v>132</v>
      </c>
      <c r="CM343" s="20"/>
      <c r="CN343" s="20"/>
      <c r="CV343" s="20"/>
      <c r="CZ343" s="38"/>
    </row>
    <row r="344" spans="1:104">
      <c r="A344" s="1" t="s">
        <v>218</v>
      </c>
      <c r="B344" s="20" t="s">
        <v>169</v>
      </c>
      <c r="I344" s="20" t="s">
        <v>129</v>
      </c>
      <c r="M344" s="20">
        <v>15</v>
      </c>
      <c r="S344" s="64">
        <v>3</v>
      </c>
      <c r="CK344" s="20"/>
      <c r="CL344" s="20" t="s">
        <v>353</v>
      </c>
      <c r="CM344" s="20"/>
      <c r="CN344" s="20"/>
      <c r="CV344" s="20"/>
      <c r="CZ344" s="38"/>
    </row>
    <row r="345" spans="1:104">
      <c r="A345" s="1" t="s">
        <v>219</v>
      </c>
      <c r="B345" s="20" t="s">
        <v>169</v>
      </c>
      <c r="I345" s="20" t="s">
        <v>133</v>
      </c>
      <c r="M345" s="20">
        <v>15</v>
      </c>
      <c r="S345" s="64">
        <v>3</v>
      </c>
      <c r="CK345" s="20"/>
      <c r="CL345" s="20" t="s">
        <v>298</v>
      </c>
      <c r="CM345" s="20"/>
      <c r="CN345" s="20"/>
      <c r="CV345" s="20"/>
      <c r="CZ345" s="38"/>
    </row>
    <row r="346" spans="1:104">
      <c r="A346" s="1" t="s">
        <v>220</v>
      </c>
      <c r="B346" s="20" t="s">
        <v>169</v>
      </c>
      <c r="I346" s="20" t="s">
        <v>134</v>
      </c>
      <c r="M346" s="20">
        <v>15</v>
      </c>
      <c r="S346" s="64">
        <v>3</v>
      </c>
      <c r="CK346" s="20"/>
      <c r="CL346" s="20" t="s">
        <v>345</v>
      </c>
      <c r="CM346" s="20"/>
      <c r="CN346" s="20"/>
      <c r="CV346" s="20"/>
      <c r="CZ346" s="38"/>
    </row>
    <row r="347" spans="1:104">
      <c r="A347" s="1" t="s">
        <v>237</v>
      </c>
      <c r="B347" s="20" t="s">
        <v>169</v>
      </c>
      <c r="I347" s="20" t="s">
        <v>131</v>
      </c>
      <c r="M347" s="20">
        <v>30</v>
      </c>
      <c r="S347" s="64">
        <v>4</v>
      </c>
      <c r="CK347" s="20"/>
      <c r="CL347" s="20" t="s">
        <v>346</v>
      </c>
      <c r="CM347" s="20"/>
      <c r="CN347" s="20"/>
      <c r="CV347" s="20"/>
      <c r="CZ347" s="38"/>
    </row>
    <row r="348" spans="1:104">
      <c r="A348" s="1" t="s">
        <v>238</v>
      </c>
      <c r="B348" s="20" t="s">
        <v>169</v>
      </c>
      <c r="I348" s="20" t="s">
        <v>129</v>
      </c>
      <c r="M348" s="20">
        <v>30</v>
      </c>
      <c r="S348" s="64">
        <v>4</v>
      </c>
      <c r="CK348" s="20"/>
      <c r="CL348" s="20" t="s">
        <v>352</v>
      </c>
      <c r="CM348" s="20"/>
      <c r="CN348" s="20"/>
      <c r="CV348" s="20"/>
      <c r="CZ348" s="38"/>
    </row>
    <row r="349" spans="1:104">
      <c r="A349" s="1" t="s">
        <v>239</v>
      </c>
      <c r="B349" s="20" t="s">
        <v>169</v>
      </c>
      <c r="I349" s="20" t="s">
        <v>133</v>
      </c>
      <c r="M349" s="20">
        <v>30</v>
      </c>
      <c r="S349" s="64">
        <v>4</v>
      </c>
      <c r="CK349" s="20"/>
      <c r="CL349" s="20" t="s">
        <v>300</v>
      </c>
      <c r="CM349" s="20"/>
      <c r="CN349" s="20"/>
      <c r="CV349" s="20"/>
      <c r="CZ349" s="38"/>
    </row>
    <row r="350" spans="1:104">
      <c r="A350" s="1" t="s">
        <v>240</v>
      </c>
      <c r="B350" s="20" t="s">
        <v>169</v>
      </c>
      <c r="I350" s="20" t="s">
        <v>134</v>
      </c>
      <c r="M350" s="20">
        <v>30</v>
      </c>
      <c r="S350" s="64">
        <v>4</v>
      </c>
      <c r="CK350" s="20"/>
      <c r="CL350" s="20" t="s">
        <v>347</v>
      </c>
      <c r="CM350" s="20"/>
      <c r="CN350" s="20"/>
      <c r="CV350" s="20"/>
      <c r="CZ350" s="38"/>
    </row>
    <row r="351" spans="1:104">
      <c r="A351" s="1" t="s">
        <v>354</v>
      </c>
      <c r="B351" s="20" t="s">
        <v>169</v>
      </c>
      <c r="I351" s="20" t="s">
        <v>129</v>
      </c>
      <c r="M351" s="20">
        <v>30</v>
      </c>
      <c r="S351" s="64">
        <v>3</v>
      </c>
      <c r="CK351" s="20"/>
      <c r="CL351" s="20" t="s">
        <v>357</v>
      </c>
      <c r="CM351" s="20"/>
      <c r="CN351" s="20"/>
      <c r="CV351" s="20"/>
      <c r="CZ351" s="38"/>
    </row>
    <row r="352" spans="1:104">
      <c r="A352" s="1" t="s">
        <v>355</v>
      </c>
      <c r="B352" s="20" t="s">
        <v>169</v>
      </c>
      <c r="I352" s="20" t="s">
        <v>129</v>
      </c>
      <c r="M352" s="20">
        <v>40</v>
      </c>
      <c r="S352" s="64">
        <v>4</v>
      </c>
      <c r="CK352" s="20"/>
      <c r="CL352" s="20" t="s">
        <v>356</v>
      </c>
      <c r="CM352" s="20"/>
      <c r="CN352" s="20"/>
      <c r="CV352" s="20"/>
      <c r="CZ352" s="38"/>
    </row>
    <row r="353" spans="1:104">
      <c r="A353" s="1" t="s">
        <v>216</v>
      </c>
      <c r="B353" s="20" t="s">
        <v>169</v>
      </c>
      <c r="S353" s="64">
        <v>4</v>
      </c>
      <c r="AA353" s="20">
        <v>2</v>
      </c>
      <c r="AB353" s="20">
        <v>2</v>
      </c>
      <c r="AD353" s="20">
        <v>-2</v>
      </c>
      <c r="CK353" s="20"/>
      <c r="CL353" s="20"/>
      <c r="CM353" s="20"/>
      <c r="CN353" s="20"/>
      <c r="CV353" s="20"/>
      <c r="CZ353" s="38"/>
    </row>
    <row r="354" spans="1:104">
      <c r="A354" s="54" t="s">
        <v>263</v>
      </c>
      <c r="B354" s="20" t="s">
        <v>169</v>
      </c>
      <c r="S354" s="64">
        <v>2</v>
      </c>
      <c r="CK354" s="20"/>
      <c r="CL354" s="20"/>
      <c r="CM354" s="20"/>
      <c r="CN354" s="20"/>
      <c r="CV354" s="20"/>
    </row>
    <row r="355" spans="1:104">
      <c r="A355" s="54" t="s">
        <v>264</v>
      </c>
      <c r="B355" s="20" t="s">
        <v>169</v>
      </c>
      <c r="S355" s="64">
        <v>2</v>
      </c>
      <c r="BM355" s="20">
        <v>1</v>
      </c>
      <c r="CK355" s="20"/>
      <c r="CL355" s="20"/>
      <c r="CM355" s="20"/>
      <c r="CN355" s="20"/>
      <c r="CV355" s="20"/>
    </row>
    <row r="356" spans="1:104">
      <c r="A356" s="54" t="s">
        <v>445</v>
      </c>
      <c r="B356" s="20" t="s">
        <v>169</v>
      </c>
      <c r="Q356" s="20">
        <v>2</v>
      </c>
      <c r="S356" s="64">
        <v>2</v>
      </c>
      <c r="CK356" s="20"/>
      <c r="CL356" s="20"/>
      <c r="CM356" s="20" t="s">
        <v>398</v>
      </c>
      <c r="CN356" s="20"/>
      <c r="CV356" s="20"/>
    </row>
    <row r="357" spans="1:104">
      <c r="A357" s="54" t="s">
        <v>484</v>
      </c>
      <c r="B357" s="20" t="s">
        <v>169</v>
      </c>
      <c r="I357" s="72" t="s">
        <v>129</v>
      </c>
      <c r="M357" s="20">
        <v>30</v>
      </c>
      <c r="S357" s="64"/>
      <c r="CK357" s="20"/>
      <c r="CL357" s="20"/>
      <c r="CM357" s="20"/>
      <c r="CN357" s="20"/>
      <c r="CV357" s="20"/>
    </row>
    <row r="358" spans="1:104">
      <c r="A358" s="54" t="s">
        <v>485</v>
      </c>
      <c r="B358" s="20" t="s">
        <v>169</v>
      </c>
      <c r="I358" s="72" t="s">
        <v>131</v>
      </c>
      <c r="M358" s="20">
        <v>30</v>
      </c>
      <c r="S358" s="64"/>
      <c r="CK358" s="20"/>
      <c r="CL358" s="20"/>
      <c r="CM358" s="20"/>
      <c r="CN358" s="20"/>
      <c r="CV358" s="20"/>
    </row>
    <row r="359" spans="1:104">
      <c r="A359" s="54" t="s">
        <v>486</v>
      </c>
      <c r="B359" s="20" t="s">
        <v>169</v>
      </c>
      <c r="I359" s="72" t="s">
        <v>133</v>
      </c>
      <c r="M359" s="20">
        <v>30</v>
      </c>
      <c r="S359" s="64"/>
      <c r="CK359" s="20"/>
      <c r="CL359" s="20"/>
      <c r="CM359" s="20"/>
      <c r="CN359" s="20"/>
      <c r="CV359" s="20"/>
    </row>
    <row r="360" spans="1:104">
      <c r="A360" s="54" t="s">
        <v>487</v>
      </c>
      <c r="B360" s="20" t="s">
        <v>169</v>
      </c>
      <c r="I360" s="72" t="s">
        <v>134</v>
      </c>
      <c r="M360" s="20">
        <v>30</v>
      </c>
      <c r="S360" s="64"/>
      <c r="CK360" s="20"/>
      <c r="CL360" s="20"/>
      <c r="CM360" s="20"/>
      <c r="CN360" s="20"/>
      <c r="CV360" s="20"/>
    </row>
    <row r="361" spans="1:104">
      <c r="A361" s="54" t="s">
        <v>622</v>
      </c>
      <c r="B361" s="20" t="s">
        <v>169</v>
      </c>
      <c r="I361" s="72" t="s">
        <v>92</v>
      </c>
      <c r="M361" s="20">
        <v>30</v>
      </c>
      <c r="S361" s="64"/>
      <c r="CK361" s="20"/>
      <c r="CL361" s="20"/>
      <c r="CM361" s="20"/>
      <c r="CN361" s="20"/>
      <c r="CV361" s="20"/>
    </row>
    <row r="362" spans="1:104">
      <c r="A362" s="54" t="s">
        <v>494</v>
      </c>
      <c r="B362" s="20" t="s">
        <v>169</v>
      </c>
      <c r="I362" s="72" t="s">
        <v>127</v>
      </c>
      <c r="M362" s="20">
        <v>30</v>
      </c>
      <c r="S362" s="64"/>
      <c r="CK362" s="20"/>
      <c r="CL362" s="20"/>
      <c r="CM362" s="20"/>
      <c r="CN362" s="20"/>
      <c r="CV362" s="20"/>
    </row>
    <row r="363" spans="1:104">
      <c r="A363" s="54" t="s">
        <v>623</v>
      </c>
      <c r="B363" s="20" t="s">
        <v>169</v>
      </c>
      <c r="I363" s="72" t="s">
        <v>129</v>
      </c>
      <c r="M363" s="20">
        <v>70</v>
      </c>
      <c r="S363" s="64"/>
      <c r="CK363" s="20"/>
      <c r="CL363" s="20"/>
      <c r="CM363" s="20"/>
      <c r="CN363" s="20"/>
      <c r="CV363" s="20"/>
    </row>
    <row r="364" spans="1:104">
      <c r="A364" s="54" t="s">
        <v>624</v>
      </c>
      <c r="B364" s="20" t="s">
        <v>169</v>
      </c>
      <c r="I364" s="72" t="s">
        <v>131</v>
      </c>
      <c r="M364" s="20">
        <v>70</v>
      </c>
      <c r="S364" s="64"/>
      <c r="CK364" s="20"/>
      <c r="CL364" s="20"/>
      <c r="CM364" s="20"/>
      <c r="CN364" s="20"/>
      <c r="CV364" s="20"/>
    </row>
    <row r="365" spans="1:104">
      <c r="A365" s="54" t="s">
        <v>625</v>
      </c>
      <c r="B365" s="20" t="s">
        <v>169</v>
      </c>
      <c r="I365" s="72" t="s">
        <v>133</v>
      </c>
      <c r="M365" s="20">
        <v>70</v>
      </c>
      <c r="S365" s="64"/>
      <c r="CK365" s="20"/>
      <c r="CL365" s="20"/>
      <c r="CM365" s="20"/>
      <c r="CN365" s="20"/>
      <c r="CV365" s="20"/>
    </row>
    <row r="366" spans="1:104">
      <c r="A366" s="54" t="s">
        <v>626</v>
      </c>
      <c r="B366" s="20" t="s">
        <v>169</v>
      </c>
      <c r="I366" s="72" t="s">
        <v>134</v>
      </c>
      <c r="M366" s="20">
        <v>70</v>
      </c>
      <c r="S366" s="64"/>
      <c r="CK366" s="20"/>
      <c r="CL366" s="20"/>
      <c r="CM366" s="20"/>
      <c r="CN366" s="20"/>
      <c r="CV366" s="20"/>
    </row>
    <row r="367" spans="1:104">
      <c r="A367" s="54" t="s">
        <v>627</v>
      </c>
      <c r="B367" s="20" t="s">
        <v>169</v>
      </c>
      <c r="I367" s="72" t="s">
        <v>92</v>
      </c>
      <c r="M367" s="20">
        <v>70</v>
      </c>
      <c r="S367" s="64"/>
      <c r="CK367" s="20"/>
      <c r="CL367" s="20"/>
      <c r="CM367" s="20"/>
      <c r="CN367" s="20"/>
      <c r="CV367" s="20"/>
    </row>
    <row r="368" spans="1:104">
      <c r="A368" s="54" t="s">
        <v>628</v>
      </c>
      <c r="B368" s="20" t="s">
        <v>169</v>
      </c>
      <c r="I368" s="72" t="s">
        <v>127</v>
      </c>
      <c r="M368" s="20">
        <v>70</v>
      </c>
      <c r="S368" s="64"/>
      <c r="CK368" s="20"/>
      <c r="CL368" s="20"/>
      <c r="CM368" s="20"/>
      <c r="CN368" s="20"/>
      <c r="CV368" s="20"/>
    </row>
    <row r="369" spans="1:104">
      <c r="A369" s="54" t="s">
        <v>495</v>
      </c>
      <c r="B369" s="20" t="s">
        <v>169</v>
      </c>
      <c r="I369" s="72" t="s">
        <v>127</v>
      </c>
      <c r="M369" s="20">
        <v>30</v>
      </c>
      <c r="S369" s="64">
        <v>4</v>
      </c>
      <c r="CK369" s="20"/>
      <c r="CL369" s="20"/>
      <c r="CM369" s="20"/>
      <c r="CN369" s="20"/>
      <c r="CV369" s="20"/>
    </row>
    <row r="370" spans="1:104">
      <c r="A370" s="54" t="s">
        <v>507</v>
      </c>
      <c r="B370" s="20" t="s">
        <v>169</v>
      </c>
      <c r="I370" s="72"/>
      <c r="S370" s="64">
        <v>4</v>
      </c>
      <c r="AF370" s="20">
        <v>2</v>
      </c>
      <c r="CK370" s="20"/>
      <c r="CL370" s="20"/>
      <c r="CM370" s="20"/>
      <c r="CN370" s="20"/>
      <c r="CV370" s="20"/>
    </row>
    <row r="371" spans="1:104">
      <c r="A371" s="1" t="s">
        <v>186</v>
      </c>
      <c r="CK371" s="20"/>
      <c r="CL371" s="20"/>
      <c r="CM371" s="20"/>
      <c r="CN371" s="20"/>
      <c r="CV371" s="20"/>
    </row>
    <row r="372" spans="1:104">
      <c r="A372" s="20" t="s">
        <v>187</v>
      </c>
      <c r="B372" s="20" t="s">
        <v>186</v>
      </c>
      <c r="C372" s="20" t="s">
        <v>75</v>
      </c>
      <c r="D372" s="20">
        <v>1</v>
      </c>
      <c r="E372" s="20">
        <v>1</v>
      </c>
      <c r="CK372" s="20"/>
      <c r="CL372" s="20"/>
      <c r="CM372" s="20"/>
      <c r="CN372" s="20"/>
      <c r="CV372" s="20"/>
      <c r="CZ372" s="38"/>
    </row>
    <row r="373" spans="1:104">
      <c r="CK373" s="20"/>
      <c r="CL373" s="20"/>
      <c r="CM373" s="20"/>
      <c r="CN373" s="20"/>
      <c r="CV373" s="20"/>
    </row>
    <row r="374" spans="1:104">
      <c r="CK374" s="20"/>
      <c r="CL374" s="20"/>
      <c r="CM374" s="20"/>
      <c r="CN374" s="20"/>
      <c r="CV374" s="20"/>
    </row>
    <row r="375" spans="1:104">
      <c r="CK375" s="20"/>
      <c r="CL375" s="20"/>
      <c r="CM375" s="20"/>
      <c r="CN375" s="20"/>
      <c r="CV375" s="20"/>
    </row>
    <row r="376" spans="1:104">
      <c r="CK376" s="20"/>
      <c r="CL376" s="20"/>
      <c r="CM376" s="20"/>
      <c r="CN376" s="20"/>
      <c r="CV376" s="20"/>
    </row>
    <row r="377" spans="1:104">
      <c r="CK377" s="20"/>
      <c r="CL377" s="20"/>
      <c r="CM377" s="20"/>
      <c r="CN377" s="20"/>
      <c r="CV377" s="20"/>
    </row>
    <row r="378" spans="1:104">
      <c r="CK378" s="20"/>
      <c r="CL378" s="20"/>
      <c r="CM378" s="20"/>
      <c r="CN378" s="20"/>
      <c r="CV378" s="20"/>
    </row>
    <row r="379" spans="1:104">
      <c r="CK379" s="20"/>
      <c r="CL379" s="20"/>
      <c r="CM379" s="20"/>
      <c r="CN379" s="20"/>
      <c r="CV379" s="20"/>
    </row>
    <row r="380" spans="1:104">
      <c r="CK380" s="20"/>
      <c r="CL380" s="20"/>
      <c r="CM380" s="20"/>
      <c r="CN380" s="20"/>
      <c r="CV380" s="20"/>
    </row>
    <row r="381" spans="1:104">
      <c r="CK381" s="20"/>
      <c r="CL381" s="20"/>
      <c r="CM381" s="20"/>
      <c r="CN381" s="20"/>
      <c r="CV381" s="20"/>
    </row>
    <row r="382" spans="1:104">
      <c r="CK382" s="20"/>
      <c r="CL382" s="20"/>
      <c r="CM382" s="20"/>
      <c r="CN382" s="20"/>
      <c r="CV382" s="20"/>
    </row>
    <row r="383" spans="1:104">
      <c r="CK383" s="20"/>
      <c r="CL383" s="20"/>
      <c r="CM383" s="20"/>
      <c r="CN383" s="20"/>
      <c r="CV383" s="20"/>
    </row>
    <row r="384" spans="1:104">
      <c r="CK384" s="20"/>
      <c r="CL384" s="20"/>
      <c r="CM384" s="20"/>
      <c r="CN384" s="20"/>
      <c r="CV384" s="20"/>
    </row>
    <row r="385" spans="89:100">
      <c r="CK385" s="20"/>
      <c r="CL385" s="20"/>
      <c r="CM385" s="20"/>
      <c r="CN385" s="20"/>
      <c r="CV385" s="20"/>
    </row>
    <row r="386" spans="89:100">
      <c r="CK386" s="20"/>
      <c r="CL386" s="20"/>
      <c r="CM386" s="20"/>
      <c r="CN386" s="20"/>
      <c r="CV386" s="20"/>
    </row>
    <row r="387" spans="89:100">
      <c r="CK387" s="20"/>
      <c r="CL387" s="20"/>
      <c r="CM387" s="20"/>
      <c r="CN387" s="20"/>
      <c r="CV387" s="20"/>
    </row>
    <row r="388" spans="89:100">
      <c r="CK388" s="20"/>
      <c r="CL388" s="20"/>
      <c r="CM388" s="20"/>
      <c r="CN388" s="20"/>
      <c r="CV388" s="20"/>
    </row>
    <row r="389" spans="89:100">
      <c r="CK389" s="20"/>
      <c r="CL389" s="20"/>
      <c r="CM389" s="20"/>
      <c r="CN389" s="20"/>
      <c r="CV389" s="20"/>
    </row>
    <row r="390" spans="89:100">
      <c r="CK390" s="20"/>
      <c r="CL390" s="20"/>
      <c r="CM390" s="20"/>
      <c r="CN390" s="20"/>
      <c r="CV390" s="20"/>
    </row>
    <row r="391" spans="89:100">
      <c r="CK391" s="20"/>
      <c r="CL391" s="20"/>
      <c r="CM391" s="20"/>
      <c r="CN391" s="20"/>
      <c r="CV391" s="20"/>
    </row>
    <row r="392" spans="89:100">
      <c r="CK392" s="20"/>
      <c r="CL392" s="20"/>
      <c r="CM392" s="20"/>
      <c r="CN392" s="20"/>
      <c r="CV392" s="20"/>
    </row>
    <row r="393" spans="89:100">
      <c r="CK393" s="20"/>
      <c r="CL393" s="20"/>
      <c r="CM393" s="20"/>
      <c r="CN393" s="20"/>
      <c r="CV393" s="20"/>
    </row>
    <row r="394" spans="89:100">
      <c r="CK394" s="20"/>
      <c r="CL394" s="20"/>
      <c r="CM394" s="20"/>
      <c r="CN394" s="20"/>
      <c r="CV394" s="20"/>
    </row>
    <row r="395" spans="89:100">
      <c r="CK395" s="20"/>
      <c r="CL395" s="20"/>
      <c r="CM395" s="20"/>
      <c r="CN395" s="20"/>
      <c r="CV395" s="20"/>
    </row>
    <row r="396" spans="89:100">
      <c r="CK396" s="20"/>
      <c r="CL396" s="20"/>
      <c r="CM396" s="20"/>
      <c r="CN396" s="20"/>
      <c r="CV396" s="20"/>
    </row>
    <row r="397" spans="89:100">
      <c r="CK397" s="20"/>
      <c r="CL397" s="20"/>
      <c r="CM397" s="20"/>
      <c r="CN397" s="20"/>
      <c r="CV397" s="20"/>
    </row>
    <row r="398" spans="89:100">
      <c r="CK398" s="20"/>
      <c r="CL398" s="20"/>
      <c r="CM398" s="20"/>
      <c r="CN398" s="20"/>
      <c r="CV398" s="20"/>
    </row>
    <row r="399" spans="89:100">
      <c r="CK399" s="20"/>
      <c r="CL399" s="20"/>
      <c r="CM399" s="20"/>
      <c r="CN399" s="20"/>
      <c r="CV399" s="20"/>
    </row>
    <row r="400" spans="89:100">
      <c r="CK400" s="20"/>
      <c r="CL400" s="20"/>
      <c r="CM400" s="20"/>
      <c r="CN400" s="20"/>
      <c r="CV400" s="20"/>
    </row>
    <row r="401" spans="89:100">
      <c r="CK401" s="20"/>
      <c r="CL401" s="20"/>
      <c r="CM401" s="20"/>
      <c r="CN401" s="20"/>
      <c r="CV401" s="20"/>
    </row>
    <row r="402" spans="89:100">
      <c r="CK402" s="20"/>
      <c r="CL402" s="20"/>
      <c r="CM402" s="20"/>
      <c r="CN402" s="20"/>
      <c r="CV402" s="20"/>
    </row>
    <row r="403" spans="89:100">
      <c r="CK403" s="20"/>
      <c r="CL403" s="20"/>
      <c r="CM403" s="20"/>
      <c r="CN403" s="20"/>
      <c r="CV403" s="20"/>
    </row>
    <row r="404" spans="89:100">
      <c r="CK404" s="20"/>
      <c r="CL404" s="20"/>
      <c r="CM404" s="20"/>
      <c r="CN404" s="20"/>
      <c r="CV404" s="20"/>
    </row>
    <row r="405" spans="89:100">
      <c r="CK405" s="20"/>
      <c r="CL405" s="20"/>
      <c r="CM405" s="20"/>
      <c r="CN405" s="20"/>
      <c r="CV405" s="20"/>
    </row>
    <row r="406" spans="89:100">
      <c r="CK406" s="20"/>
      <c r="CL406" s="20"/>
      <c r="CM406" s="20"/>
      <c r="CN406" s="20"/>
      <c r="CV406" s="20"/>
    </row>
    <row r="407" spans="89:100">
      <c r="CK407" s="20"/>
      <c r="CL407" s="20"/>
      <c r="CM407" s="20"/>
      <c r="CN407" s="20"/>
      <c r="CV407" s="20"/>
    </row>
    <row r="408" spans="89:100">
      <c r="CK408" s="20"/>
      <c r="CL408" s="20"/>
      <c r="CM408" s="20"/>
      <c r="CN408" s="20"/>
      <c r="CV408" s="20"/>
    </row>
    <row r="409" spans="89:100">
      <c r="CK409" s="20"/>
      <c r="CL409" s="20"/>
      <c r="CM409" s="20"/>
      <c r="CN409" s="20"/>
      <c r="CV409" s="20"/>
    </row>
    <row r="410" spans="89:100">
      <c r="CK410" s="20"/>
      <c r="CL410" s="20"/>
      <c r="CM410" s="20"/>
      <c r="CN410" s="20"/>
      <c r="CV410" s="20"/>
    </row>
    <row r="411" spans="89:100">
      <c r="CK411" s="20"/>
      <c r="CL411" s="20"/>
      <c r="CM411" s="20"/>
      <c r="CN411" s="20"/>
      <c r="CV411" s="20"/>
    </row>
    <row r="412" spans="89:100">
      <c r="CK412" s="20"/>
      <c r="CL412" s="20"/>
      <c r="CM412" s="20"/>
      <c r="CN412" s="20"/>
      <c r="CV412" s="20"/>
    </row>
    <row r="413" spans="89:100">
      <c r="CK413" s="20"/>
      <c r="CL413" s="20"/>
      <c r="CM413" s="20"/>
      <c r="CN413" s="20"/>
      <c r="CV413" s="20"/>
    </row>
    <row r="414" spans="89:100">
      <c r="CK414" s="20"/>
      <c r="CL414" s="20"/>
      <c r="CM414" s="20"/>
      <c r="CN414" s="20"/>
      <c r="CV414" s="20"/>
    </row>
    <row r="415" spans="89:100">
      <c r="CK415" s="20"/>
      <c r="CL415" s="20"/>
      <c r="CM415" s="20"/>
      <c r="CN415" s="20"/>
      <c r="CV415" s="20"/>
    </row>
    <row r="416" spans="89:100">
      <c r="CK416" s="20"/>
      <c r="CL416" s="20"/>
      <c r="CM416" s="20"/>
      <c r="CN416" s="20"/>
      <c r="CV416" s="20"/>
    </row>
    <row r="417" spans="89:100">
      <c r="CK417" s="20"/>
      <c r="CL417" s="20"/>
      <c r="CM417" s="20"/>
      <c r="CN417" s="20"/>
      <c r="CV417" s="20"/>
    </row>
    <row r="418" spans="89:100">
      <c r="CK418" s="20"/>
      <c r="CL418" s="20"/>
      <c r="CM418" s="20"/>
      <c r="CN418" s="20"/>
      <c r="CV418" s="20"/>
    </row>
    <row r="419" spans="89:100">
      <c r="CK419" s="20"/>
      <c r="CL419" s="20"/>
      <c r="CM419" s="20"/>
      <c r="CN419" s="20"/>
      <c r="CV419" s="20"/>
    </row>
    <row r="420" spans="89:100">
      <c r="CK420" s="20"/>
      <c r="CL420" s="20"/>
      <c r="CM420" s="20"/>
      <c r="CN420" s="20"/>
      <c r="CV420" s="20"/>
    </row>
    <row r="421" spans="89:100">
      <c r="CK421" s="20"/>
      <c r="CL421" s="20"/>
      <c r="CM421" s="20"/>
      <c r="CN421" s="20"/>
      <c r="CV421" s="20"/>
    </row>
    <row r="422" spans="89:100">
      <c r="CK422" s="20"/>
      <c r="CL422" s="20"/>
      <c r="CM422" s="20"/>
      <c r="CN422" s="20"/>
      <c r="CV422" s="20"/>
    </row>
    <row r="423" spans="89:100">
      <c r="CK423" s="20"/>
      <c r="CL423" s="20"/>
      <c r="CM423" s="20"/>
      <c r="CN423" s="20"/>
      <c r="CV423" s="20"/>
    </row>
    <row r="424" spans="89:100">
      <c r="CK424" s="20"/>
      <c r="CL424" s="20"/>
      <c r="CM424" s="20"/>
      <c r="CN424" s="20"/>
      <c r="CV424" s="20"/>
    </row>
    <row r="425" spans="89:100">
      <c r="CK425" s="20"/>
      <c r="CL425" s="20"/>
      <c r="CM425" s="20"/>
      <c r="CN425" s="20"/>
      <c r="CV425" s="20"/>
    </row>
    <row r="426" spans="89:100">
      <c r="CK426" s="20"/>
      <c r="CL426" s="20"/>
      <c r="CM426" s="20"/>
      <c r="CN426" s="20"/>
      <c r="CV426" s="20"/>
    </row>
    <row r="427" spans="89:100">
      <c r="CK427" s="20"/>
      <c r="CL427" s="20"/>
      <c r="CM427" s="20"/>
      <c r="CN427" s="20"/>
      <c r="CV427" s="20"/>
    </row>
    <row r="428" spans="89:100">
      <c r="CK428" s="20"/>
      <c r="CL428" s="20"/>
      <c r="CM428" s="20"/>
      <c r="CN428" s="20"/>
      <c r="CV428" s="20"/>
    </row>
    <row r="429" spans="89:100">
      <c r="CK429" s="20"/>
      <c r="CL429" s="20"/>
      <c r="CM429" s="20"/>
      <c r="CN429" s="20"/>
      <c r="CV429" s="20"/>
    </row>
    <row r="430" spans="89:100">
      <c r="CK430" s="20"/>
      <c r="CL430" s="20"/>
      <c r="CM430" s="20"/>
      <c r="CN430" s="20"/>
      <c r="CV430" s="20"/>
    </row>
  </sheetData>
  <sheetProtection selectLockedCells="1" selectUnlockedCells="1"/>
  <dataValidations count="14">
    <dataValidation type="list" allowBlank="1" showInputMessage="1" showErrorMessage="1" sqref="N327671:N327687 N262135:N262151 J983100:K1048576 N393207:N393223 N458743:N458759 N524279:N524295 N589815:N589831 N655351:N655367 N720887:N720903 N786423:N786439 N851959:N851975 N917495:N917511 N983031:N983047 J65596:K131079 J131132:K196615 J196668:K262151 J262204:K327687 J327740:K393223 J393276:K458759 J458812:K524295 J524348:K589831 J589884:K655367 J655420:K720903 J720956:K786439 J786492:K851975 J852028:K917511 J917564:K983047 N65596:N131061 P65596:R131079 P131132:R196615 P196668:R262151 P262204:R327687 P327740:R393223 P393276:R458759 P458812:R524295 P524348:R589831 P589884:R655367 P655420:R720903 P720956:R786439 P786492:R851975 P852028:R917511 P917564:R983047 P983100:R1048576 N131132:N196597 N196668:N262133 N262204:N327669 N327740:N393205 N393276:N458741 N458812:N524277 N524348:N589813 N589884:N655349 N655420:N720885 N720956:N786421 N786492:N851957 N852028:N917493 N917564:N983029 N983100:N1048576 N65545:N65594 N65527:N65543 P65545:R65594 P131081:R131130 P196617:R196666 P262153:R262202 P327689:R327738 P393225:R393274 P458761:R458810 P524297:R524346 P589833:R589882 P655369:R655418 P720905:R720954 P786441:R786490 P851977:R852026 P917513:R917562 P983049:R983098 N131081:N131130 N196617:N196666 N262153:N262202 N327689:N327738 N393225:N393274 N458761:N458810 N524297:N524346 N589833:N589882 N655369:N655418 N720905:N720954 N786441:N786490 N851977:N852026 N917513:N917562 N983049:N983098 J983049:K983098 J917513:K917562 J851977:K852026 J786441:K786490 J720905:K720954 J655369:K655418 J589833:K589882 J524297:K524346 J458761:K458810 J393225:K393274 J327689:K327738 J262153:K262202 J196617:K196666 J131081:K131130 J65545:K65594 N131063:N131079 N196599:N196615 O159:O160 O64:O65 P4:Q34 P2:R2 N2 J2:K2 O148:O149 N42:N65525 J42:K65543 R4:R40 Q35:Q40 J4:K40 N4:N40 P42:R65543">
      <formula1>Value_Qualifier</formula1>
    </dataValidation>
    <dataValidation type="list" allowBlank="1" showInputMessage="1" showErrorMessage="1" sqref="BN65596:CB65759 U215:U65543 AN237:CB247 AA237:AM369 AL370:AM1048576 BD370:BE1048576 BF370:CB65525 AA370:AK65525 BF65760:CB131061 BN196668:CB196831 BN262204:CB262367 BN327740:CB327903 BN393276:CB393439 BN458812:CB458975 BN524348:CB524511 BN589884:CB590047 BN655420:CB655583 BN720956:CB721119 BN786492:CB786655 BN852028:CB852191 BN917564:CB917727 BN983100:CB983263 BN65526:CB65543 CG65596:CH131079 CG131132:CH196615 CG196668:CH262151 CG262204:CH327687 CG327740:CH393223 CG393276:CH458759 CG458812:CH524295 CG524348:CH589831 CG589884:CH655367 CG655420:CH720903 CG720956:CH786439 CG786492:CH851975 CG852028:CH917511 CG917564:CH983047 CG983100:CH1048576 BN131062:CB131079 BN196598:CB196615 BN262134:CB262151 BN327670:CB327687 BN393206:CB393223 BN458742:CB458759 BN524278:CB524295 BN589814:CB589831 BN655350:CB655367 BN720886:CB720903 BN786422:CB786439 BN851958:CB851975 BN917494:CB917511 BN983030:CB983047 BN65545:CB65594 BN131081:CB131130 BN196617:CB196666 BN262153:CB262202 BN327689:CB327738 BN393225:CB393274 BN458761:CB458810 BN524297:CB524346 BN589833:CB589882 BN655369:CB655418 BN720905:CB720954 BN786441:CB786490 BN851977:CB852026 BN917513:CB917562 BN983049:CB983098 CG65545:CH65594 CG131081:CH131130 CG196617:CH196666 CG262153:CH262202 CG327689:CH327738 CG393225:CH393274 CG458761:CH458810 CG524297:CH524346 CG589833:CH589882 CG655369:CH655418 CG720905:CH720954 CG786441:CH786490 CG851977:CH852026 CG917513:CH917562 CG983049:CH983098 AG983030:AK983263 AG917494:AK917727 AG851958:AK852191 AG786422:AK786655 AG720886:AK721119 AG655350:AK655583 AG589814:AK590047 AG524278:AK524511 AG458742:AK458975 AG393206:AK393439 AG327670:AK327903 AG262134:AK262367 AG196598:AK196831 AG131062:AK131295 AG65526:AK65759 AA983264:AK1048576 AA917728:AK983029 AA852192:AK917493 AA786656:AK851957 AA721120:AK786421 AA655584:AK720885 AA590048:AK655349 AA524512:AK589813 AA458976:AK524277 AA393440:AK458741 AA327904:AK393205 AA262368:AK327669 AA196832:AK262133 AA131296:AK196597 AA65760:AK131061 BF131296:CB196597 U983100:U983168 BF196832:CB262133 BF262368:CB327669 BF327904:CB393205 BF393440:CB458741 BF458976:CB524277 BF524512:CB589813 BF590048:CB655349 BF655584:CB720885 BF721120:CB786421 BF786656:CB851957 BF852192:CB917493 BF917728:CB983029 BF983264:CB1048576 BF65526:BM65759 U65749:U131079 U131285:U196615 U196821:U262151 U262357:U327687 U327893:U393223 U393429:U458759 U458965:U524295 U524501:U589831 U590037:U655367 U655573:U720903 U721109:U786439 U786645:U851975 U852181:U917511 U917717:U983047 U983253:U1048576 U917564:U917632 BF131062:BM131295 BF196598:BM196831 BF262134:BM262367 BF327670:BM327903 BF393206:BM393439 BF458742:BM458975 BF524278:BM524511 BF589814:BM590047 BF655350:BM655583 BF720886:BM721119 BF786422:BM786655 BF851958:BM852191 BF917494:BM917727 O65596:O131079 O131132:O196615 O196668:O262151 O262204:O327687 O327740:O393223 O393276:O458759 O458812:O524295 O524348:O589831 O589884:O655367 O655420:O720903 O720956:O786439 O786492:O851975 O852028:O917511 O917564:O983047 O983100:O1048576 AA65526:AF65543 AA131062:AF131079 AA196598:AF196615 AA262134:AF262151 AA327670:AF327687 AA393206:AF393223 AA458742:AF458759 AA524278:AF524295 AA589814:AF589831 AA655350:AF655367 AA720886:AF720903 AA786422:AF786439 AA851958:AF851975 AA917494:AF917511 AA983030:AF983047 AA65596:AF65759 AA131132:AF131295 AA196668:AF196831 AA262204:AF262367 AA327740:AF327903 AA393276:AF393439 AA458812:AF458975 AA524348:AF524511 AA589884:AF590047 AA655420:AF655583 AA720956:AF721119 AA786492:AF786655 AA852028:AF852191 AA917564:AF917727 AA983100:AF983263 U65545:U65594 U131081:U131130 U196617:U196666 U262153:U262202 U327689:U327738 U393225:U393274 U458761:U458810 U524297:U524346 U589833:U589882 U655369:U655418 U720905:U720954 U786441:U786490 U851977:U852026 U917513:U917562 O65545:O65594 O131081:O131130 O196617:O196666 O262153:O262202 O327689:O327738 O393225:O393274 O458761:O458810 O524297:O524346 O589833:O589882 O655369:O655418 O720905:O720954 O786441:O786490 O851977:O852026 O917513:O917562 O983049:O983098 AA65545:AF65594 AA131081:AF131130 AA196617:AF196666 AA262153:AF262202 AA327689:AF327738 AA393225:AF393274 AA458761:AF458810 AA524297:AF524346 AA589833:AF589882 AA655369:AF655418 AA720905:AF720954 AA786441:AF786490 AA851977:AF852026 AA917513:AF917562 AA983049:AF983098 U983049:U983098 U65596:U65664 U131132:U131200 U196668:U196736 U262204:U262272 U327740:U327808 U393276:U393344 U458812:U458880 U524348:U524416 U589884:U589952 U655420:U655488 U720956:U721024 U786492:U786560 U852028:U852096 BN131132:CB131295 BF983030:BM983263 BD367:CB369 AP367:BC1048576 AP248:CB366 AN248:AO1048576 U198:U199 U158 U201:U213 O150:O158 U87:U126 U128:U137 U63:U65 U67 AP2:CB2 O2 CG2:CH2 U2 AA2:AM2 AP3:BM3 AG3:AM3 U73:U85 U152:U154 U141:U147 U165 U161:U163 U176:U188 U170:U174 O66:O147 AA42:CB236 O42:O63 CG42:CH65543 U194:U196 O161:O65543 CG4:CH40 O4:O40 AN2:AO40 AA4:AM40 AP4:CB40 U4:U40 U42:U60">
      <formula1>Value_PenaltyQualifier</formula1>
    </dataValidation>
    <dataValidation type="list" allowBlank="1" showInputMessage="1" showErrorMessage="1" sqref="I65545:I65594 I393225:I393274 I458761:I458810 I524297:I524346 I589833:I589882 I655369:I655418 I720905:I720954 I786441:I786490 I851977:I852026 I917513:I917562 I983049:I983098 I65596:I131079 I131132:I196615 I196668:I262151 I262204:I327687 I327740:I393223 I393276:I458759 I458812:I524295 I524348:I589831 I589884:I655367 I655420:I720903 I720956:I786439 I786492:I851975 I852028:I917511 I917564:I983047 I983100:I1048576 I131081:I131130 I196617:I196666 I262153:I262202 I327689:I327738 I2 I4:I40 I42:I65543">
      <formula1>Value_DamageType</formula1>
    </dataValidation>
    <dataValidation type="list" allowBlank="1" showInputMessage="1" showErrorMessage="1" sqref="S65545:S65594 S393225:S393274 S458761:S458810 S524297:S524346 S589833:S589882 S655369:S655418 S720905:S720954 S786441:S786490 S851977:S852026 S917513:S917562 S983049:S983098 S65596:S131079 S131132:S196615 S196668:S262151 S262204:S327687 S327740:S393223 S393276:S458759 S458812:S524295 S524348:S589831 S589884:S655367 S655420:S720903 S720956:S786439 S786492:S851975 S852028:S917511 S917564:S983047 S983100:S1048576 S131081:S131130 S196617:S196666 S262153:S262202 S327689:S327738 S2 S4:S40 S42:S65543">
      <formula1>Value_PreciseQualifier</formula1>
    </dataValidation>
    <dataValidation type="list" allowBlank="1" showInputMessage="1" showErrorMessage="1" sqref="Y393225:Y393274 Y458761:Y458810 Y524297:Y524346 Y589833:Y589882 Y655369:Y655418 Y720905:Y720954 Y786441:Y786490 Y851977:Y852026 Y917513:Y917562 Y983049:Y983098 Y65596:Y131079 Y131132:Y196615 Y196668:Y262151 Y262204:Y327687 Y327740:Y393223 Y393276:Y458759 Y458812:Y524295 Y524348:Y589831 Y589884:Y655367 Y655420:Y720903 Y720956:Y786439 Y786492:Y851975 Y852028:Y917511 Y917564:Y983047 Y983100:Y1048576 Y131081:Y131130 Y196617:Y196666 Y262153:Y262202 Y327689:Y327738 Y65545:Y65594 Y2 Y4:Y40 Y42:Y65543">
      <formula1>Value_Itemslot</formula1>
    </dataValidation>
    <dataValidation type="list" allowBlank="1" showInputMessage="1" showErrorMessage="1" sqref="W458761:W458810 W393225:W393274 W524297:W524346 W65545:W65594 W589833:W589882 W655369:W655418 W720905:W720954 W786441:W786490 W851977:W852026 W917513:W917562 W983049:W983098 W65596:W131079 W131132:W196615 W196668:W262151 W262204:W327687 W327740:W393223 W393276:W458759 W458812:W524295 W524348:W589831 W589884:W655367 W655420:W720903 W720956:W786439 W786492:W851975 W852028:W917511 W917564:W983047 W983100:W1048576 W131081:W131130 W196617:W196666 W262153:W262202 W327689:W327738 W2 W4:W40 W42:W65543">
      <formula1>Value_Weapontype</formula1>
    </dataValidation>
    <dataValidation type="list" allowBlank="1" showInputMessage="1" showErrorMessage="1" sqref="CO283:CO1048576 CO5:CO7 CO2:CO3 CO10:CO40 CO42:CO281">
      <formula1>Value_InventoryTabs</formula1>
    </dataValidation>
    <dataValidation type="list" allowBlank="1" showInputMessage="1" showErrorMessage="1" sqref="D65545:D65594 D131081:D131130 D983100:D1048576 D917564:D983047 D852028:D917511 D786492:D851975 D720956:D786439 D655420:D720903 D589884:D655367 D524348:D589831 D458812:D524295 D393276:D458759 D327740:D393223 D262204:D327687 D196668:D262151 D131132:D196615 D65596:D131079 D983049:D983098 D917513:D917562 D851977:D852026 D786441:D786490 D720905:D720954 D655369:D655418 D589833:D589882 D524297:D524346 D458761:D458810 D393225:D393274 D327689:D327738 D262153:D262202 D196617:D196666 D2 D4:D40 D42:D65543">
      <formula1>Value_Act</formula1>
    </dataValidation>
    <dataValidation type="list" allowBlank="1" showInputMessage="1" showErrorMessage="1" sqref="C65545:C65594 C852028:C917511 C786492:C851975 C720956:C786439 C655420:C720903 C589884:C655367 C524348:C589831 C458812:C524295 C393276:C458759 C327740:C393223 C262204:C327687 C196668:C262151 C131132:C196615 C65596:C131079 C983049:C983098 C917513:C917562 C851977:C852026 C786441:C786490 C720905:C720954 C655369:C655418 C589833:C589882 C524297:C524346 C458761:C458810 C393225:C393274 C327689:C327738 C262153:C262202 C196617:C196666 C131081:C131130 C917564:C983047 C983100:C1048576 C198:C199 C201:C65543 C139:C196 C87:C126 C2 C73:C85 C128:C137 C4:C40 C42:C71">
      <formula1>Value_ModifierType</formula1>
    </dataValidation>
    <dataValidation type="list" allowBlank="1" showInputMessage="1" showErrorMessage="1" sqref="E983049:E983098 E917513:E917562 E851977:E852026 E786441:E786490 E720905:E720954 E655369:E655418 E589833:E589882 E524297:E524346 E458761:E458810 E393225:E393274 E327689:E327738 E262153:E262202 E196617:E196666 E131081:E131130 E65545:E65594 E983100:E983238 E917564:E917702 E852028:E852166 E786492:E786630 E720956:E721094 E655420:E655558 E589884:E590022 E524348:E524486 E458812:E458950 E393276:E393414 E327740:E327878 E262204:E262342 E196668:E196806 E131132:E131270 E65596:E65734 E983240:E1048576 E917704:E983047 E852168:E917511 E786632:E851975 E721096:E786439 E655560:E720903 E590024:E655367 E524488:E589831 E458952:E524295 E393416:E458759 E327880:E393223 E262344:E327687 E196808:E262151 E131272:E196615 E248:E65543 E65736:E131079 E2 E4:E40 E42:E245">
      <formula1>Value_ActPart</formula1>
    </dataValidation>
    <dataValidation errorStyle="warning" allowBlank="1" showInputMessage="1" showErrorMessage="1" errorTitle="Invalid" error="This character does not exist on the Character tab." sqref="A983253:A983283 A237:A241 A852181:A852211 A786645:A786675 A721109:A721139 A655573:A655603 A590037:A590067 A524501:A524531 A458965:A458995 A393429:A393459 A327893:A327923 A262357:A262387 A196821:A196851 A131285:A131315 A65749:A65779 A983164:A983168 A917628:A917632 A852092:A852096 A786556:A786560 A721020:A721024 A655484:A655488 A589948:A589952 A524412:A524416 A458876:A458880 A393340:A393344 A327804:A327808 A262268:A262272 A196732:A196736 A131196:A131200 A65660:A65664 A917717:A917747 A215:A235 A251:A281 A199 A188 A158 A201:A213 A63:A66 A161:A165 A152:A153 A194 A141:A147 A170:A183 A55:A59 A46 A74:A83 A88:A138 A196 A28:A40"/>
    <dataValidation type="list" allowBlank="1" showInputMessage="1" showErrorMessage="1" sqref="X2:X40 X42:X1048576">
      <formula1>Value_AnimType</formula1>
    </dataValidation>
    <dataValidation errorStyle="warning" allowBlank="1" showInputMessage="1" showErrorMessage="1" errorTitle="Invalid" error="This may be invalid! Unless you're creating something with multiple requirement types. Don't forget to use ; to sum them up. No spaces." sqref="F2:F1048576"/>
    <dataValidation type="list" allowBlank="1" showInputMessage="1" showErrorMessage="1" sqref="G2:G40 G42:G1048576">
      <formula1>Value_Bool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Weapon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Edouard</cp:lastModifiedBy>
  <dcterms:created xsi:type="dcterms:W3CDTF">2013-10-15T09:19:29Z</dcterms:created>
  <dcterms:modified xsi:type="dcterms:W3CDTF">2016-01-15T11:43:00Z</dcterms:modified>
</cp:coreProperties>
</file>